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udentcbs-my.sharepoint.com/personal/flv_eco_cbs_dk/Documents/Documents/01_PtX_Markets/Scripts/"/>
    </mc:Choice>
  </mc:AlternateContent>
  <xr:revisionPtr revIDLastSave="95" documentId="8_{916A0556-1164-4A38-B25A-FF01A2344DC6}" xr6:coauthVersionLast="47" xr6:coauthVersionMax="47" xr10:uidLastSave="{FDC14B82-9E51-4497-9687-222FF5FEBC9E}"/>
  <bookViews>
    <workbookView xWindow="-110" yWindow="-110" windowWidth="19420" windowHeight="11620" activeTab="3" xr2:uid="{A5916B2B-4E63-4A43-A66E-90A078ADA135}"/>
  </bookViews>
  <sheets>
    <sheet name="Input" sheetId="7" r:id="rId1"/>
    <sheet name="Description" sheetId="4" r:id="rId2"/>
    <sheet name="Ind_Summary" sheetId="8" r:id="rId3"/>
    <sheet name="Transport_Summary" sheetId="9" r:id="rId4"/>
  </sheets>
  <externalReferences>
    <externalReference r:id="rId5"/>
    <externalReference r:id="rId6"/>
  </externalReferences>
  <definedNames>
    <definedName name="_xlnm.Print_Area" localSheetId="2">Ind_Summary!$A$1:$L$128</definedName>
    <definedName name="_xlnm.Print_Titles" localSheetId="2">Ind_Summary!$1:$1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43" i="9" l="1"/>
  <c r="A242" i="9"/>
  <c r="A237" i="9"/>
  <c r="A236" i="9"/>
  <c r="A234" i="9"/>
  <c r="A233" i="9"/>
  <c r="A230" i="9"/>
  <c r="A228" i="9"/>
  <c r="A227" i="9"/>
  <c r="A226" i="9"/>
  <c r="A225" i="9"/>
  <c r="A221" i="9"/>
  <c r="A217" i="9"/>
  <c r="A213" i="9"/>
  <c r="A212" i="9"/>
  <c r="A207" i="9"/>
  <c r="A206" i="9"/>
  <c r="A204" i="9"/>
  <c r="A203" i="9"/>
  <c r="A200" i="9"/>
  <c r="A198" i="9"/>
  <c r="A197" i="9"/>
  <c r="A196" i="9"/>
  <c r="A195" i="9"/>
  <c r="A191" i="9"/>
  <c r="A187" i="9"/>
  <c r="A183" i="9"/>
  <c r="A182" i="9"/>
  <c r="A177" i="9"/>
  <c r="A176" i="9"/>
  <c r="A174" i="9"/>
  <c r="A173" i="9"/>
  <c r="A170" i="9"/>
  <c r="A168" i="9"/>
  <c r="A167" i="9"/>
  <c r="A166" i="9"/>
  <c r="A165" i="9"/>
  <c r="A161" i="9"/>
  <c r="A157" i="9"/>
  <c r="A153" i="9"/>
  <c r="A152" i="9"/>
  <c r="A147" i="9"/>
  <c r="A146" i="9"/>
  <c r="A144" i="9"/>
  <c r="A143" i="9"/>
  <c r="A140" i="9"/>
  <c r="A138" i="9"/>
  <c r="A137" i="9"/>
  <c r="A136" i="9"/>
  <c r="A135" i="9"/>
  <c r="A131" i="9"/>
  <c r="A127" i="9"/>
  <c r="A123" i="9"/>
  <c r="A122" i="9"/>
  <c r="A117" i="9"/>
  <c r="A116" i="9"/>
  <c r="A114" i="9"/>
  <c r="A113" i="9"/>
  <c r="A110" i="9"/>
  <c r="A108" i="9"/>
  <c r="A107" i="9"/>
  <c r="A106" i="9"/>
  <c r="A105" i="9"/>
  <c r="A101" i="9"/>
  <c r="A97" i="9"/>
  <c r="W91" i="9"/>
  <c r="W89" i="9" s="1"/>
  <c r="W181" i="9" s="1"/>
  <c r="V91" i="9"/>
  <c r="U91" i="9"/>
  <c r="T91" i="9"/>
  <c r="S91" i="9"/>
  <c r="R91" i="9"/>
  <c r="Q91" i="9"/>
  <c r="P91" i="9"/>
  <c r="O91" i="9"/>
  <c r="N91" i="9"/>
  <c r="M91" i="9"/>
  <c r="L91" i="9"/>
  <c r="K91" i="9"/>
  <c r="K89" i="9" s="1"/>
  <c r="K181" i="9" s="1"/>
  <c r="J91" i="9"/>
  <c r="I91" i="9"/>
  <c r="H91" i="9"/>
  <c r="G91" i="9"/>
  <c r="G183" i="9" s="1"/>
  <c r="F91" i="9"/>
  <c r="E91" i="9"/>
  <c r="D91" i="9"/>
  <c r="C91" i="9"/>
  <c r="B91" i="9"/>
  <c r="A91" i="9"/>
  <c r="W90" i="9"/>
  <c r="V90" i="9"/>
  <c r="U90" i="9"/>
  <c r="T90" i="9"/>
  <c r="S90" i="9"/>
  <c r="R90" i="9"/>
  <c r="Q90" i="9"/>
  <c r="P90" i="9"/>
  <c r="O90" i="9"/>
  <c r="N90" i="9"/>
  <c r="M90" i="9"/>
  <c r="L90" i="9"/>
  <c r="K90" i="9"/>
  <c r="J90" i="9"/>
  <c r="J89" i="9" s="1"/>
  <c r="J181" i="9" s="1"/>
  <c r="I90" i="9"/>
  <c r="H90" i="9"/>
  <c r="G90" i="9"/>
  <c r="F90" i="9"/>
  <c r="E90" i="9"/>
  <c r="D90" i="9"/>
  <c r="C90" i="9"/>
  <c r="B90" i="9"/>
  <c r="A90" i="9"/>
  <c r="U89" i="9"/>
  <c r="U181" i="9" s="1"/>
  <c r="P89" i="9"/>
  <c r="P181" i="9" s="1"/>
  <c r="O89" i="9"/>
  <c r="L89" i="9"/>
  <c r="L181" i="9" s="1"/>
  <c r="G89" i="9"/>
  <c r="G181" i="9" s="1"/>
  <c r="C89" i="9"/>
  <c r="C181" i="9" s="1"/>
  <c r="B89" i="9"/>
  <c r="B181" i="9" s="1"/>
  <c r="W88" i="9"/>
  <c r="V88" i="9"/>
  <c r="U88" i="9"/>
  <c r="T88" i="9"/>
  <c r="S88" i="9"/>
  <c r="R88" i="9"/>
  <c r="Q88" i="9"/>
  <c r="P88" i="9"/>
  <c r="O88" i="9"/>
  <c r="N88" i="9"/>
  <c r="M88" i="9"/>
  <c r="L88" i="9"/>
  <c r="K88" i="9"/>
  <c r="J88" i="9"/>
  <c r="I88" i="9"/>
  <c r="H88" i="9"/>
  <c r="G88" i="9"/>
  <c r="F88" i="9"/>
  <c r="E88" i="9"/>
  <c r="D88" i="9"/>
  <c r="C88" i="9"/>
  <c r="B88" i="9"/>
  <c r="B86" i="9" s="1"/>
  <c r="W87" i="9"/>
  <c r="V87" i="9"/>
  <c r="U87" i="9"/>
  <c r="T87" i="9"/>
  <c r="S87" i="9"/>
  <c r="S86" i="9" s="1"/>
  <c r="R87" i="9"/>
  <c r="Q87" i="9"/>
  <c r="P87" i="9"/>
  <c r="O87" i="9"/>
  <c r="N87" i="9"/>
  <c r="M87" i="9"/>
  <c r="L87" i="9"/>
  <c r="K87" i="9"/>
  <c r="J87" i="9"/>
  <c r="J86" i="9" s="1"/>
  <c r="I87" i="9"/>
  <c r="H87" i="9"/>
  <c r="G87" i="9"/>
  <c r="F87" i="9"/>
  <c r="E87" i="9"/>
  <c r="D87" i="9"/>
  <c r="C87" i="9"/>
  <c r="B87" i="9"/>
  <c r="N86" i="9"/>
  <c r="M86" i="9"/>
  <c r="F86" i="9"/>
  <c r="W85" i="9"/>
  <c r="V85" i="9"/>
  <c r="U85" i="9"/>
  <c r="T85" i="9"/>
  <c r="S85" i="9"/>
  <c r="R85" i="9"/>
  <c r="Q85" i="9"/>
  <c r="P85" i="9"/>
  <c r="O85" i="9"/>
  <c r="N85" i="9"/>
  <c r="M85" i="9"/>
  <c r="L85" i="9"/>
  <c r="K85" i="9"/>
  <c r="J85" i="9"/>
  <c r="I85" i="9"/>
  <c r="H85" i="9"/>
  <c r="G85" i="9"/>
  <c r="F85" i="9"/>
  <c r="E85" i="9"/>
  <c r="D85" i="9"/>
  <c r="C85" i="9"/>
  <c r="B85" i="9"/>
  <c r="A85" i="9"/>
  <c r="W84" i="9"/>
  <c r="V84" i="9"/>
  <c r="U84" i="9"/>
  <c r="T84" i="9"/>
  <c r="S84" i="9"/>
  <c r="R84" i="9"/>
  <c r="Q84" i="9"/>
  <c r="P84" i="9"/>
  <c r="O84" i="9"/>
  <c r="N84" i="9"/>
  <c r="M84" i="9"/>
  <c r="L84" i="9"/>
  <c r="K84" i="9"/>
  <c r="J84" i="9"/>
  <c r="I84" i="9"/>
  <c r="H84" i="9"/>
  <c r="G84" i="9"/>
  <c r="F84" i="9"/>
  <c r="E84" i="9"/>
  <c r="D84" i="9"/>
  <c r="C84" i="9"/>
  <c r="B84" i="9"/>
  <c r="A84" i="9"/>
  <c r="W83" i="9"/>
  <c r="V83" i="9"/>
  <c r="U83" i="9"/>
  <c r="T83" i="9"/>
  <c r="S83" i="9"/>
  <c r="R83" i="9"/>
  <c r="Q83" i="9"/>
  <c r="P83" i="9"/>
  <c r="O83" i="9"/>
  <c r="N83" i="9"/>
  <c r="M83" i="9"/>
  <c r="M82" i="9" s="1"/>
  <c r="L83" i="9"/>
  <c r="K83" i="9"/>
  <c r="K82" i="9" s="1"/>
  <c r="J83" i="9"/>
  <c r="I83" i="9"/>
  <c r="I82" i="9" s="1"/>
  <c r="H83" i="9"/>
  <c r="G83" i="9"/>
  <c r="G82" i="9" s="1"/>
  <c r="F83" i="9"/>
  <c r="E83" i="9"/>
  <c r="D83" i="9"/>
  <c r="C83" i="9"/>
  <c r="B83" i="9"/>
  <c r="S82" i="9"/>
  <c r="R82" i="9"/>
  <c r="N82" i="9"/>
  <c r="H82" i="9"/>
  <c r="A82" i="9"/>
  <c r="W81" i="9"/>
  <c r="V81" i="9"/>
  <c r="U81" i="9"/>
  <c r="T81" i="9"/>
  <c r="S81" i="9"/>
  <c r="R81" i="9"/>
  <c r="Q81" i="9"/>
  <c r="P81" i="9"/>
  <c r="O81" i="9"/>
  <c r="N81" i="9"/>
  <c r="M81" i="9"/>
  <c r="L81" i="9"/>
  <c r="K81" i="9"/>
  <c r="J81" i="9"/>
  <c r="I81" i="9"/>
  <c r="H81" i="9"/>
  <c r="G81" i="9"/>
  <c r="F81" i="9"/>
  <c r="E81" i="9"/>
  <c r="D81" i="9"/>
  <c r="C81" i="9"/>
  <c r="B81" i="9"/>
  <c r="A81" i="9"/>
  <c r="W80" i="9"/>
  <c r="V80" i="9"/>
  <c r="V78" i="9" s="1"/>
  <c r="U80" i="9"/>
  <c r="T80" i="9"/>
  <c r="S80" i="9"/>
  <c r="R80" i="9"/>
  <c r="Q80" i="9"/>
  <c r="P80" i="9"/>
  <c r="O80" i="9"/>
  <c r="N80" i="9"/>
  <c r="M80" i="9"/>
  <c r="L80" i="9"/>
  <c r="K80" i="9"/>
  <c r="J80" i="9"/>
  <c r="J78" i="9" s="1"/>
  <c r="I80" i="9"/>
  <c r="H80" i="9"/>
  <c r="G80" i="9"/>
  <c r="F80" i="9"/>
  <c r="E80" i="9"/>
  <c r="D80" i="9"/>
  <c r="C80" i="9"/>
  <c r="B80" i="9"/>
  <c r="W79" i="9"/>
  <c r="V79" i="9"/>
  <c r="U79" i="9"/>
  <c r="T79" i="9"/>
  <c r="S79" i="9"/>
  <c r="R79" i="9"/>
  <c r="R78" i="9" s="1"/>
  <c r="Q79" i="9"/>
  <c r="P79" i="9"/>
  <c r="O79" i="9"/>
  <c r="O78" i="9" s="1"/>
  <c r="N79" i="9"/>
  <c r="M79" i="9"/>
  <c r="L79" i="9"/>
  <c r="K79" i="9"/>
  <c r="J79" i="9"/>
  <c r="I79" i="9"/>
  <c r="H79" i="9"/>
  <c r="G79" i="9"/>
  <c r="F79" i="9"/>
  <c r="E79" i="9"/>
  <c r="D79" i="9"/>
  <c r="C79" i="9"/>
  <c r="B79" i="9"/>
  <c r="L78" i="9"/>
  <c r="I78" i="9"/>
  <c r="F78" i="9"/>
  <c r="B78" i="9"/>
  <c r="A78" i="9"/>
  <c r="W76" i="9"/>
  <c r="V76" i="9"/>
  <c r="U76" i="9"/>
  <c r="T76" i="9"/>
  <c r="S76" i="9"/>
  <c r="R76" i="9"/>
  <c r="Q76" i="9"/>
  <c r="P76" i="9"/>
  <c r="O76" i="9"/>
  <c r="N76" i="9"/>
  <c r="M76" i="9"/>
  <c r="L76" i="9"/>
  <c r="K76" i="9"/>
  <c r="J76" i="9"/>
  <c r="I76" i="9"/>
  <c r="H76" i="9"/>
  <c r="G76" i="9"/>
  <c r="F76" i="9"/>
  <c r="E76" i="9"/>
  <c r="D76" i="9"/>
  <c r="C76" i="9"/>
  <c r="B76" i="9"/>
  <c r="A76" i="9"/>
  <c r="W75" i="9"/>
  <c r="V75" i="9"/>
  <c r="U75" i="9"/>
  <c r="T75" i="9"/>
  <c r="S75" i="9"/>
  <c r="R75" i="9"/>
  <c r="Q75" i="9"/>
  <c r="P75" i="9"/>
  <c r="O75" i="9"/>
  <c r="N75" i="9"/>
  <c r="M75" i="9"/>
  <c r="L75" i="9"/>
  <c r="K75" i="9"/>
  <c r="J75" i="9"/>
  <c r="I75" i="9"/>
  <c r="H75" i="9"/>
  <c r="G75" i="9"/>
  <c r="F75" i="9"/>
  <c r="E75" i="9"/>
  <c r="D75" i="9"/>
  <c r="C75" i="9"/>
  <c r="B75" i="9"/>
  <c r="A75" i="9"/>
  <c r="W74" i="9"/>
  <c r="V74" i="9"/>
  <c r="U74" i="9"/>
  <c r="T74" i="9"/>
  <c r="S74" i="9"/>
  <c r="R74" i="9"/>
  <c r="Q74" i="9"/>
  <c r="P74" i="9"/>
  <c r="O74" i="9"/>
  <c r="N74" i="9"/>
  <c r="M74" i="9"/>
  <c r="L74" i="9"/>
  <c r="L73" i="9" s="1"/>
  <c r="K74" i="9"/>
  <c r="J74" i="9"/>
  <c r="I74" i="9"/>
  <c r="H74" i="9"/>
  <c r="G74" i="9"/>
  <c r="F74" i="9"/>
  <c r="E74" i="9"/>
  <c r="D74" i="9"/>
  <c r="C74" i="9"/>
  <c r="B74" i="9"/>
  <c r="A74" i="9"/>
  <c r="W73" i="9"/>
  <c r="Q73" i="9"/>
  <c r="P73" i="9"/>
  <c r="O73" i="9"/>
  <c r="K73" i="9"/>
  <c r="F73" i="9"/>
  <c r="D73" i="9"/>
  <c r="C73" i="9"/>
  <c r="A73" i="9"/>
  <c r="W72" i="9"/>
  <c r="V72" i="9"/>
  <c r="V164" i="9" s="1"/>
  <c r="U72" i="9"/>
  <c r="U164" i="9" s="1"/>
  <c r="T72" i="9"/>
  <c r="T164" i="9" s="1"/>
  <c r="S72" i="9"/>
  <c r="R72" i="9"/>
  <c r="R164" i="9" s="1"/>
  <c r="Q72" i="9"/>
  <c r="Q164" i="9" s="1"/>
  <c r="P72" i="9"/>
  <c r="P164" i="9" s="1"/>
  <c r="O72" i="9"/>
  <c r="O164" i="9" s="1"/>
  <c r="N72" i="9"/>
  <c r="N164" i="9" s="1"/>
  <c r="M72" i="9"/>
  <c r="M164" i="9" s="1"/>
  <c r="L72" i="9"/>
  <c r="L164" i="9" s="1"/>
  <c r="K72" i="9"/>
  <c r="K164" i="9" s="1"/>
  <c r="J72" i="9"/>
  <c r="J164" i="9" s="1"/>
  <c r="I72" i="9"/>
  <c r="I164" i="9" s="1"/>
  <c r="H72" i="9"/>
  <c r="G72" i="9"/>
  <c r="F72" i="9"/>
  <c r="F164" i="9" s="1"/>
  <c r="E72" i="9"/>
  <c r="E164" i="9" s="1"/>
  <c r="D72" i="9"/>
  <c r="D164" i="9" s="1"/>
  <c r="C72" i="9"/>
  <c r="C164" i="9" s="1"/>
  <c r="B72" i="9"/>
  <c r="B164" i="9" s="1"/>
  <c r="W71" i="9"/>
  <c r="V71" i="9"/>
  <c r="U71" i="9"/>
  <c r="T71" i="9"/>
  <c r="S71" i="9"/>
  <c r="R71" i="9"/>
  <c r="Q71" i="9"/>
  <c r="P71" i="9"/>
  <c r="O71" i="9"/>
  <c r="N71" i="9"/>
  <c r="M71" i="9"/>
  <c r="L71" i="9"/>
  <c r="K71" i="9"/>
  <c r="J71" i="9"/>
  <c r="I71" i="9"/>
  <c r="H71" i="9"/>
  <c r="G71" i="9"/>
  <c r="F71" i="9"/>
  <c r="E71" i="9"/>
  <c r="D71" i="9"/>
  <c r="C71" i="9"/>
  <c r="B71" i="9"/>
  <c r="W70" i="9"/>
  <c r="W162" i="9" s="1"/>
  <c r="V70" i="9"/>
  <c r="V162" i="9" s="1"/>
  <c r="U70" i="9"/>
  <c r="T70" i="9"/>
  <c r="S70" i="9"/>
  <c r="S162" i="9" s="1"/>
  <c r="R70" i="9"/>
  <c r="R162" i="9" s="1"/>
  <c r="Q70" i="9"/>
  <c r="P70" i="9"/>
  <c r="P162" i="9" s="1"/>
  <c r="O70" i="9"/>
  <c r="O162" i="9" s="1"/>
  <c r="N70" i="9"/>
  <c r="M70" i="9"/>
  <c r="L70" i="9"/>
  <c r="L162" i="9" s="1"/>
  <c r="K70" i="9"/>
  <c r="K162" i="9" s="1"/>
  <c r="J70" i="9"/>
  <c r="J162" i="9" s="1"/>
  <c r="I70" i="9"/>
  <c r="H70" i="9"/>
  <c r="H162" i="9" s="1"/>
  <c r="G70" i="9"/>
  <c r="G162" i="9" s="1"/>
  <c r="F70" i="9"/>
  <c r="F162" i="9" s="1"/>
  <c r="E70" i="9"/>
  <c r="E162" i="9" s="1"/>
  <c r="D70" i="9"/>
  <c r="C70" i="9"/>
  <c r="B70" i="9"/>
  <c r="B162" i="9" s="1"/>
  <c r="O69" i="9"/>
  <c r="L69" i="9"/>
  <c r="K69" i="9"/>
  <c r="A69" i="9"/>
  <c r="W68" i="9"/>
  <c r="V68" i="9"/>
  <c r="U68" i="9"/>
  <c r="T68" i="9"/>
  <c r="S68" i="9"/>
  <c r="R68" i="9"/>
  <c r="Q68" i="9"/>
  <c r="P68" i="9"/>
  <c r="O68" i="9"/>
  <c r="N68" i="9"/>
  <c r="M68" i="9"/>
  <c r="L68" i="9"/>
  <c r="K68" i="9"/>
  <c r="J68" i="9"/>
  <c r="I68" i="9"/>
  <c r="H68" i="9"/>
  <c r="G68" i="9"/>
  <c r="F68" i="9"/>
  <c r="E68" i="9"/>
  <c r="D68" i="9"/>
  <c r="C68" i="9"/>
  <c r="B68" i="9"/>
  <c r="W67" i="9"/>
  <c r="V67" i="9"/>
  <c r="U67" i="9"/>
  <c r="T67" i="9"/>
  <c r="S67" i="9"/>
  <c r="R67" i="9"/>
  <c r="Q67" i="9"/>
  <c r="P67" i="9"/>
  <c r="O67" i="9"/>
  <c r="N67" i="9"/>
  <c r="M67" i="9"/>
  <c r="L67" i="9"/>
  <c r="K67" i="9"/>
  <c r="J67" i="9"/>
  <c r="I67" i="9"/>
  <c r="H67" i="9"/>
  <c r="G67" i="9"/>
  <c r="F67" i="9"/>
  <c r="E67" i="9"/>
  <c r="D67" i="9"/>
  <c r="C67" i="9"/>
  <c r="B67" i="9"/>
  <c r="W66" i="9"/>
  <c r="V66" i="9"/>
  <c r="U66" i="9"/>
  <c r="T66" i="9"/>
  <c r="S66" i="9"/>
  <c r="R66" i="9"/>
  <c r="Q66" i="9"/>
  <c r="P66" i="9"/>
  <c r="P65" i="9" s="1"/>
  <c r="O66" i="9"/>
  <c r="N66" i="9"/>
  <c r="M66" i="9"/>
  <c r="L66" i="9"/>
  <c r="K66" i="9"/>
  <c r="J66" i="9"/>
  <c r="I66" i="9"/>
  <c r="H66" i="9"/>
  <c r="G66" i="9"/>
  <c r="F66" i="9"/>
  <c r="E66" i="9"/>
  <c r="D66" i="9"/>
  <c r="C66" i="9"/>
  <c r="B66" i="9"/>
  <c r="O65" i="9"/>
  <c r="M65" i="9"/>
  <c r="L65" i="9"/>
  <c r="C65" i="9"/>
  <c r="A65" i="9"/>
  <c r="W61" i="9"/>
  <c r="V61" i="9"/>
  <c r="U61" i="9"/>
  <c r="T61" i="9"/>
  <c r="S61" i="9"/>
  <c r="R61" i="9"/>
  <c r="Q61" i="9"/>
  <c r="P61" i="9"/>
  <c r="O61" i="9"/>
  <c r="N61" i="9"/>
  <c r="M61" i="9"/>
  <c r="L61" i="9"/>
  <c r="K61" i="9"/>
  <c r="J61" i="9"/>
  <c r="I61" i="9"/>
  <c r="H61" i="9"/>
  <c r="G61" i="9"/>
  <c r="F61" i="9"/>
  <c r="E61" i="9"/>
  <c r="D61" i="9"/>
  <c r="C61" i="9"/>
  <c r="B61" i="9"/>
  <c r="A61" i="9"/>
  <c r="W60" i="9"/>
  <c r="V60" i="9"/>
  <c r="U60" i="9"/>
  <c r="T60" i="9"/>
  <c r="S60" i="9"/>
  <c r="R60" i="9"/>
  <c r="Q60" i="9"/>
  <c r="P60" i="9"/>
  <c r="O60" i="9"/>
  <c r="N60" i="9"/>
  <c r="M60" i="9"/>
  <c r="M59" i="9" s="1"/>
  <c r="L60" i="9"/>
  <c r="K60" i="9"/>
  <c r="J60" i="9"/>
  <c r="I60" i="9"/>
  <c r="H60" i="9"/>
  <c r="G60" i="9"/>
  <c r="F60" i="9"/>
  <c r="F59" i="9" s="1"/>
  <c r="E60" i="9"/>
  <c r="D60" i="9"/>
  <c r="C60" i="9"/>
  <c r="B60" i="9"/>
  <c r="A60" i="9"/>
  <c r="V59" i="9"/>
  <c r="J59" i="9"/>
  <c r="H59" i="9"/>
  <c r="W58" i="9"/>
  <c r="V58" i="9"/>
  <c r="U58" i="9"/>
  <c r="T58" i="9"/>
  <c r="S58" i="9"/>
  <c r="R58" i="9"/>
  <c r="Q58" i="9"/>
  <c r="P58" i="9"/>
  <c r="O58" i="9"/>
  <c r="N58" i="9"/>
  <c r="M58" i="9"/>
  <c r="L58" i="9"/>
  <c r="K58" i="9"/>
  <c r="J58" i="9"/>
  <c r="I58" i="9"/>
  <c r="H58" i="9"/>
  <c r="G58" i="9"/>
  <c r="F58" i="9"/>
  <c r="E58" i="9"/>
  <c r="D58" i="9"/>
  <c r="C58" i="9"/>
  <c r="B58" i="9"/>
  <c r="W57" i="9"/>
  <c r="V57" i="9"/>
  <c r="U57" i="9"/>
  <c r="T57" i="9"/>
  <c r="S57" i="9"/>
  <c r="S56" i="9" s="1"/>
  <c r="R57" i="9"/>
  <c r="Q57" i="9"/>
  <c r="P57" i="9"/>
  <c r="O57" i="9"/>
  <c r="N57" i="9"/>
  <c r="N56" i="9" s="1"/>
  <c r="M57" i="9"/>
  <c r="M56" i="9" s="1"/>
  <c r="L57" i="9"/>
  <c r="L56" i="9" s="1"/>
  <c r="K57" i="9"/>
  <c r="K209" i="9" s="1"/>
  <c r="J57" i="9"/>
  <c r="I57" i="9"/>
  <c r="H57" i="9"/>
  <c r="G57" i="9"/>
  <c r="F57" i="9"/>
  <c r="E57" i="9"/>
  <c r="D57" i="9"/>
  <c r="C57" i="9"/>
  <c r="B57" i="9"/>
  <c r="R56" i="9"/>
  <c r="P56" i="9"/>
  <c r="O56" i="9"/>
  <c r="I56" i="9"/>
  <c r="C56" i="9"/>
  <c r="W55" i="9"/>
  <c r="V55" i="9"/>
  <c r="U55" i="9"/>
  <c r="T55" i="9"/>
  <c r="S55" i="9"/>
  <c r="R55" i="9"/>
  <c r="Q55" i="9"/>
  <c r="P55" i="9"/>
  <c r="O55" i="9"/>
  <c r="N55" i="9"/>
  <c r="M55" i="9"/>
  <c r="L55" i="9"/>
  <c r="K55" i="9"/>
  <c r="J55" i="9"/>
  <c r="I55" i="9"/>
  <c r="H55" i="9"/>
  <c r="G55" i="9"/>
  <c r="F55" i="9"/>
  <c r="E55" i="9"/>
  <c r="D55" i="9"/>
  <c r="C55" i="9"/>
  <c r="B55" i="9"/>
  <c r="A55" i="9"/>
  <c r="W54" i="9"/>
  <c r="V54" i="9"/>
  <c r="U54" i="9"/>
  <c r="T54" i="9"/>
  <c r="S54" i="9"/>
  <c r="R54" i="9"/>
  <c r="Q54" i="9"/>
  <c r="P54" i="9"/>
  <c r="O54" i="9"/>
  <c r="O206" i="9" s="1"/>
  <c r="N54" i="9"/>
  <c r="M54" i="9"/>
  <c r="L54" i="9"/>
  <c r="K54" i="9"/>
  <c r="J54" i="9"/>
  <c r="I54" i="9"/>
  <c r="I52" i="9" s="1"/>
  <c r="H54" i="9"/>
  <c r="G54" i="9"/>
  <c r="F54" i="9"/>
  <c r="E54" i="9"/>
  <c r="D54" i="9"/>
  <c r="C54" i="9"/>
  <c r="B54" i="9"/>
  <c r="A54" i="9"/>
  <c r="W53" i="9"/>
  <c r="V53" i="9"/>
  <c r="U53" i="9"/>
  <c r="T53" i="9"/>
  <c r="S53" i="9"/>
  <c r="S52" i="9" s="1"/>
  <c r="R53" i="9"/>
  <c r="R52" i="9" s="1"/>
  <c r="Q53" i="9"/>
  <c r="P53" i="9"/>
  <c r="O53" i="9"/>
  <c r="N53" i="9"/>
  <c r="M53" i="9"/>
  <c r="L53" i="9"/>
  <c r="K53" i="9"/>
  <c r="J53" i="9"/>
  <c r="I53" i="9"/>
  <c r="H53" i="9"/>
  <c r="G53" i="9"/>
  <c r="F53" i="9"/>
  <c r="E53" i="9"/>
  <c r="D53" i="9"/>
  <c r="D52" i="9" s="1"/>
  <c r="C53" i="9"/>
  <c r="B53" i="9"/>
  <c r="E52" i="9"/>
  <c r="C52" i="9"/>
  <c r="A52" i="9"/>
  <c r="W51" i="9"/>
  <c r="V51" i="9"/>
  <c r="U51" i="9"/>
  <c r="T51" i="9"/>
  <c r="S51" i="9"/>
  <c r="R51" i="9"/>
  <c r="Q51" i="9"/>
  <c r="P51" i="9"/>
  <c r="O51" i="9"/>
  <c r="N51" i="9"/>
  <c r="M51" i="9"/>
  <c r="L51" i="9"/>
  <c r="K51" i="9"/>
  <c r="J51" i="9"/>
  <c r="I51" i="9"/>
  <c r="I203" i="9" s="1"/>
  <c r="H51" i="9"/>
  <c r="G51" i="9"/>
  <c r="F51" i="9"/>
  <c r="E51" i="9"/>
  <c r="D51" i="9"/>
  <c r="C51" i="9"/>
  <c r="B51" i="9"/>
  <c r="A51" i="9"/>
  <c r="W50" i="9"/>
  <c r="V50" i="9"/>
  <c r="U50" i="9"/>
  <c r="T50" i="9"/>
  <c r="S50" i="9"/>
  <c r="R50" i="9"/>
  <c r="Q50" i="9"/>
  <c r="P50" i="9"/>
  <c r="O50" i="9"/>
  <c r="N50" i="9"/>
  <c r="M50" i="9"/>
  <c r="L50" i="9"/>
  <c r="K50" i="9"/>
  <c r="J50" i="9"/>
  <c r="I50" i="9"/>
  <c r="H50" i="9"/>
  <c r="G50" i="9"/>
  <c r="F50" i="9"/>
  <c r="E50" i="9"/>
  <c r="D50" i="9"/>
  <c r="C50" i="9"/>
  <c r="B50" i="9"/>
  <c r="W49" i="9"/>
  <c r="V49" i="9"/>
  <c r="U49" i="9"/>
  <c r="U48" i="9" s="1"/>
  <c r="T49" i="9"/>
  <c r="T48" i="9" s="1"/>
  <c r="S49" i="9"/>
  <c r="R49" i="9"/>
  <c r="Q49" i="9"/>
  <c r="P49" i="9"/>
  <c r="O49" i="9"/>
  <c r="N49" i="9"/>
  <c r="M49" i="9"/>
  <c r="L49" i="9"/>
  <c r="K49" i="9"/>
  <c r="J49" i="9"/>
  <c r="I49" i="9"/>
  <c r="I48" i="9" s="1"/>
  <c r="H49" i="9"/>
  <c r="G49" i="9"/>
  <c r="F49" i="9"/>
  <c r="F48" i="9" s="1"/>
  <c r="E49" i="9"/>
  <c r="E48" i="9" s="1"/>
  <c r="D49" i="9"/>
  <c r="C49" i="9"/>
  <c r="B49" i="9"/>
  <c r="W48" i="9"/>
  <c r="S48" i="9"/>
  <c r="R48" i="9"/>
  <c r="P48" i="9"/>
  <c r="G48" i="9"/>
  <c r="C48" i="9"/>
  <c r="C47" i="9" s="1"/>
  <c r="A48" i="9"/>
  <c r="W46" i="9"/>
  <c r="V46" i="9"/>
  <c r="U46" i="9"/>
  <c r="T46" i="9"/>
  <c r="S46" i="9"/>
  <c r="R46" i="9"/>
  <c r="Q46" i="9"/>
  <c r="P46" i="9"/>
  <c r="O46" i="9"/>
  <c r="N46" i="9"/>
  <c r="M46" i="9"/>
  <c r="L46" i="9"/>
  <c r="K46" i="9"/>
  <c r="J46" i="9"/>
  <c r="I46" i="9"/>
  <c r="H46" i="9"/>
  <c r="G46" i="9"/>
  <c r="F46" i="9"/>
  <c r="E46" i="9"/>
  <c r="D46" i="9"/>
  <c r="C46" i="9"/>
  <c r="B46" i="9"/>
  <c r="A46" i="9"/>
  <c r="W45" i="9"/>
  <c r="V45" i="9"/>
  <c r="U45" i="9"/>
  <c r="U43" i="9" s="1"/>
  <c r="T45" i="9"/>
  <c r="S45" i="9"/>
  <c r="R45" i="9"/>
  <c r="Q45" i="9"/>
  <c r="P45" i="9"/>
  <c r="P197" i="9" s="1"/>
  <c r="O45" i="9"/>
  <c r="N45" i="9"/>
  <c r="M45" i="9"/>
  <c r="L45" i="9"/>
  <c r="K45" i="9"/>
  <c r="J45" i="9"/>
  <c r="I45" i="9"/>
  <c r="H45" i="9"/>
  <c r="G45" i="9"/>
  <c r="F45" i="9"/>
  <c r="E45" i="9"/>
  <c r="D45" i="9"/>
  <c r="C45" i="9"/>
  <c r="B45" i="9"/>
  <c r="A45" i="9"/>
  <c r="W44" i="9"/>
  <c r="V44" i="9"/>
  <c r="U44" i="9"/>
  <c r="T44" i="9"/>
  <c r="S44" i="9"/>
  <c r="S43" i="9" s="1"/>
  <c r="R44" i="9"/>
  <c r="R43" i="9" s="1"/>
  <c r="Q44" i="9"/>
  <c r="P44" i="9"/>
  <c r="O44" i="9"/>
  <c r="N44" i="9"/>
  <c r="M44" i="9"/>
  <c r="L44" i="9"/>
  <c r="K44" i="9"/>
  <c r="J44" i="9"/>
  <c r="I44" i="9"/>
  <c r="H44" i="9"/>
  <c r="H43" i="9" s="1"/>
  <c r="G44" i="9"/>
  <c r="G43" i="9" s="1"/>
  <c r="F44" i="9"/>
  <c r="F43" i="9" s="1"/>
  <c r="E44" i="9"/>
  <c r="E43" i="9" s="1"/>
  <c r="D44" i="9"/>
  <c r="C44" i="9"/>
  <c r="B44" i="9"/>
  <c r="A44" i="9"/>
  <c r="C43" i="9"/>
  <c r="A43" i="9"/>
  <c r="W42" i="9"/>
  <c r="V42" i="9"/>
  <c r="U42" i="9"/>
  <c r="T42" i="9"/>
  <c r="S42" i="9"/>
  <c r="R42" i="9"/>
  <c r="Q42" i="9"/>
  <c r="P42" i="9"/>
  <c r="O42" i="9"/>
  <c r="N42" i="9"/>
  <c r="M42" i="9"/>
  <c r="L42" i="9"/>
  <c r="K42" i="9"/>
  <c r="J42" i="9"/>
  <c r="I42" i="9"/>
  <c r="H42" i="9"/>
  <c r="G42" i="9"/>
  <c r="F42" i="9"/>
  <c r="E42" i="9"/>
  <c r="D42" i="9"/>
  <c r="C42" i="9"/>
  <c r="B42" i="9"/>
  <c r="W41" i="9"/>
  <c r="V41" i="9"/>
  <c r="U41" i="9"/>
  <c r="T41" i="9"/>
  <c r="S41" i="9"/>
  <c r="R41" i="9"/>
  <c r="Q41" i="9"/>
  <c r="P41" i="9"/>
  <c r="O41" i="9"/>
  <c r="N41" i="9"/>
  <c r="N193" i="9" s="1"/>
  <c r="M41" i="9"/>
  <c r="L41" i="9"/>
  <c r="K41" i="9"/>
  <c r="J41" i="9"/>
  <c r="I41" i="9"/>
  <c r="H41" i="9"/>
  <c r="G41" i="9"/>
  <c r="F41" i="9"/>
  <c r="E41" i="9"/>
  <c r="D41" i="9"/>
  <c r="C41" i="9"/>
  <c r="B41" i="9"/>
  <c r="W40" i="9"/>
  <c r="V40" i="9"/>
  <c r="U40" i="9"/>
  <c r="T40" i="9"/>
  <c r="S40" i="9"/>
  <c r="R40" i="9"/>
  <c r="Q40" i="9"/>
  <c r="P40" i="9"/>
  <c r="O40" i="9"/>
  <c r="N40" i="9"/>
  <c r="M40" i="9"/>
  <c r="L40" i="9"/>
  <c r="K40" i="9"/>
  <c r="J40" i="9"/>
  <c r="I40" i="9"/>
  <c r="H40" i="9"/>
  <c r="G40" i="9"/>
  <c r="F40" i="9"/>
  <c r="E40" i="9"/>
  <c r="D40" i="9"/>
  <c r="C40" i="9"/>
  <c r="B40" i="9"/>
  <c r="W39" i="9"/>
  <c r="V39" i="9"/>
  <c r="T39" i="9"/>
  <c r="I39" i="9"/>
  <c r="A39" i="9"/>
  <c r="W38" i="9"/>
  <c r="W190" i="9" s="1"/>
  <c r="V38" i="9"/>
  <c r="U38" i="9"/>
  <c r="T38" i="9"/>
  <c r="S38" i="9"/>
  <c r="R38" i="9"/>
  <c r="Q38" i="9"/>
  <c r="P38" i="9"/>
  <c r="O38" i="9"/>
  <c r="N38" i="9"/>
  <c r="M38" i="9"/>
  <c r="L38" i="9"/>
  <c r="K38" i="9"/>
  <c r="K190" i="9" s="1"/>
  <c r="J38" i="9"/>
  <c r="I38" i="9"/>
  <c r="H38" i="9"/>
  <c r="G38" i="9"/>
  <c r="F38" i="9"/>
  <c r="E38" i="9"/>
  <c r="D38" i="9"/>
  <c r="C38" i="9"/>
  <c r="B38" i="9"/>
  <c r="W37" i="9"/>
  <c r="V37" i="9"/>
  <c r="U37" i="9"/>
  <c r="T37" i="9"/>
  <c r="S37" i="9"/>
  <c r="R37" i="9"/>
  <c r="Q37" i="9"/>
  <c r="P37" i="9"/>
  <c r="O37" i="9"/>
  <c r="N37" i="9"/>
  <c r="M37" i="9"/>
  <c r="L37" i="9"/>
  <c r="K37" i="9"/>
  <c r="J37" i="9"/>
  <c r="I37" i="9"/>
  <c r="H37" i="9"/>
  <c r="G37" i="9"/>
  <c r="F37" i="9"/>
  <c r="E37" i="9"/>
  <c r="D37" i="9"/>
  <c r="C37" i="9"/>
  <c r="B37" i="9"/>
  <c r="W36" i="9"/>
  <c r="W35" i="9" s="1"/>
  <c r="V36" i="9"/>
  <c r="U36" i="9"/>
  <c r="T36" i="9"/>
  <c r="S36" i="9"/>
  <c r="R36" i="9"/>
  <c r="Q36" i="9"/>
  <c r="P36" i="9"/>
  <c r="O36" i="9"/>
  <c r="N36" i="9"/>
  <c r="M36" i="9"/>
  <c r="L36" i="9"/>
  <c r="K36" i="9"/>
  <c r="K35" i="9" s="1"/>
  <c r="J36" i="9"/>
  <c r="I36" i="9"/>
  <c r="H36" i="9"/>
  <c r="G36" i="9"/>
  <c r="F36" i="9"/>
  <c r="E36" i="9"/>
  <c r="D36" i="9"/>
  <c r="C36" i="9"/>
  <c r="B36" i="9"/>
  <c r="B188" i="9" s="1"/>
  <c r="R35" i="9"/>
  <c r="Q35" i="9"/>
  <c r="G35" i="9"/>
  <c r="F35" i="9"/>
  <c r="E35" i="9"/>
  <c r="D35" i="9"/>
  <c r="A35" i="9"/>
  <c r="W31" i="9"/>
  <c r="X39" i="7" s="1"/>
  <c r="V31" i="9"/>
  <c r="W39" i="7" s="1"/>
  <c r="U31" i="9"/>
  <c r="V39" i="7" s="1"/>
  <c r="T31" i="9"/>
  <c r="U39" i="7" s="1"/>
  <c r="S31" i="9"/>
  <c r="S243" i="9" s="1"/>
  <c r="R31" i="9"/>
  <c r="S39" i="7" s="1"/>
  <c r="Q31" i="9"/>
  <c r="Q243" i="9" s="1"/>
  <c r="P31" i="9"/>
  <c r="Q39" i="7" s="1"/>
  <c r="O31" i="9"/>
  <c r="P39" i="7" s="1"/>
  <c r="N31" i="9"/>
  <c r="O39" i="7" s="1"/>
  <c r="M31" i="9"/>
  <c r="N39" i="7" s="1"/>
  <c r="L31" i="9"/>
  <c r="L243" i="9" s="1"/>
  <c r="K31" i="9"/>
  <c r="J31" i="9"/>
  <c r="K39" i="7" s="1"/>
  <c r="I31" i="9"/>
  <c r="J39" i="7" s="1"/>
  <c r="H31" i="9"/>
  <c r="I39" i="7" s="1"/>
  <c r="G31" i="9"/>
  <c r="G243" i="9" s="1"/>
  <c r="F31" i="9"/>
  <c r="G39" i="7" s="1"/>
  <c r="E31" i="9"/>
  <c r="F39" i="7" s="1"/>
  <c r="D31" i="9"/>
  <c r="E39" i="7" s="1"/>
  <c r="C31" i="9"/>
  <c r="D39" i="7" s="1"/>
  <c r="B31" i="9"/>
  <c r="C39" i="7" s="1"/>
  <c r="W30" i="9"/>
  <c r="X38" i="7" s="1"/>
  <c r="V30" i="9"/>
  <c r="W38" i="7" s="1"/>
  <c r="U30" i="9"/>
  <c r="V38" i="7" s="1"/>
  <c r="T30" i="9"/>
  <c r="U38" i="7" s="1"/>
  <c r="S30" i="9"/>
  <c r="T38" i="7" s="1"/>
  <c r="R30" i="9"/>
  <c r="S38" i="7" s="1"/>
  <c r="Q30" i="9"/>
  <c r="Q29" i="9" s="1"/>
  <c r="P30" i="9"/>
  <c r="Q38" i="7" s="1"/>
  <c r="O30" i="9"/>
  <c r="P38" i="7" s="1"/>
  <c r="N30" i="9"/>
  <c r="O38" i="7" s="1"/>
  <c r="M30" i="9"/>
  <c r="N38" i="7" s="1"/>
  <c r="L30" i="9"/>
  <c r="M38" i="7" s="1"/>
  <c r="K30" i="9"/>
  <c r="L38" i="7" s="1"/>
  <c r="J30" i="9"/>
  <c r="K38" i="7" s="1"/>
  <c r="I30" i="9"/>
  <c r="J38" i="7" s="1"/>
  <c r="H30" i="9"/>
  <c r="I38" i="7" s="1"/>
  <c r="G30" i="9"/>
  <c r="H38" i="7" s="1"/>
  <c r="F30" i="9"/>
  <c r="E30" i="9"/>
  <c r="F38" i="7" s="1"/>
  <c r="D30" i="9"/>
  <c r="E38" i="7" s="1"/>
  <c r="C30" i="9"/>
  <c r="D38" i="7" s="1"/>
  <c r="B30" i="9"/>
  <c r="C38" i="7" s="1"/>
  <c r="W29" i="9"/>
  <c r="V29" i="9"/>
  <c r="S29" i="9"/>
  <c r="J29" i="9"/>
  <c r="W28" i="9"/>
  <c r="W240" i="9" s="1"/>
  <c r="V28" i="9"/>
  <c r="W37" i="7" s="1"/>
  <c r="U28" i="9"/>
  <c r="V37" i="7" s="1"/>
  <c r="T28" i="9"/>
  <c r="U37" i="7" s="1"/>
  <c r="S28" i="9"/>
  <c r="T37" i="7" s="1"/>
  <c r="R28" i="9"/>
  <c r="S37" i="7" s="1"/>
  <c r="Q28" i="9"/>
  <c r="Q210" i="9" s="1"/>
  <c r="P28" i="9"/>
  <c r="Q37" i="7" s="1"/>
  <c r="O28" i="9"/>
  <c r="O26" i="9" s="1"/>
  <c r="N28" i="9"/>
  <c r="N240" i="9" s="1"/>
  <c r="M28" i="9"/>
  <c r="N37" i="7" s="1"/>
  <c r="L28" i="9"/>
  <c r="M37" i="7" s="1"/>
  <c r="K28" i="9"/>
  <c r="K240" i="9" s="1"/>
  <c r="J28" i="9"/>
  <c r="K37" i="7" s="1"/>
  <c r="I28" i="9"/>
  <c r="J37" i="7" s="1"/>
  <c r="H28" i="9"/>
  <c r="I37" i="7" s="1"/>
  <c r="G28" i="9"/>
  <c r="H37" i="7" s="1"/>
  <c r="F28" i="9"/>
  <c r="G37" i="7" s="1"/>
  <c r="E28" i="9"/>
  <c r="F37" i="7" s="1"/>
  <c r="D28" i="9"/>
  <c r="E37" i="7" s="1"/>
  <c r="C28" i="9"/>
  <c r="D37" i="7" s="1"/>
  <c r="B28" i="9"/>
  <c r="C37" i="7" s="1"/>
  <c r="A28" i="9"/>
  <c r="W27" i="9"/>
  <c r="X36" i="7" s="1"/>
  <c r="V27" i="9"/>
  <c r="V239" i="9" s="1"/>
  <c r="U27" i="9"/>
  <c r="V36" i="7" s="1"/>
  <c r="T27" i="9"/>
  <c r="U36" i="7" s="1"/>
  <c r="S27" i="9"/>
  <c r="T36" i="7" s="1"/>
  <c r="R27" i="9"/>
  <c r="S36" i="7" s="1"/>
  <c r="Q27" i="9"/>
  <c r="R36" i="7" s="1"/>
  <c r="P27" i="9"/>
  <c r="Q36" i="7" s="1"/>
  <c r="O27" i="9"/>
  <c r="O209" i="9" s="1"/>
  <c r="N27" i="9"/>
  <c r="O36" i="7" s="1"/>
  <c r="M27" i="9"/>
  <c r="N36" i="7" s="1"/>
  <c r="L27" i="9"/>
  <c r="M36" i="7" s="1"/>
  <c r="K27" i="9"/>
  <c r="L36" i="7" s="1"/>
  <c r="J27" i="9"/>
  <c r="J239" i="9" s="1"/>
  <c r="I27" i="9"/>
  <c r="J36" i="7" s="1"/>
  <c r="H27" i="9"/>
  <c r="I36" i="7" s="1"/>
  <c r="G27" i="9"/>
  <c r="H36" i="7" s="1"/>
  <c r="F27" i="9"/>
  <c r="G36" i="7" s="1"/>
  <c r="E27" i="9"/>
  <c r="E26" i="9" s="1"/>
  <c r="D27" i="9"/>
  <c r="E36" i="7" s="1"/>
  <c r="C27" i="9"/>
  <c r="D36" i="7" s="1"/>
  <c r="B27" i="9"/>
  <c r="B26" i="9" s="1"/>
  <c r="A27" i="9"/>
  <c r="A119" i="9" s="1"/>
  <c r="W26" i="9"/>
  <c r="P26" i="9"/>
  <c r="M26" i="9"/>
  <c r="L26" i="9"/>
  <c r="W25" i="9"/>
  <c r="X35" i="7" s="1"/>
  <c r="V25" i="9"/>
  <c r="W35" i="7" s="1"/>
  <c r="U25" i="9"/>
  <c r="V35" i="7" s="1"/>
  <c r="T25" i="9"/>
  <c r="U35" i="7" s="1"/>
  <c r="S25" i="9"/>
  <c r="S237" i="9" s="1"/>
  <c r="R25" i="9"/>
  <c r="S29" i="7" s="1"/>
  <c r="Q25" i="9"/>
  <c r="Q237" i="9" s="1"/>
  <c r="P25" i="9"/>
  <c r="Q29" i="7" s="1"/>
  <c r="O25" i="9"/>
  <c r="N25" i="9"/>
  <c r="N237" i="9" s="1"/>
  <c r="M25" i="9"/>
  <c r="M237" i="9" s="1"/>
  <c r="L25" i="9"/>
  <c r="M35" i="7" s="1"/>
  <c r="K25" i="9"/>
  <c r="L35" i="7" s="1"/>
  <c r="J25" i="9"/>
  <c r="K35" i="7" s="1"/>
  <c r="I25" i="9"/>
  <c r="J35" i="7" s="1"/>
  <c r="H25" i="9"/>
  <c r="I35" i="7" s="1"/>
  <c r="G25" i="9"/>
  <c r="G237" i="9" s="1"/>
  <c r="F25" i="9"/>
  <c r="G29" i="7" s="1"/>
  <c r="E25" i="9"/>
  <c r="F29" i="7" s="1"/>
  <c r="D25" i="9"/>
  <c r="E29" i="7" s="1"/>
  <c r="C25" i="9"/>
  <c r="D29" i="7" s="1"/>
  <c r="B25" i="9"/>
  <c r="C29" i="7" s="1"/>
  <c r="W24" i="9"/>
  <c r="X28" i="7" s="1"/>
  <c r="V24" i="9"/>
  <c r="W28" i="7" s="1"/>
  <c r="U24" i="9"/>
  <c r="V34" i="7" s="1"/>
  <c r="T24" i="9"/>
  <c r="U34" i="7" s="1"/>
  <c r="S24" i="9"/>
  <c r="T34" i="7" s="1"/>
  <c r="R24" i="9"/>
  <c r="S34" i="7" s="1"/>
  <c r="Q24" i="9"/>
  <c r="R34" i="7" s="1"/>
  <c r="P24" i="9"/>
  <c r="P236" i="9" s="1"/>
  <c r="O24" i="9"/>
  <c r="P28" i="7" s="1"/>
  <c r="N24" i="9"/>
  <c r="O28" i="7" s="1"/>
  <c r="M24" i="9"/>
  <c r="N28" i="7" s="1"/>
  <c r="L24" i="9"/>
  <c r="L236" i="9" s="1"/>
  <c r="K24" i="9"/>
  <c r="K236" i="9" s="1"/>
  <c r="J24" i="9"/>
  <c r="K28" i="7" s="1"/>
  <c r="I24" i="9"/>
  <c r="I236" i="9" s="1"/>
  <c r="H24" i="9"/>
  <c r="I34" i="7" s="1"/>
  <c r="G24" i="9"/>
  <c r="H28" i="7" s="1"/>
  <c r="F24" i="9"/>
  <c r="F236" i="9" s="1"/>
  <c r="E24" i="9"/>
  <c r="F34" i="7" s="1"/>
  <c r="D24" i="9"/>
  <c r="E34" i="7" s="1"/>
  <c r="C24" i="9"/>
  <c r="D28" i="7" s="1"/>
  <c r="B24" i="9"/>
  <c r="C28" i="7" s="1"/>
  <c r="W23" i="9"/>
  <c r="X27" i="7" s="1"/>
  <c r="V23" i="9"/>
  <c r="W27" i="7" s="1"/>
  <c r="U23" i="9"/>
  <c r="V27" i="7" s="1"/>
  <c r="T23" i="9"/>
  <c r="U27" i="7" s="1"/>
  <c r="S23" i="9"/>
  <c r="T27" i="7" s="1"/>
  <c r="R23" i="9"/>
  <c r="S33" i="7" s="1"/>
  <c r="Q23" i="9"/>
  <c r="R33" i="7" s="1"/>
  <c r="P23" i="9"/>
  <c r="Q33" i="7" s="1"/>
  <c r="O23" i="9"/>
  <c r="O235" i="9" s="1"/>
  <c r="N23" i="9"/>
  <c r="N235" i="9" s="1"/>
  <c r="M23" i="9"/>
  <c r="N33" i="7" s="1"/>
  <c r="L23" i="9"/>
  <c r="M27" i="7" s="1"/>
  <c r="K23" i="9"/>
  <c r="L27" i="7" s="1"/>
  <c r="J23" i="9"/>
  <c r="K27" i="7" s="1"/>
  <c r="I23" i="9"/>
  <c r="J27" i="7" s="1"/>
  <c r="H23" i="9"/>
  <c r="H235" i="9" s="1"/>
  <c r="G23" i="9"/>
  <c r="H27" i="7" s="1"/>
  <c r="F23" i="9"/>
  <c r="G33" i="7" s="1"/>
  <c r="E23" i="9"/>
  <c r="F33" i="7" s="1"/>
  <c r="D23" i="9"/>
  <c r="D205" i="9" s="1"/>
  <c r="C23" i="9"/>
  <c r="C235" i="9" s="1"/>
  <c r="B23" i="9"/>
  <c r="B235" i="9" s="1"/>
  <c r="D22" i="9"/>
  <c r="W21" i="9"/>
  <c r="X32" i="7" s="1"/>
  <c r="V21" i="9"/>
  <c r="W32" i="7" s="1"/>
  <c r="U21" i="9"/>
  <c r="V32" i="7" s="1"/>
  <c r="T21" i="9"/>
  <c r="U32" i="7" s="1"/>
  <c r="S21" i="9"/>
  <c r="T32" i="7" s="1"/>
  <c r="R21" i="9"/>
  <c r="S32" i="7" s="1"/>
  <c r="Q21" i="9"/>
  <c r="R32" i="7" s="1"/>
  <c r="P21" i="9"/>
  <c r="Q32" i="7" s="1"/>
  <c r="O21" i="9"/>
  <c r="P32" i="7" s="1"/>
  <c r="N21" i="9"/>
  <c r="O32" i="7" s="1"/>
  <c r="M21" i="9"/>
  <c r="M233" i="9" s="1"/>
  <c r="L21" i="9"/>
  <c r="M32" i="7" s="1"/>
  <c r="K21" i="9"/>
  <c r="L32" i="7" s="1"/>
  <c r="J21" i="9"/>
  <c r="J233" i="9" s="1"/>
  <c r="I21" i="9"/>
  <c r="J32" i="7" s="1"/>
  <c r="H21" i="9"/>
  <c r="I32" i="7" s="1"/>
  <c r="G21" i="9"/>
  <c r="G233" i="9" s="1"/>
  <c r="F21" i="9"/>
  <c r="G32" i="7" s="1"/>
  <c r="E21" i="9"/>
  <c r="F32" i="7" s="1"/>
  <c r="D21" i="9"/>
  <c r="E32" i="7" s="1"/>
  <c r="C21" i="9"/>
  <c r="D32" i="7" s="1"/>
  <c r="B21" i="9"/>
  <c r="C32" i="7" s="1"/>
  <c r="W20" i="9"/>
  <c r="X31" i="7" s="1"/>
  <c r="V20" i="9"/>
  <c r="W31" i="7" s="1"/>
  <c r="U20" i="9"/>
  <c r="U232" i="9" s="1"/>
  <c r="T20" i="9"/>
  <c r="U31" i="7" s="1"/>
  <c r="S20" i="9"/>
  <c r="T31" i="7" s="1"/>
  <c r="R20" i="9"/>
  <c r="S31" i="7" s="1"/>
  <c r="Q20" i="9"/>
  <c r="R31" i="7" s="1"/>
  <c r="P20" i="9"/>
  <c r="Q31" i="7" s="1"/>
  <c r="O20" i="9"/>
  <c r="P31" i="7" s="1"/>
  <c r="N20" i="9"/>
  <c r="O31" i="7" s="1"/>
  <c r="M20" i="9"/>
  <c r="L20" i="9"/>
  <c r="M31" i="7" s="1"/>
  <c r="K20" i="9"/>
  <c r="L31" i="7" s="1"/>
  <c r="J20" i="9"/>
  <c r="J232" i="9" s="1"/>
  <c r="I20" i="9"/>
  <c r="I232" i="9" s="1"/>
  <c r="H20" i="9"/>
  <c r="I31" i="7" s="1"/>
  <c r="G20" i="9"/>
  <c r="G202" i="9" s="1"/>
  <c r="F20" i="9"/>
  <c r="G31" i="7" s="1"/>
  <c r="E20" i="9"/>
  <c r="F31" i="7" s="1"/>
  <c r="D20" i="9"/>
  <c r="E31" i="7" s="1"/>
  <c r="C20" i="9"/>
  <c r="D31" i="7" s="1"/>
  <c r="B20" i="9"/>
  <c r="C31" i="7" s="1"/>
  <c r="A20" i="9"/>
  <c r="A50" i="9" s="1"/>
  <c r="W19" i="9"/>
  <c r="X30" i="7" s="1"/>
  <c r="V19" i="9"/>
  <c r="W30" i="7" s="1"/>
  <c r="U19" i="9"/>
  <c r="V30" i="7" s="1"/>
  <c r="T19" i="9"/>
  <c r="U30" i="7" s="1"/>
  <c r="S19" i="9"/>
  <c r="T30" i="7" s="1"/>
  <c r="R19" i="9"/>
  <c r="S30" i="7" s="1"/>
  <c r="Q19" i="9"/>
  <c r="R30" i="7" s="1"/>
  <c r="P19" i="9"/>
  <c r="Q30" i="7" s="1"/>
  <c r="O19" i="9"/>
  <c r="P30" i="7" s="1"/>
  <c r="N19" i="9"/>
  <c r="N231" i="9" s="1"/>
  <c r="M19" i="9"/>
  <c r="N30" i="7" s="1"/>
  <c r="L19" i="9"/>
  <c r="M30" i="7" s="1"/>
  <c r="K19" i="9"/>
  <c r="L30" i="7" s="1"/>
  <c r="J19" i="9"/>
  <c r="J18" i="9" s="1"/>
  <c r="I19" i="9"/>
  <c r="I231" i="9" s="1"/>
  <c r="H19" i="9"/>
  <c r="H18" i="9" s="1"/>
  <c r="G19" i="9"/>
  <c r="H30" i="7" s="1"/>
  <c r="F19" i="9"/>
  <c r="G30" i="7" s="1"/>
  <c r="E19" i="9"/>
  <c r="F30" i="7" s="1"/>
  <c r="D19" i="9"/>
  <c r="E30" i="7" s="1"/>
  <c r="C19" i="9"/>
  <c r="D30" i="7" s="1"/>
  <c r="B19" i="9"/>
  <c r="C30" i="7" s="1"/>
  <c r="A19" i="9"/>
  <c r="A79" i="9" s="1"/>
  <c r="W18" i="9"/>
  <c r="U18" i="9"/>
  <c r="R18" i="9"/>
  <c r="N18" i="9"/>
  <c r="F18" i="9"/>
  <c r="W16" i="9"/>
  <c r="V16" i="9"/>
  <c r="U16" i="9"/>
  <c r="T16" i="9"/>
  <c r="S16" i="9"/>
  <c r="S228" i="9" s="1"/>
  <c r="R16" i="9"/>
  <c r="Q16" i="9"/>
  <c r="P16" i="9"/>
  <c r="O16" i="9"/>
  <c r="N16" i="9"/>
  <c r="M16" i="9"/>
  <c r="M228" i="9" s="1"/>
  <c r="L16" i="9"/>
  <c r="K16" i="9"/>
  <c r="J16" i="9"/>
  <c r="I16" i="9"/>
  <c r="H16" i="9"/>
  <c r="G16" i="9"/>
  <c r="F16" i="9"/>
  <c r="E16" i="9"/>
  <c r="E228" i="9" s="1"/>
  <c r="D16" i="9"/>
  <c r="C16" i="9"/>
  <c r="B16" i="9"/>
  <c r="W15" i="9"/>
  <c r="V15" i="9"/>
  <c r="U15" i="9"/>
  <c r="T15" i="9"/>
  <c r="S15" i="9"/>
  <c r="R15" i="9"/>
  <c r="Q15" i="9"/>
  <c r="P15" i="9"/>
  <c r="P13" i="9" s="1"/>
  <c r="O15" i="9"/>
  <c r="O227" i="9" s="1"/>
  <c r="N15" i="9"/>
  <c r="M15" i="9"/>
  <c r="L15" i="9"/>
  <c r="K15" i="9"/>
  <c r="K227" i="9" s="1"/>
  <c r="J15" i="9"/>
  <c r="I15" i="9"/>
  <c r="H15" i="9"/>
  <c r="G15" i="9"/>
  <c r="F15" i="9"/>
  <c r="E15" i="9"/>
  <c r="D15" i="9"/>
  <c r="C15" i="9"/>
  <c r="B15" i="9"/>
  <c r="B227" i="9" s="1"/>
  <c r="W14" i="9"/>
  <c r="V14" i="9"/>
  <c r="V226" i="9" s="1"/>
  <c r="U14" i="9"/>
  <c r="U226" i="9" s="1"/>
  <c r="T14" i="9"/>
  <c r="S14" i="9"/>
  <c r="R14" i="9"/>
  <c r="Q14" i="9"/>
  <c r="P14" i="9"/>
  <c r="O14" i="9"/>
  <c r="N14" i="9"/>
  <c r="M14" i="9"/>
  <c r="M13" i="9" s="1"/>
  <c r="L14" i="9"/>
  <c r="L13" i="9" s="1"/>
  <c r="K14" i="9"/>
  <c r="K226" i="9" s="1"/>
  <c r="J14" i="9"/>
  <c r="J226" i="9" s="1"/>
  <c r="I14" i="9"/>
  <c r="H14" i="9"/>
  <c r="G14" i="9"/>
  <c r="F14" i="9"/>
  <c r="E14" i="9"/>
  <c r="D14" i="9"/>
  <c r="C14" i="9"/>
  <c r="B14" i="9"/>
  <c r="W12" i="9"/>
  <c r="X26" i="7" s="1"/>
  <c r="V12" i="9"/>
  <c r="V224" i="9" s="1"/>
  <c r="U12" i="9"/>
  <c r="V26" i="7" s="1"/>
  <c r="T12" i="9"/>
  <c r="U26" i="7" s="1"/>
  <c r="S12" i="9"/>
  <c r="T26" i="7" s="1"/>
  <c r="R12" i="9"/>
  <c r="S26" i="7" s="1"/>
  <c r="Q12" i="9"/>
  <c r="R26" i="7" s="1"/>
  <c r="P12" i="9"/>
  <c r="Q26" i="7" s="1"/>
  <c r="O12" i="9"/>
  <c r="O224" i="9" s="1"/>
  <c r="N12" i="9"/>
  <c r="O26" i="7" s="1"/>
  <c r="M12" i="9"/>
  <c r="N26" i="7" s="1"/>
  <c r="L12" i="9"/>
  <c r="M26" i="7" s="1"/>
  <c r="K12" i="9"/>
  <c r="L26" i="7" s="1"/>
  <c r="J12" i="9"/>
  <c r="K26" i="7" s="1"/>
  <c r="I12" i="9"/>
  <c r="J26" i="7" s="1"/>
  <c r="H12" i="9"/>
  <c r="I26" i="7" s="1"/>
  <c r="G12" i="9"/>
  <c r="H26" i="7" s="1"/>
  <c r="F12" i="9"/>
  <c r="G26" i="7" s="1"/>
  <c r="E12" i="9"/>
  <c r="F26" i="7" s="1"/>
  <c r="D12" i="9"/>
  <c r="E26" i="7" s="1"/>
  <c r="C12" i="9"/>
  <c r="C9" i="9" s="1"/>
  <c r="B12" i="9"/>
  <c r="C26" i="7" s="1"/>
  <c r="A12" i="9"/>
  <c r="W11" i="9"/>
  <c r="W223" i="9" s="1"/>
  <c r="V11" i="9"/>
  <c r="W25" i="7" s="1"/>
  <c r="U11" i="9"/>
  <c r="V25" i="7" s="1"/>
  <c r="T11" i="9"/>
  <c r="T223" i="9" s="1"/>
  <c r="S11" i="9"/>
  <c r="T25" i="7" s="1"/>
  <c r="R11" i="9"/>
  <c r="S25" i="7" s="1"/>
  <c r="Q11" i="9"/>
  <c r="R25" i="7" s="1"/>
  <c r="P11" i="9"/>
  <c r="Q25" i="7" s="1"/>
  <c r="O11" i="9"/>
  <c r="P25" i="7" s="1"/>
  <c r="N11" i="9"/>
  <c r="O25" i="7" s="1"/>
  <c r="M11" i="9"/>
  <c r="M223" i="9" s="1"/>
  <c r="L11" i="9"/>
  <c r="M25" i="7" s="1"/>
  <c r="K11" i="9"/>
  <c r="L25" i="7" s="1"/>
  <c r="J11" i="9"/>
  <c r="K25" i="7" s="1"/>
  <c r="I11" i="9"/>
  <c r="J25" i="7" s="1"/>
  <c r="H11" i="9"/>
  <c r="I25" i="7" s="1"/>
  <c r="G11" i="9"/>
  <c r="H25" i="7" s="1"/>
  <c r="F11" i="9"/>
  <c r="G25" i="7" s="1"/>
  <c r="E11" i="9"/>
  <c r="F25" i="7" s="1"/>
  <c r="D11" i="9"/>
  <c r="E25" i="7" s="1"/>
  <c r="C11" i="9"/>
  <c r="D25" i="7" s="1"/>
  <c r="B11" i="9"/>
  <c r="C25" i="7" s="1"/>
  <c r="A11" i="9"/>
  <c r="A41" i="9" s="1"/>
  <c r="W10" i="9"/>
  <c r="X24" i="7" s="1"/>
  <c r="V10" i="9"/>
  <c r="V222" i="9" s="1"/>
  <c r="U10" i="9"/>
  <c r="V24" i="7" s="1"/>
  <c r="T10" i="9"/>
  <c r="T222" i="9" s="1"/>
  <c r="S10" i="9"/>
  <c r="T24" i="7" s="1"/>
  <c r="R10" i="9"/>
  <c r="S24" i="7" s="1"/>
  <c r="Q10" i="9"/>
  <c r="R24" i="7" s="1"/>
  <c r="P10" i="9"/>
  <c r="Q24" i="7" s="1"/>
  <c r="O10" i="9"/>
  <c r="P24" i="7" s="1"/>
  <c r="N10" i="9"/>
  <c r="O24" i="7" s="1"/>
  <c r="M10" i="9"/>
  <c r="N24" i="7" s="1"/>
  <c r="L10" i="9"/>
  <c r="M24" i="7" s="1"/>
  <c r="K10" i="9"/>
  <c r="K9" i="9" s="1"/>
  <c r="J10" i="9"/>
  <c r="K24" i="7" s="1"/>
  <c r="I10" i="9"/>
  <c r="J24" i="7" s="1"/>
  <c r="H10" i="9"/>
  <c r="I24" i="7" s="1"/>
  <c r="G10" i="9"/>
  <c r="H24" i="7" s="1"/>
  <c r="F10" i="9"/>
  <c r="G24" i="7" s="1"/>
  <c r="E10" i="9"/>
  <c r="E222" i="9" s="1"/>
  <c r="D10" i="9"/>
  <c r="E24" i="7" s="1"/>
  <c r="C10" i="9"/>
  <c r="D24" i="7" s="1"/>
  <c r="B10" i="9"/>
  <c r="C24" i="7" s="1"/>
  <c r="A10" i="9"/>
  <c r="A70" i="9" s="1"/>
  <c r="R9" i="9"/>
  <c r="Q9" i="9"/>
  <c r="E9" i="9"/>
  <c r="W8" i="9"/>
  <c r="X23" i="7" s="1"/>
  <c r="V8" i="9"/>
  <c r="W23" i="7" s="1"/>
  <c r="U8" i="9"/>
  <c r="V23" i="7" s="1"/>
  <c r="T8" i="9"/>
  <c r="U23" i="7" s="1"/>
  <c r="S8" i="9"/>
  <c r="T23" i="7" s="1"/>
  <c r="R8" i="9"/>
  <c r="S23" i="7" s="1"/>
  <c r="Q8" i="9"/>
  <c r="R23" i="7" s="1"/>
  <c r="P8" i="9"/>
  <c r="Q23" i="7" s="1"/>
  <c r="O8" i="9"/>
  <c r="N8" i="9"/>
  <c r="N220" i="9" s="1"/>
  <c r="M8" i="9"/>
  <c r="N23" i="7" s="1"/>
  <c r="L8" i="9"/>
  <c r="M23" i="7" s="1"/>
  <c r="K8" i="9"/>
  <c r="L23" i="7" s="1"/>
  <c r="J8" i="9"/>
  <c r="K23" i="7" s="1"/>
  <c r="I8" i="9"/>
  <c r="J23" i="7" s="1"/>
  <c r="H8" i="9"/>
  <c r="H220" i="9" s="1"/>
  <c r="G8" i="9"/>
  <c r="H23" i="7" s="1"/>
  <c r="F8" i="9"/>
  <c r="G23" i="7" s="1"/>
  <c r="E8" i="9"/>
  <c r="F23" i="7" s="1"/>
  <c r="D8" i="9"/>
  <c r="E23" i="7" s="1"/>
  <c r="C8" i="9"/>
  <c r="B8" i="9"/>
  <c r="B220" i="9" s="1"/>
  <c r="A8" i="9"/>
  <c r="A38" i="9" s="1"/>
  <c r="W7" i="9"/>
  <c r="X22" i="7" s="1"/>
  <c r="V7" i="9"/>
  <c r="W22" i="7" s="1"/>
  <c r="U7" i="9"/>
  <c r="V22" i="7" s="1"/>
  <c r="T7" i="9"/>
  <c r="U22" i="7" s="1"/>
  <c r="S7" i="9"/>
  <c r="T22" i="7" s="1"/>
  <c r="R7" i="9"/>
  <c r="S22" i="7" s="1"/>
  <c r="Q7" i="9"/>
  <c r="R22" i="7" s="1"/>
  <c r="P7" i="9"/>
  <c r="Q22" i="7" s="1"/>
  <c r="O7" i="9"/>
  <c r="P22" i="7" s="1"/>
  <c r="N7" i="9"/>
  <c r="O22" i="7" s="1"/>
  <c r="M7" i="9"/>
  <c r="N22" i="7" s="1"/>
  <c r="L7" i="9"/>
  <c r="M22" i="7" s="1"/>
  <c r="K7" i="9"/>
  <c r="L22" i="7" s="1"/>
  <c r="J7" i="9"/>
  <c r="K22" i="7" s="1"/>
  <c r="I7" i="9"/>
  <c r="I219" i="9" s="1"/>
  <c r="H7" i="9"/>
  <c r="I22" i="7" s="1"/>
  <c r="G7" i="9"/>
  <c r="G219" i="9" s="1"/>
  <c r="F7" i="9"/>
  <c r="F219" i="9" s="1"/>
  <c r="E7" i="9"/>
  <c r="F22" i="7" s="1"/>
  <c r="D7" i="9"/>
  <c r="D219" i="9" s="1"/>
  <c r="C7" i="9"/>
  <c r="D22" i="7" s="1"/>
  <c r="B7" i="9"/>
  <c r="C22" i="7" s="1"/>
  <c r="A7" i="9"/>
  <c r="A129" i="9" s="1"/>
  <c r="W6" i="9"/>
  <c r="X21" i="7" s="1"/>
  <c r="V6" i="9"/>
  <c r="W21" i="7" s="1"/>
  <c r="U6" i="9"/>
  <c r="V21" i="7" s="1"/>
  <c r="T6" i="9"/>
  <c r="U21" i="7" s="1"/>
  <c r="S6" i="9"/>
  <c r="S5" i="9" s="1"/>
  <c r="R6" i="9"/>
  <c r="S21" i="7" s="1"/>
  <c r="Q6" i="9"/>
  <c r="R21" i="7" s="1"/>
  <c r="P6" i="9"/>
  <c r="Q21" i="7" s="1"/>
  <c r="O6" i="9"/>
  <c r="O218" i="9" s="1"/>
  <c r="N6" i="9"/>
  <c r="O21" i="7" s="1"/>
  <c r="M6" i="9"/>
  <c r="N21" i="7" s="1"/>
  <c r="L6" i="9"/>
  <c r="M21" i="7" s="1"/>
  <c r="K6" i="9"/>
  <c r="L21" i="7" s="1"/>
  <c r="J6" i="9"/>
  <c r="K21" i="7" s="1"/>
  <c r="I6" i="9"/>
  <c r="J21" i="7" s="1"/>
  <c r="H6" i="9"/>
  <c r="I21" i="7" s="1"/>
  <c r="G6" i="9"/>
  <c r="H21" i="7" s="1"/>
  <c r="F6" i="9"/>
  <c r="G21" i="7" s="1"/>
  <c r="E6" i="9"/>
  <c r="F21" i="7" s="1"/>
  <c r="D6" i="9"/>
  <c r="C6" i="9"/>
  <c r="D21" i="7" s="1"/>
  <c r="B6" i="9"/>
  <c r="B5" i="9" s="1"/>
  <c r="A6" i="9"/>
  <c r="A36" i="9" s="1"/>
  <c r="L5" i="9"/>
  <c r="L217" i="9" s="1"/>
  <c r="R47" i="9" l="1"/>
  <c r="C5" i="9"/>
  <c r="O5" i="9"/>
  <c r="O22" i="9"/>
  <c r="N26" i="9"/>
  <c r="A49" i="9"/>
  <c r="F209" i="9"/>
  <c r="F82" i="9"/>
  <c r="C21" i="7"/>
  <c r="C33" i="7"/>
  <c r="S35" i="7"/>
  <c r="G35" i="7"/>
  <c r="P34" i="7"/>
  <c r="D34" i="7"/>
  <c r="M33" i="7"/>
  <c r="M29" i="7"/>
  <c r="V28" i="7"/>
  <c r="J28" i="7"/>
  <c r="S27" i="7"/>
  <c r="G27" i="7"/>
  <c r="P26" i="7"/>
  <c r="D26" i="7"/>
  <c r="C23" i="7"/>
  <c r="C35" i="7"/>
  <c r="R39" i="7"/>
  <c r="X37" i="7"/>
  <c r="L37" i="7"/>
  <c r="R35" i="7"/>
  <c r="F35" i="7"/>
  <c r="O34" i="7"/>
  <c r="X33" i="7"/>
  <c r="L33" i="7"/>
  <c r="O30" i="7"/>
  <c r="X29" i="7"/>
  <c r="L29" i="7"/>
  <c r="U28" i="7"/>
  <c r="I28" i="7"/>
  <c r="R27" i="7"/>
  <c r="F27" i="7"/>
  <c r="X25" i="7"/>
  <c r="U24" i="7"/>
  <c r="H22" i="9"/>
  <c r="R26" i="9"/>
  <c r="E29" i="9"/>
  <c r="E121" i="9" s="1"/>
  <c r="F29" i="9"/>
  <c r="B192" i="9"/>
  <c r="C39" i="9"/>
  <c r="O39" i="9"/>
  <c r="Q39" i="9"/>
  <c r="S89" i="9"/>
  <c r="S181" i="9" s="1"/>
  <c r="H231" i="9"/>
  <c r="C34" i="7"/>
  <c r="Q35" i="7"/>
  <c r="E35" i="7"/>
  <c r="N34" i="7"/>
  <c r="W33" i="7"/>
  <c r="K33" i="7"/>
  <c r="H32" i="7"/>
  <c r="W29" i="7"/>
  <c r="K29" i="7"/>
  <c r="T28" i="7"/>
  <c r="Q27" i="7"/>
  <c r="E27" i="7"/>
  <c r="D5" i="9"/>
  <c r="C13" i="9"/>
  <c r="V18" i="9"/>
  <c r="G29" i="9"/>
  <c r="G123" i="9" s="1"/>
  <c r="C192" i="9"/>
  <c r="D193" i="9"/>
  <c r="C198" i="9"/>
  <c r="W210" i="9"/>
  <c r="R86" i="9"/>
  <c r="L182" i="9"/>
  <c r="J231" i="9"/>
  <c r="C36" i="7"/>
  <c r="P35" i="7"/>
  <c r="D35" i="7"/>
  <c r="M34" i="7"/>
  <c r="V33" i="7"/>
  <c r="J33" i="7"/>
  <c r="V29" i="7"/>
  <c r="J29" i="7"/>
  <c r="S28" i="7"/>
  <c r="G28" i="7"/>
  <c r="P27" i="7"/>
  <c r="D27" i="7"/>
  <c r="P23" i="7"/>
  <c r="D23" i="7"/>
  <c r="D13" i="9"/>
  <c r="D225" i="9" s="1"/>
  <c r="M18" i="9"/>
  <c r="I29" i="9"/>
  <c r="F202" i="9"/>
  <c r="C206" i="9"/>
  <c r="T82" i="9"/>
  <c r="E122" i="9"/>
  <c r="F36" i="7"/>
  <c r="O35" i="7"/>
  <c r="X34" i="7"/>
  <c r="L34" i="7"/>
  <c r="U33" i="7"/>
  <c r="I33" i="7"/>
  <c r="U29" i="7"/>
  <c r="I29" i="7"/>
  <c r="R28" i="7"/>
  <c r="F28" i="7"/>
  <c r="O27" i="7"/>
  <c r="U25" i="7"/>
  <c r="F24" i="7"/>
  <c r="O23" i="7"/>
  <c r="K29" i="9"/>
  <c r="K121" i="9" s="1"/>
  <c r="H190" i="9"/>
  <c r="R193" i="9"/>
  <c r="H203" i="9"/>
  <c r="C205" i="9"/>
  <c r="Q207" i="9"/>
  <c r="V86" i="9"/>
  <c r="L233" i="9"/>
  <c r="N35" i="7"/>
  <c r="W34" i="7"/>
  <c r="K34" i="7"/>
  <c r="T33" i="7"/>
  <c r="H33" i="7"/>
  <c r="N31" i="7"/>
  <c r="K30" i="7"/>
  <c r="T29" i="7"/>
  <c r="H29" i="7"/>
  <c r="Q28" i="7"/>
  <c r="E28" i="7"/>
  <c r="N27" i="7"/>
  <c r="W26" i="7"/>
  <c r="T21" i="7"/>
  <c r="H13" i="9"/>
  <c r="T13" i="9"/>
  <c r="G22" i="9"/>
  <c r="P29" i="9"/>
  <c r="P241" i="9" s="1"/>
  <c r="C27" i="7"/>
  <c r="M39" i="7"/>
  <c r="P36" i="7"/>
  <c r="J34" i="7"/>
  <c r="J30" i="7"/>
  <c r="J22" i="7"/>
  <c r="I35" i="9"/>
  <c r="I202" i="9"/>
  <c r="F206" i="9"/>
  <c r="L39" i="7"/>
  <c r="R37" i="7"/>
  <c r="I30" i="7"/>
  <c r="R29" i="7"/>
  <c r="F26" i="9"/>
  <c r="K203" i="9"/>
  <c r="W203" i="9"/>
  <c r="F205" i="9"/>
  <c r="I73" i="9"/>
  <c r="A159" i="9"/>
  <c r="H34" i="7"/>
  <c r="E33" i="7"/>
  <c r="N32" i="7"/>
  <c r="K31" i="7"/>
  <c r="H22" i="7"/>
  <c r="E21" i="7"/>
  <c r="L22" i="9"/>
  <c r="J26" i="9"/>
  <c r="L194" i="9"/>
  <c r="G38" i="7"/>
  <c r="P37" i="7"/>
  <c r="G34" i="7"/>
  <c r="P33" i="7"/>
  <c r="D33" i="7"/>
  <c r="V31" i="7"/>
  <c r="J31" i="7"/>
  <c r="P29" i="7"/>
  <c r="M28" i="7"/>
  <c r="G22" i="7"/>
  <c r="P21" i="7"/>
  <c r="I18" i="9"/>
  <c r="L189" i="9"/>
  <c r="U206" i="9"/>
  <c r="D209" i="9"/>
  <c r="R38" i="7"/>
  <c r="O37" i="7"/>
  <c r="O33" i="7"/>
  <c r="O29" i="7"/>
  <c r="L28" i="7"/>
  <c r="I27" i="7"/>
  <c r="L24" i="7"/>
  <c r="I23" i="7"/>
  <c r="M5" i="9"/>
  <c r="O9" i="9"/>
  <c r="O191" i="9" s="1"/>
  <c r="A37" i="9"/>
  <c r="M189" i="9"/>
  <c r="B39" i="9"/>
  <c r="U196" i="9"/>
  <c r="M202" i="9"/>
  <c r="N218" i="9"/>
  <c r="T39" i="7"/>
  <c r="H39" i="7"/>
  <c r="W36" i="7"/>
  <c r="K36" i="7"/>
  <c r="T35" i="7"/>
  <c r="H35" i="7"/>
  <c r="Q34" i="7"/>
  <c r="K32" i="7"/>
  <c r="H31" i="7"/>
  <c r="N29" i="7"/>
  <c r="N25" i="7"/>
  <c r="W24" i="7"/>
  <c r="E22" i="7"/>
  <c r="C217" i="9"/>
  <c r="C4" i="9"/>
  <c r="O217" i="9"/>
  <c r="K221" i="9"/>
  <c r="F151" i="9"/>
  <c r="F211" i="9"/>
  <c r="F121" i="9"/>
  <c r="C191" i="9"/>
  <c r="Q191" i="9"/>
  <c r="C139" i="9"/>
  <c r="C147" i="9"/>
  <c r="C146" i="9"/>
  <c r="C141" i="9"/>
  <c r="C225" i="9"/>
  <c r="C105" i="9"/>
  <c r="K241" i="9"/>
  <c r="B238" i="9"/>
  <c r="F238" i="9"/>
  <c r="G234" i="9"/>
  <c r="Q227" i="9"/>
  <c r="V190" i="9"/>
  <c r="B203" i="9"/>
  <c r="R65" i="9"/>
  <c r="S220" i="9"/>
  <c r="Q235" i="9"/>
  <c r="H219" i="9"/>
  <c r="W222" i="9"/>
  <c r="W192" i="9"/>
  <c r="W9" i="9"/>
  <c r="W191" i="9" s="1"/>
  <c r="B217" i="9"/>
  <c r="F222" i="9"/>
  <c r="F192" i="9"/>
  <c r="F9" i="9"/>
  <c r="R222" i="9"/>
  <c r="G223" i="9"/>
  <c r="S223" i="9"/>
  <c r="H224" i="9"/>
  <c r="T224" i="9"/>
  <c r="N238" i="9"/>
  <c r="H239" i="9"/>
  <c r="H26" i="9"/>
  <c r="T239" i="9"/>
  <c r="T26" i="9"/>
  <c r="I240" i="9"/>
  <c r="U240" i="9"/>
  <c r="V241" i="9"/>
  <c r="V121" i="9"/>
  <c r="L242" i="9"/>
  <c r="L212" i="9"/>
  <c r="B243" i="9"/>
  <c r="N243" i="9"/>
  <c r="J201" i="9"/>
  <c r="J48" i="9"/>
  <c r="V201" i="9"/>
  <c r="V48" i="9"/>
  <c r="K202" i="9"/>
  <c r="K48" i="9"/>
  <c r="W202" i="9"/>
  <c r="L203" i="9"/>
  <c r="V211" i="9"/>
  <c r="V151" i="9"/>
  <c r="V153" i="9"/>
  <c r="V152" i="9"/>
  <c r="R73" i="9"/>
  <c r="O221" i="9"/>
  <c r="G222" i="9"/>
  <c r="S222" i="9"/>
  <c r="H223" i="9"/>
  <c r="I224" i="9"/>
  <c r="U224" i="9"/>
  <c r="B226" i="9"/>
  <c r="B13" i="9"/>
  <c r="N226" i="9"/>
  <c r="D227" i="9"/>
  <c r="P227" i="9"/>
  <c r="F228" i="9"/>
  <c r="R228" i="9"/>
  <c r="W241" i="9"/>
  <c r="W121" i="9"/>
  <c r="M242" i="9"/>
  <c r="M29" i="9"/>
  <c r="M122" i="9" s="1"/>
  <c r="M212" i="9"/>
  <c r="C243" i="9"/>
  <c r="C29" i="9"/>
  <c r="O243" i="9"/>
  <c r="O29" i="9"/>
  <c r="G188" i="9"/>
  <c r="S188" i="9"/>
  <c r="S35" i="9"/>
  <c r="H189" i="9"/>
  <c r="T189" i="9"/>
  <c r="I190" i="9"/>
  <c r="U190" i="9"/>
  <c r="J192" i="9"/>
  <c r="V192" i="9"/>
  <c r="K193" i="9"/>
  <c r="K39" i="9"/>
  <c r="W193" i="9"/>
  <c r="M194" i="9"/>
  <c r="C195" i="9"/>
  <c r="U200" i="9"/>
  <c r="C144" i="9"/>
  <c r="O64" i="9"/>
  <c r="O161" i="9" s="1"/>
  <c r="P69" i="9"/>
  <c r="G73" i="9"/>
  <c r="S73" i="9"/>
  <c r="E86" i="9"/>
  <c r="Q86" i="9"/>
  <c r="C145" i="9"/>
  <c r="P218" i="9"/>
  <c r="U223" i="9"/>
  <c r="U193" i="9"/>
  <c r="O226" i="9"/>
  <c r="U189" i="9"/>
  <c r="C213" i="9"/>
  <c r="E218" i="9"/>
  <c r="E5" i="9"/>
  <c r="U222" i="9"/>
  <c r="U9" i="9"/>
  <c r="S236" i="9"/>
  <c r="U237" i="9"/>
  <c r="R238" i="9"/>
  <c r="L192" i="9"/>
  <c r="L39" i="9"/>
  <c r="M193" i="9"/>
  <c r="M39" i="9"/>
  <c r="M201" i="9"/>
  <c r="M48" i="9"/>
  <c r="B202" i="9"/>
  <c r="N202" i="9"/>
  <c r="N48" i="9"/>
  <c r="C203" i="9"/>
  <c r="C143" i="9"/>
  <c r="O203" i="9"/>
  <c r="C148" i="9"/>
  <c r="H210" i="9"/>
  <c r="T210" i="9"/>
  <c r="C212" i="9"/>
  <c r="C59" i="9"/>
  <c r="O212" i="9"/>
  <c r="O59" i="9"/>
  <c r="O153" i="9" s="1"/>
  <c r="D213" i="9"/>
  <c r="P213" i="9"/>
  <c r="R77" i="9"/>
  <c r="R169" i="9" s="1"/>
  <c r="G86" i="9"/>
  <c r="S9" i="9"/>
  <c r="E226" i="9"/>
  <c r="E13" i="9"/>
  <c r="E195" i="9" s="1"/>
  <c r="Q226" i="9"/>
  <c r="Q13" i="9"/>
  <c r="G227" i="9"/>
  <c r="S227" i="9"/>
  <c r="I228" i="9"/>
  <c r="U228" i="9"/>
  <c r="V230" i="9"/>
  <c r="K231" i="9"/>
  <c r="W231" i="9"/>
  <c r="L232" i="9"/>
  <c r="L202" i="9"/>
  <c r="B233" i="9"/>
  <c r="N233" i="9"/>
  <c r="F235" i="9"/>
  <c r="F22" i="9"/>
  <c r="R235" i="9"/>
  <c r="R22" i="9"/>
  <c r="H236" i="9"/>
  <c r="T236" i="9"/>
  <c r="J237" i="9"/>
  <c r="U35" i="9"/>
  <c r="J188" i="9"/>
  <c r="J35" i="9"/>
  <c r="V188" i="9"/>
  <c r="K189" i="9"/>
  <c r="W189" i="9"/>
  <c r="L190" i="9"/>
  <c r="D194" i="9"/>
  <c r="P194" i="9"/>
  <c r="S197" i="9"/>
  <c r="B48" i="9"/>
  <c r="K205" i="9"/>
  <c r="K52" i="9"/>
  <c r="W52" i="9"/>
  <c r="W205" i="9"/>
  <c r="L206" i="9"/>
  <c r="M207" i="9"/>
  <c r="M52" i="9"/>
  <c r="D212" i="9"/>
  <c r="D59" i="9"/>
  <c r="P212" i="9"/>
  <c r="E213" i="9"/>
  <c r="Q213" i="9"/>
  <c r="P64" i="9"/>
  <c r="P160" i="9" s="1"/>
  <c r="C162" i="9"/>
  <c r="C69" i="9"/>
  <c r="G164" i="9"/>
  <c r="G69" i="9"/>
  <c r="S164" i="9"/>
  <c r="S69" i="9"/>
  <c r="M78" i="9"/>
  <c r="M230" i="9" s="1"/>
  <c r="U82" i="9"/>
  <c r="J82" i="9"/>
  <c r="V82" i="9"/>
  <c r="H86" i="9"/>
  <c r="T86" i="9"/>
  <c r="F220" i="9"/>
  <c r="G228" i="9"/>
  <c r="H188" i="9"/>
  <c r="H35" i="9"/>
  <c r="W200" i="9"/>
  <c r="N65" i="9"/>
  <c r="Q218" i="9"/>
  <c r="T219" i="9"/>
  <c r="Q194" i="9"/>
  <c r="T209" i="9"/>
  <c r="T56" i="9"/>
  <c r="E219" i="9"/>
  <c r="E227" i="9"/>
  <c r="P238" i="9"/>
  <c r="T35" i="9"/>
  <c r="T188" i="9"/>
  <c r="B152" i="9"/>
  <c r="B212" i="9"/>
  <c r="B59" i="9"/>
  <c r="R219" i="9"/>
  <c r="W224" i="9"/>
  <c r="H227" i="9"/>
  <c r="K188" i="9"/>
  <c r="R220" i="9"/>
  <c r="J190" i="9"/>
  <c r="R139" i="9"/>
  <c r="R149" i="9"/>
  <c r="D204" i="9"/>
  <c r="E209" i="9"/>
  <c r="E56" i="9"/>
  <c r="O213" i="9"/>
  <c r="M162" i="9"/>
  <c r="M69" i="9"/>
  <c r="R178" i="9"/>
  <c r="J223" i="9"/>
  <c r="I237" i="9"/>
  <c r="G218" i="9"/>
  <c r="G5" i="9"/>
  <c r="U220" i="9"/>
  <c r="M224" i="9"/>
  <c r="C233" i="9"/>
  <c r="V35" i="9"/>
  <c r="E194" i="9"/>
  <c r="H197" i="9"/>
  <c r="R204" i="9"/>
  <c r="R144" i="9"/>
  <c r="R213" i="9"/>
  <c r="E65" i="9"/>
  <c r="H218" i="9"/>
  <c r="H5" i="9"/>
  <c r="V220" i="9"/>
  <c r="V5" i="9"/>
  <c r="I227" i="9"/>
  <c r="F230" i="9"/>
  <c r="I22" i="9"/>
  <c r="I204" i="9" s="1"/>
  <c r="V236" i="9"/>
  <c r="V22" i="9"/>
  <c r="V17" i="9" s="1"/>
  <c r="V120" i="9" s="1"/>
  <c r="O240" i="9"/>
  <c r="R242" i="9"/>
  <c r="R122" i="9"/>
  <c r="R29" i="9"/>
  <c r="I197" i="9"/>
  <c r="S213" i="9"/>
  <c r="T65" i="9"/>
  <c r="Q162" i="9"/>
  <c r="Q69" i="9"/>
  <c r="Q221" i="9" s="1"/>
  <c r="C78" i="9"/>
  <c r="F173" i="9"/>
  <c r="L225" i="9"/>
  <c r="C232" i="9"/>
  <c r="O232" i="9"/>
  <c r="Q233" i="9"/>
  <c r="C26" i="9"/>
  <c r="J241" i="9"/>
  <c r="J121" i="9"/>
  <c r="M188" i="9"/>
  <c r="M35" i="9"/>
  <c r="B189" i="9"/>
  <c r="B35" i="9"/>
  <c r="N35" i="9"/>
  <c r="C190" i="9"/>
  <c r="C35" i="9"/>
  <c r="O190" i="9"/>
  <c r="D39" i="9"/>
  <c r="D192" i="9"/>
  <c r="P192" i="9"/>
  <c r="P39" i="9"/>
  <c r="E193" i="9"/>
  <c r="Q193" i="9"/>
  <c r="G194" i="9"/>
  <c r="S194" i="9"/>
  <c r="I43" i="9"/>
  <c r="I34" i="9" s="1"/>
  <c r="I138" i="9" s="1"/>
  <c r="F200" i="9"/>
  <c r="N208" i="9"/>
  <c r="J209" i="9"/>
  <c r="J56" i="9"/>
  <c r="V209" i="9"/>
  <c r="V56" i="9"/>
  <c r="G65" i="9"/>
  <c r="S65" i="9"/>
  <c r="D78" i="9"/>
  <c r="P78" i="9"/>
  <c r="F232" i="9"/>
  <c r="R172" i="9"/>
  <c r="R174" i="9"/>
  <c r="V237" i="9"/>
  <c r="I223" i="9"/>
  <c r="R230" i="9"/>
  <c r="L201" i="9"/>
  <c r="L48" i="9"/>
  <c r="N212" i="9"/>
  <c r="N59" i="9"/>
  <c r="T73" i="9"/>
  <c r="E235" i="9"/>
  <c r="I220" i="9"/>
  <c r="L223" i="9"/>
  <c r="L9" i="9"/>
  <c r="T227" i="9"/>
  <c r="L231" i="9"/>
  <c r="N192" i="9"/>
  <c r="H195" i="9"/>
  <c r="T197" i="9"/>
  <c r="F213" i="9"/>
  <c r="F153" i="9"/>
  <c r="Q65" i="9"/>
  <c r="H164" i="9"/>
  <c r="H69" i="9"/>
  <c r="J220" i="9"/>
  <c r="J5" i="9"/>
  <c r="S226" i="9"/>
  <c r="S13" i="9"/>
  <c r="S195" i="9" s="1"/>
  <c r="N239" i="9"/>
  <c r="T196" i="9"/>
  <c r="T43" i="9"/>
  <c r="V198" i="9"/>
  <c r="K210" i="9"/>
  <c r="G213" i="9"/>
  <c r="H65" i="9"/>
  <c r="P5" i="9"/>
  <c r="B231" i="9"/>
  <c r="B18" i="9"/>
  <c r="E233" i="9"/>
  <c r="Q5" i="9"/>
  <c r="C231" i="9"/>
  <c r="C18" i="9"/>
  <c r="O231" i="9"/>
  <c r="O18" i="9"/>
  <c r="D232" i="9"/>
  <c r="P232" i="9"/>
  <c r="F233" i="9"/>
  <c r="R233" i="9"/>
  <c r="D239" i="9"/>
  <c r="D26" i="9"/>
  <c r="P239" i="9"/>
  <c r="E240" i="9"/>
  <c r="Q240" i="9"/>
  <c r="D187" i="9"/>
  <c r="G39" i="9"/>
  <c r="J196" i="9"/>
  <c r="J43" i="9"/>
  <c r="V196" i="9"/>
  <c r="K197" i="9"/>
  <c r="W197" i="9"/>
  <c r="L198" i="9"/>
  <c r="O205" i="9"/>
  <c r="O52" i="9"/>
  <c r="D206" i="9"/>
  <c r="P206" i="9"/>
  <c r="P52" i="9"/>
  <c r="E207" i="9"/>
  <c r="O208" i="9"/>
  <c r="K56" i="9"/>
  <c r="H152" i="9"/>
  <c r="Q78" i="9"/>
  <c r="Q231" i="9"/>
  <c r="S78" i="9"/>
  <c r="N189" i="9"/>
  <c r="Q219" i="9"/>
  <c r="J224" i="9"/>
  <c r="Q56" i="9"/>
  <c r="Q209" i="9"/>
  <c r="H73" i="9"/>
  <c r="V223" i="9"/>
  <c r="A194" i="9"/>
  <c r="A164" i="9"/>
  <c r="A134" i="9"/>
  <c r="A72" i="9"/>
  <c r="A42" i="9"/>
  <c r="A224" i="9"/>
  <c r="A104" i="9"/>
  <c r="F226" i="9"/>
  <c r="F13" i="9"/>
  <c r="F195" i="9" s="1"/>
  <c r="V228" i="9"/>
  <c r="M232" i="9"/>
  <c r="G121" i="9"/>
  <c r="M190" i="9"/>
  <c r="C193" i="9"/>
  <c r="G196" i="9"/>
  <c r="U198" i="9"/>
  <c r="H209" i="9"/>
  <c r="H56" i="9"/>
  <c r="Q212" i="9"/>
  <c r="Q59" i="9"/>
  <c r="D162" i="9"/>
  <c r="D69" i="9"/>
  <c r="I5" i="9"/>
  <c r="V9" i="9"/>
  <c r="G226" i="9"/>
  <c r="G13" i="9"/>
  <c r="G195" i="9" s="1"/>
  <c r="K228" i="9"/>
  <c r="K13" i="9"/>
  <c r="J236" i="9"/>
  <c r="B239" i="9"/>
  <c r="I121" i="9"/>
  <c r="H243" i="9"/>
  <c r="H123" i="9"/>
  <c r="H29" i="9"/>
  <c r="H211" i="9" s="1"/>
  <c r="N190" i="9"/>
  <c r="H196" i="9"/>
  <c r="U197" i="9"/>
  <c r="E200" i="9"/>
  <c r="E47" i="9"/>
  <c r="E149" i="9" s="1"/>
  <c r="F212" i="9"/>
  <c r="F152" i="9"/>
  <c r="R5" i="9"/>
  <c r="K218" i="9"/>
  <c r="K5" i="9"/>
  <c r="K187" i="9" s="1"/>
  <c r="W218" i="9"/>
  <c r="W5" i="9"/>
  <c r="L219" i="9"/>
  <c r="M220" i="9"/>
  <c r="D231" i="9"/>
  <c r="D18" i="9"/>
  <c r="E232" i="9"/>
  <c r="E18" i="9"/>
  <c r="Q232" i="9"/>
  <c r="Q18" i="9"/>
  <c r="S233" i="9"/>
  <c r="S203" i="9"/>
  <c r="K235" i="9"/>
  <c r="K22" i="9"/>
  <c r="M236" i="9"/>
  <c r="O237" i="9"/>
  <c r="O207" i="9"/>
  <c r="Q239" i="9"/>
  <c r="Q26" i="9"/>
  <c r="F240" i="9"/>
  <c r="L29" i="9"/>
  <c r="I242" i="9"/>
  <c r="I122" i="9"/>
  <c r="I212" i="9"/>
  <c r="U242" i="9"/>
  <c r="U122" i="9"/>
  <c r="U29" i="9"/>
  <c r="K243" i="9"/>
  <c r="K123" i="9"/>
  <c r="K213" i="9"/>
  <c r="W243" i="9"/>
  <c r="W123" i="9"/>
  <c r="E187" i="9"/>
  <c r="V43" i="9"/>
  <c r="K196" i="9"/>
  <c r="K43" i="9"/>
  <c r="K34" i="9" s="1"/>
  <c r="W196" i="9"/>
  <c r="L197" i="9"/>
  <c r="M198" i="9"/>
  <c r="P208" i="9"/>
  <c r="J211" i="9"/>
  <c r="J151" i="9"/>
  <c r="F65" i="9"/>
  <c r="I65" i="9"/>
  <c r="U65" i="9"/>
  <c r="E69" i="9"/>
  <c r="F231" i="9"/>
  <c r="H151" i="9"/>
  <c r="J228" i="9"/>
  <c r="H222" i="9"/>
  <c r="H9" i="9"/>
  <c r="C226" i="9"/>
  <c r="C106" i="9"/>
  <c r="N194" i="9"/>
  <c r="G220" i="9"/>
  <c r="K224" i="9"/>
  <c r="E22" i="9"/>
  <c r="M217" i="9"/>
  <c r="K222" i="9"/>
  <c r="A232" i="9"/>
  <c r="A172" i="9"/>
  <c r="A142" i="9"/>
  <c r="A80" i="9"/>
  <c r="A112" i="9"/>
  <c r="A202" i="9"/>
  <c r="H234" i="9"/>
  <c r="Q121" i="9"/>
  <c r="W188" i="9"/>
  <c r="O193" i="9"/>
  <c r="S196" i="9"/>
  <c r="I198" i="9"/>
  <c r="E212" i="9"/>
  <c r="E59" i="9"/>
  <c r="E153" i="9" s="1"/>
  <c r="T218" i="9"/>
  <c r="T5" i="9"/>
  <c r="U219" i="9"/>
  <c r="U5" i="9"/>
  <c r="J13" i="9"/>
  <c r="U227" i="9"/>
  <c r="W228" i="9"/>
  <c r="W13" i="9"/>
  <c r="T235" i="9"/>
  <c r="L237" i="9"/>
  <c r="C240" i="9"/>
  <c r="F242" i="9"/>
  <c r="F122" i="9"/>
  <c r="T243" i="9"/>
  <c r="L188" i="9"/>
  <c r="L35" i="9"/>
  <c r="B190" i="9"/>
  <c r="J198" i="9"/>
  <c r="M208" i="9"/>
  <c r="R212" i="9"/>
  <c r="R59" i="9"/>
  <c r="R153" i="9" s="1"/>
  <c r="R152" i="9"/>
  <c r="R173" i="9"/>
  <c r="A220" i="9"/>
  <c r="A190" i="9"/>
  <c r="A100" i="9"/>
  <c r="A130" i="9"/>
  <c r="A160" i="9"/>
  <c r="A68" i="9"/>
  <c r="E221" i="9"/>
  <c r="N13" i="9"/>
  <c r="J230" i="9"/>
  <c r="P231" i="9"/>
  <c r="P18" i="9"/>
  <c r="P200" i="9" s="1"/>
  <c r="Q22" i="9"/>
  <c r="W235" i="9"/>
  <c r="W22" i="9"/>
  <c r="C237" i="9"/>
  <c r="C22" i="9"/>
  <c r="E239" i="9"/>
  <c r="R240" i="9"/>
  <c r="G9" i="9"/>
  <c r="F224" i="9"/>
  <c r="O13" i="9"/>
  <c r="O4" i="9" s="1"/>
  <c r="K18" i="9"/>
  <c r="T22" i="9"/>
  <c r="L235" i="9"/>
  <c r="B236" i="9"/>
  <c r="B22" i="9"/>
  <c r="N236" i="9"/>
  <c r="N206" i="9"/>
  <c r="D237" i="9"/>
  <c r="P237" i="9"/>
  <c r="P22" i="9"/>
  <c r="F239" i="9"/>
  <c r="R239" i="9"/>
  <c r="G240" i="9"/>
  <c r="G210" i="9"/>
  <c r="S240" i="9"/>
  <c r="P121" i="9"/>
  <c r="D188" i="9"/>
  <c r="P188" i="9"/>
  <c r="P35" i="9"/>
  <c r="E189" i="9"/>
  <c r="Q189" i="9"/>
  <c r="F190" i="9"/>
  <c r="R190" i="9"/>
  <c r="J39" i="9"/>
  <c r="G192" i="9"/>
  <c r="S192" i="9"/>
  <c r="S39" i="9"/>
  <c r="H193" i="9"/>
  <c r="H39" i="9"/>
  <c r="T193" i="9"/>
  <c r="J194" i="9"/>
  <c r="W43" i="9"/>
  <c r="L196" i="9"/>
  <c r="L43" i="9"/>
  <c r="M197" i="9"/>
  <c r="B198" i="9"/>
  <c r="N198" i="9"/>
  <c r="N43" i="9"/>
  <c r="R200" i="9"/>
  <c r="R140" i="9"/>
  <c r="H201" i="9"/>
  <c r="H48" i="9"/>
  <c r="E205" i="9"/>
  <c r="Q205" i="9"/>
  <c r="Q52" i="9"/>
  <c r="R206" i="9"/>
  <c r="R146" i="9"/>
  <c r="G207" i="9"/>
  <c r="S207" i="9"/>
  <c r="R148" i="9"/>
  <c r="R208" i="9"/>
  <c r="J65" i="9"/>
  <c r="E78" i="9"/>
  <c r="G78" i="9"/>
  <c r="D86" i="9"/>
  <c r="P86" i="9"/>
  <c r="H89" i="9"/>
  <c r="H181" i="9" s="1"/>
  <c r="T89" i="9"/>
  <c r="T181" i="9" s="1"/>
  <c r="I89" i="9"/>
  <c r="I181" i="9" s="1"/>
  <c r="U183" i="9"/>
  <c r="D218" i="9"/>
  <c r="I189" i="9"/>
  <c r="B194" i="9"/>
  <c r="N203" i="9"/>
  <c r="B65" i="9"/>
  <c r="F5" i="9"/>
  <c r="F187" i="9" s="1"/>
  <c r="I222" i="9"/>
  <c r="I9" i="9"/>
  <c r="G236" i="9"/>
  <c r="S218" i="9"/>
  <c r="T9" i="9"/>
  <c r="T191" i="9" s="1"/>
  <c r="R226" i="9"/>
  <c r="R13" i="9"/>
  <c r="R195" i="9" s="1"/>
  <c r="O233" i="9"/>
  <c r="C140" i="9"/>
  <c r="A218" i="9"/>
  <c r="A158" i="9"/>
  <c r="A188" i="9"/>
  <c r="A66" i="9"/>
  <c r="A98" i="9"/>
  <c r="A128" i="9"/>
  <c r="M218" i="9"/>
  <c r="B219" i="9"/>
  <c r="N219" i="9"/>
  <c r="N5" i="9"/>
  <c r="C220" i="9"/>
  <c r="C100" i="9"/>
  <c r="O220" i="9"/>
  <c r="J9" i="9"/>
  <c r="P225" i="9"/>
  <c r="L18" i="9"/>
  <c r="U22" i="9"/>
  <c r="M238" i="9"/>
  <c r="G239" i="9"/>
  <c r="G26" i="9"/>
  <c r="S239" i="9"/>
  <c r="S26" i="9"/>
  <c r="S208" i="9" s="1"/>
  <c r="H240" i="9"/>
  <c r="T240" i="9"/>
  <c r="S241" i="9"/>
  <c r="S121" i="9"/>
  <c r="G187" i="9"/>
  <c r="G34" i="9"/>
  <c r="G136" i="9" s="1"/>
  <c r="N39" i="9"/>
  <c r="I200" i="9"/>
  <c r="I140" i="9"/>
  <c r="I47" i="9"/>
  <c r="I150" i="9" s="1"/>
  <c r="F52" i="9"/>
  <c r="R205" i="9"/>
  <c r="R145" i="9"/>
  <c r="G206" i="9"/>
  <c r="S206" i="9"/>
  <c r="H207" i="9"/>
  <c r="T207" i="9"/>
  <c r="P59" i="9"/>
  <c r="K212" i="9"/>
  <c r="K59" i="9"/>
  <c r="K153" i="9" s="1"/>
  <c r="W152" i="9"/>
  <c r="W212" i="9"/>
  <c r="W59" i="9"/>
  <c r="L213" i="9"/>
  <c r="L64" i="9"/>
  <c r="L165" i="9" s="1"/>
  <c r="F77" i="9"/>
  <c r="F169" i="9" s="1"/>
  <c r="C86" i="9"/>
  <c r="O86" i="9"/>
  <c r="K223" i="9"/>
  <c r="L224" i="9"/>
  <c r="L227" i="9"/>
  <c r="B228" i="9"/>
  <c r="N228" i="9"/>
  <c r="G231" i="9"/>
  <c r="G18" i="9"/>
  <c r="S231" i="9"/>
  <c r="S18" i="9"/>
  <c r="H232" i="9"/>
  <c r="T232" i="9"/>
  <c r="G235" i="9"/>
  <c r="S235" i="9"/>
  <c r="U236" i="9"/>
  <c r="K237" i="9"/>
  <c r="W237" i="9"/>
  <c r="I239" i="9"/>
  <c r="I26" i="9"/>
  <c r="U239" i="9"/>
  <c r="U26" i="9"/>
  <c r="J240" i="9"/>
  <c r="V240" i="9"/>
  <c r="V210" i="9"/>
  <c r="V26" i="9"/>
  <c r="H242" i="9"/>
  <c r="H122" i="9"/>
  <c r="H212" i="9"/>
  <c r="T242" i="9"/>
  <c r="J243" i="9"/>
  <c r="J123" i="9"/>
  <c r="V243" i="9"/>
  <c r="V123" i="9"/>
  <c r="O192" i="9"/>
  <c r="P193" i="9"/>
  <c r="F194" i="9"/>
  <c r="R194" i="9"/>
  <c r="G205" i="9"/>
  <c r="G52" i="9"/>
  <c r="S205" i="9"/>
  <c r="H206" i="9"/>
  <c r="T206" i="9"/>
  <c r="I207" i="9"/>
  <c r="U207" i="9"/>
  <c r="C210" i="9"/>
  <c r="C150" i="9"/>
  <c r="O210" i="9"/>
  <c r="G59" i="9"/>
  <c r="G152" i="9"/>
  <c r="S212" i="9"/>
  <c r="S59" i="9"/>
  <c r="H153" i="9"/>
  <c r="H213" i="9"/>
  <c r="T213" i="9"/>
  <c r="T59" i="9"/>
  <c r="T152" i="9" s="1"/>
  <c r="V65" i="9"/>
  <c r="J203" i="9"/>
  <c r="J222" i="9"/>
  <c r="D43" i="9"/>
  <c r="D196" i="9"/>
  <c r="P196" i="9"/>
  <c r="P43" i="9"/>
  <c r="Q197" i="9"/>
  <c r="R198" i="9"/>
  <c r="T205" i="9"/>
  <c r="I206" i="9"/>
  <c r="I146" i="9"/>
  <c r="V207" i="9"/>
  <c r="B209" i="9"/>
  <c r="W164" i="9"/>
  <c r="W69" i="9"/>
  <c r="W86" i="9"/>
  <c r="P182" i="9"/>
  <c r="B218" i="9"/>
  <c r="C219" i="9"/>
  <c r="C99" i="9"/>
  <c r="O219" i="9"/>
  <c r="O99" i="9"/>
  <c r="D220" i="9"/>
  <c r="P220" i="9"/>
  <c r="L222" i="9"/>
  <c r="A163" i="9"/>
  <c r="A103" i="9"/>
  <c r="A223" i="9"/>
  <c r="A193" i="9"/>
  <c r="A133" i="9"/>
  <c r="A71" i="9"/>
  <c r="B224" i="9"/>
  <c r="N224" i="9"/>
  <c r="V13" i="9"/>
  <c r="L226" i="9"/>
  <c r="N227" i="9"/>
  <c r="D228" i="9"/>
  <c r="D198" i="9"/>
  <c r="P228" i="9"/>
  <c r="T18" i="9"/>
  <c r="U231" i="9"/>
  <c r="V232" i="9"/>
  <c r="V112" i="9"/>
  <c r="I235" i="9"/>
  <c r="U235" i="9"/>
  <c r="W236" i="9"/>
  <c r="T29" i="9"/>
  <c r="J242" i="9"/>
  <c r="J122" i="9"/>
  <c r="V242" i="9"/>
  <c r="V122" i="9"/>
  <c r="E192" i="9"/>
  <c r="E39" i="9"/>
  <c r="Q192" i="9"/>
  <c r="F193" i="9"/>
  <c r="H194" i="9"/>
  <c r="T194" i="9"/>
  <c r="E201" i="9"/>
  <c r="Q201" i="9"/>
  <c r="Q48" i="9"/>
  <c r="R202" i="9"/>
  <c r="R142" i="9"/>
  <c r="G203" i="9"/>
  <c r="I205" i="9"/>
  <c r="U205" i="9"/>
  <c r="U52" i="9"/>
  <c r="J206" i="9"/>
  <c r="V206" i="9"/>
  <c r="K207" i="9"/>
  <c r="W207" i="9"/>
  <c r="E210" i="9"/>
  <c r="E150" i="9"/>
  <c r="T162" i="9"/>
  <c r="T69" i="9"/>
  <c r="J69" i="9"/>
  <c r="V69" i="9"/>
  <c r="E89" i="9"/>
  <c r="Q89" i="9"/>
  <c r="Q182" i="9" s="1"/>
  <c r="Q242" i="9"/>
  <c r="F183" i="9"/>
  <c r="F89" i="9"/>
  <c r="F243" i="9"/>
  <c r="R89" i="9"/>
  <c r="E198" i="9"/>
  <c r="E197" i="9"/>
  <c r="F198" i="9"/>
  <c r="H205" i="9"/>
  <c r="H52" i="9"/>
  <c r="J207" i="9"/>
  <c r="N209" i="9"/>
  <c r="M211" i="9"/>
  <c r="K86" i="9"/>
  <c r="C218" i="9"/>
  <c r="C98" i="9"/>
  <c r="P219" i="9"/>
  <c r="E220" i="9"/>
  <c r="A222" i="9"/>
  <c r="A162" i="9"/>
  <c r="A132" i="9"/>
  <c r="A102" i="9"/>
  <c r="A40" i="9"/>
  <c r="A192" i="9"/>
  <c r="M222" i="9"/>
  <c r="M9" i="9"/>
  <c r="M4" i="9" s="1"/>
  <c r="M99" i="9" s="1"/>
  <c r="B223" i="9"/>
  <c r="B9" i="9"/>
  <c r="B191" i="9" s="1"/>
  <c r="N223" i="9"/>
  <c r="N9" i="9"/>
  <c r="C224" i="9"/>
  <c r="C104" i="9"/>
  <c r="M226" i="9"/>
  <c r="C107" i="9"/>
  <c r="Q228" i="9"/>
  <c r="V231" i="9"/>
  <c r="K232" i="9"/>
  <c r="W232" i="9"/>
  <c r="S22" i="9"/>
  <c r="J115" i="9"/>
  <c r="J235" i="9"/>
  <c r="J22" i="9"/>
  <c r="J17" i="9" s="1"/>
  <c r="J110" i="9" s="1"/>
  <c r="V235" i="9"/>
  <c r="B237" i="9"/>
  <c r="W238" i="9"/>
  <c r="L239" i="9"/>
  <c r="A210" i="9"/>
  <c r="A150" i="9"/>
  <c r="A180" i="9"/>
  <c r="A120" i="9"/>
  <c r="A58" i="9"/>
  <c r="A88" i="9"/>
  <c r="M240" i="9"/>
  <c r="E241" i="9"/>
  <c r="K242" i="9"/>
  <c r="K122" i="9"/>
  <c r="W242" i="9"/>
  <c r="W122" i="9"/>
  <c r="M243" i="9"/>
  <c r="M123" i="9"/>
  <c r="F188" i="9"/>
  <c r="R188" i="9"/>
  <c r="G189" i="9"/>
  <c r="S189" i="9"/>
  <c r="T190" i="9"/>
  <c r="F39" i="9"/>
  <c r="R192" i="9"/>
  <c r="R39" i="9"/>
  <c r="G193" i="9"/>
  <c r="S193" i="9"/>
  <c r="Q43" i="9"/>
  <c r="Q34" i="9" s="1"/>
  <c r="F196" i="9"/>
  <c r="R196" i="9"/>
  <c r="G197" i="9"/>
  <c r="H198" i="9"/>
  <c r="T198" i="9"/>
  <c r="J205" i="9"/>
  <c r="J52" i="9"/>
  <c r="V205" i="9"/>
  <c r="V52" i="9"/>
  <c r="W206" i="9"/>
  <c r="L207" i="9"/>
  <c r="B56" i="9"/>
  <c r="D56" i="9"/>
  <c r="P209" i="9"/>
  <c r="F210" i="9"/>
  <c r="F56" i="9"/>
  <c r="R210" i="9"/>
  <c r="R150" i="9"/>
  <c r="I162" i="9"/>
  <c r="I69" i="9"/>
  <c r="U162" i="9"/>
  <c r="U69" i="9"/>
  <c r="O167" i="9"/>
  <c r="D82" i="9"/>
  <c r="P82" i="9"/>
  <c r="E82" i="9"/>
  <c r="Q82" i="9"/>
  <c r="F177" i="9"/>
  <c r="O104" i="9"/>
  <c r="F218" i="9"/>
  <c r="R218" i="9"/>
  <c r="S219" i="9"/>
  <c r="T220" i="9"/>
  <c r="D222" i="9"/>
  <c r="D9" i="9"/>
  <c r="P222" i="9"/>
  <c r="P9" i="9"/>
  <c r="E223" i="9"/>
  <c r="Q223" i="9"/>
  <c r="R224" i="9"/>
  <c r="D226" i="9"/>
  <c r="P226" i="9"/>
  <c r="F227" i="9"/>
  <c r="R227" i="9"/>
  <c r="H228" i="9"/>
  <c r="T228" i="9"/>
  <c r="I230" i="9"/>
  <c r="A231" i="9"/>
  <c r="A171" i="9"/>
  <c r="A111" i="9"/>
  <c r="A141" i="9"/>
  <c r="A201" i="9"/>
  <c r="M231" i="9"/>
  <c r="B232" i="9"/>
  <c r="N232" i="9"/>
  <c r="D233" i="9"/>
  <c r="P233" i="9"/>
  <c r="J238" i="9"/>
  <c r="J118" i="9"/>
  <c r="C239" i="9"/>
  <c r="O239" i="9"/>
  <c r="D240" i="9"/>
  <c r="P240" i="9"/>
  <c r="B242" i="9"/>
  <c r="B29" i="9"/>
  <c r="B122" i="9" s="1"/>
  <c r="N242" i="9"/>
  <c r="N29" i="9"/>
  <c r="N122" i="9" s="1"/>
  <c r="D243" i="9"/>
  <c r="D29" i="9"/>
  <c r="D122" i="9" s="1"/>
  <c r="P243" i="9"/>
  <c r="P123" i="9"/>
  <c r="I196" i="9"/>
  <c r="J197" i="9"/>
  <c r="V197" i="9"/>
  <c r="K198" i="9"/>
  <c r="W198" i="9"/>
  <c r="S200" i="9"/>
  <c r="S47" i="9"/>
  <c r="I201" i="9"/>
  <c r="I141" i="9"/>
  <c r="U201" i="9"/>
  <c r="J202" i="9"/>
  <c r="V202" i="9"/>
  <c r="T52" i="9"/>
  <c r="L208" i="9"/>
  <c r="G209" i="9"/>
  <c r="G56" i="9"/>
  <c r="S209" i="9"/>
  <c r="I210" i="9"/>
  <c r="U210" i="9"/>
  <c r="U56" i="9"/>
  <c r="C64" i="9"/>
  <c r="C160" i="9" s="1"/>
  <c r="D65" i="9"/>
  <c r="P158" i="9"/>
  <c r="B69" i="9"/>
  <c r="E73" i="9"/>
  <c r="N78" i="9"/>
  <c r="F180" i="9"/>
  <c r="R180" i="9"/>
  <c r="O181" i="9"/>
  <c r="O182" i="9"/>
  <c r="J113" i="9"/>
  <c r="M151" i="9"/>
  <c r="K206" i="9"/>
  <c r="G212" i="9"/>
  <c r="Q220" i="9"/>
  <c r="A240" i="9"/>
  <c r="R179" i="9"/>
  <c r="C227" i="9"/>
  <c r="M152" i="9"/>
  <c r="O197" i="9"/>
  <c r="V233" i="9"/>
  <c r="I194" i="9"/>
  <c r="U194" i="9"/>
  <c r="M196" i="9"/>
  <c r="B197" i="9"/>
  <c r="N197" i="9"/>
  <c r="O198" i="9"/>
  <c r="B201" i="9"/>
  <c r="N201" i="9"/>
  <c r="C202" i="9"/>
  <c r="C142" i="9"/>
  <c r="O202" i="9"/>
  <c r="D203" i="9"/>
  <c r="P203" i="9"/>
  <c r="L205" i="9"/>
  <c r="L52" i="9"/>
  <c r="M206" i="9"/>
  <c r="B207" i="9"/>
  <c r="W209" i="9"/>
  <c r="L210" i="9"/>
  <c r="H78" i="9"/>
  <c r="T78" i="9"/>
  <c r="L86" i="9"/>
  <c r="N207" i="9"/>
  <c r="I218" i="9"/>
  <c r="U218" i="9"/>
  <c r="J219" i="9"/>
  <c r="V219" i="9"/>
  <c r="K220" i="9"/>
  <c r="W220" i="9"/>
  <c r="B222" i="9"/>
  <c r="N222" i="9"/>
  <c r="C223" i="9"/>
  <c r="C103" i="9"/>
  <c r="O223" i="9"/>
  <c r="D224" i="9"/>
  <c r="P224" i="9"/>
  <c r="H226" i="9"/>
  <c r="J227" i="9"/>
  <c r="V227" i="9"/>
  <c r="L228" i="9"/>
  <c r="E231" i="9"/>
  <c r="R232" i="9"/>
  <c r="H233" i="9"/>
  <c r="T233" i="9"/>
  <c r="M235" i="9"/>
  <c r="M22" i="9"/>
  <c r="C236" i="9"/>
  <c r="O236" i="9"/>
  <c r="E237" i="9"/>
  <c r="D242" i="9"/>
  <c r="P122" i="9"/>
  <c r="P242" i="9"/>
  <c r="F123" i="9"/>
  <c r="R243" i="9"/>
  <c r="R123" i="9"/>
  <c r="N188" i="9"/>
  <c r="C189" i="9"/>
  <c r="O189" i="9"/>
  <c r="D190" i="9"/>
  <c r="P190" i="9"/>
  <c r="H192" i="9"/>
  <c r="T192" i="9"/>
  <c r="I193" i="9"/>
  <c r="V194" i="9"/>
  <c r="B196" i="9"/>
  <c r="N196" i="9"/>
  <c r="C197" i="9"/>
  <c r="P198" i="9"/>
  <c r="C201" i="9"/>
  <c r="O201" i="9"/>
  <c r="D202" i="9"/>
  <c r="P202" i="9"/>
  <c r="E203" i="9"/>
  <c r="Q203" i="9"/>
  <c r="L209" i="9"/>
  <c r="M210" i="9"/>
  <c r="I59" i="9"/>
  <c r="I152" i="9"/>
  <c r="U212" i="9"/>
  <c r="U59" i="9"/>
  <c r="J213" i="9"/>
  <c r="J153" i="9"/>
  <c r="V213" i="9"/>
  <c r="W65" i="9"/>
  <c r="A67" i="9"/>
  <c r="J73" i="9"/>
  <c r="V73" i="9"/>
  <c r="U78" i="9"/>
  <c r="U230" i="9" s="1"/>
  <c r="W82" i="9"/>
  <c r="M89" i="9"/>
  <c r="M181" i="9" s="1"/>
  <c r="B183" i="9"/>
  <c r="N89" i="9"/>
  <c r="N181" i="9" s="1"/>
  <c r="A99" i="9"/>
  <c r="Q122" i="9"/>
  <c r="S123" i="9"/>
  <c r="J218" i="9"/>
  <c r="V218" i="9"/>
  <c r="K219" i="9"/>
  <c r="W219" i="9"/>
  <c r="L220" i="9"/>
  <c r="C222" i="9"/>
  <c r="C102" i="9"/>
  <c r="O222" i="9"/>
  <c r="O102" i="9"/>
  <c r="D223" i="9"/>
  <c r="P223" i="9"/>
  <c r="E224" i="9"/>
  <c r="Q224" i="9"/>
  <c r="I226" i="9"/>
  <c r="W227" i="9"/>
  <c r="R231" i="9"/>
  <c r="G232" i="9"/>
  <c r="S232" i="9"/>
  <c r="I233" i="9"/>
  <c r="U233" i="9"/>
  <c r="D236" i="9"/>
  <c r="F237" i="9"/>
  <c r="R237" i="9"/>
  <c r="K239" i="9"/>
  <c r="W239" i="9"/>
  <c r="L240" i="9"/>
  <c r="E242" i="9"/>
  <c r="O188" i="9"/>
  <c r="D189" i="9"/>
  <c r="P189" i="9"/>
  <c r="E190" i="9"/>
  <c r="Q190" i="9"/>
  <c r="I192" i="9"/>
  <c r="U192" i="9"/>
  <c r="J193" i="9"/>
  <c r="V193" i="9"/>
  <c r="K194" i="9"/>
  <c r="W194" i="9"/>
  <c r="M43" i="9"/>
  <c r="C196" i="9"/>
  <c r="O196" i="9"/>
  <c r="D197" i="9"/>
  <c r="Q198" i="9"/>
  <c r="D201" i="9"/>
  <c r="D48" i="9"/>
  <c r="P201" i="9"/>
  <c r="E202" i="9"/>
  <c r="Q202" i="9"/>
  <c r="F203" i="9"/>
  <c r="R203" i="9"/>
  <c r="R143" i="9"/>
  <c r="B205" i="9"/>
  <c r="B52" i="9"/>
  <c r="N205" i="9"/>
  <c r="N52" i="9"/>
  <c r="D207" i="9"/>
  <c r="P207" i="9"/>
  <c r="W56" i="9"/>
  <c r="O160" i="9"/>
  <c r="U73" i="9"/>
  <c r="V77" i="9"/>
  <c r="V178" i="9" s="1"/>
  <c r="L82" i="9"/>
  <c r="T226" i="9"/>
  <c r="L218" i="9"/>
  <c r="A219" i="9"/>
  <c r="A189" i="9"/>
  <c r="M219" i="9"/>
  <c r="Q222" i="9"/>
  <c r="F223" i="9"/>
  <c r="R223" i="9"/>
  <c r="G224" i="9"/>
  <c r="S224" i="9"/>
  <c r="I13" i="9"/>
  <c r="U13" i="9"/>
  <c r="W226" i="9"/>
  <c r="M227" i="9"/>
  <c r="C228" i="9"/>
  <c r="C108" i="9"/>
  <c r="O228" i="9"/>
  <c r="O108" i="9"/>
  <c r="T231" i="9"/>
  <c r="W233" i="9"/>
  <c r="N22" i="9"/>
  <c r="D235" i="9"/>
  <c r="P235" i="9"/>
  <c r="R236" i="9"/>
  <c r="H237" i="9"/>
  <c r="T237" i="9"/>
  <c r="K26" i="9"/>
  <c r="A209" i="9"/>
  <c r="A149" i="9"/>
  <c r="A239" i="9"/>
  <c r="A179" i="9"/>
  <c r="A87" i="9"/>
  <c r="A57" i="9"/>
  <c r="M239" i="9"/>
  <c r="B240" i="9"/>
  <c r="G122" i="9"/>
  <c r="G242" i="9"/>
  <c r="S242" i="9"/>
  <c r="S122" i="9"/>
  <c r="I243" i="9"/>
  <c r="I123" i="9"/>
  <c r="U243" i="9"/>
  <c r="O35" i="9"/>
  <c r="E188" i="9"/>
  <c r="Q188" i="9"/>
  <c r="F189" i="9"/>
  <c r="R189" i="9"/>
  <c r="G190" i="9"/>
  <c r="S190" i="9"/>
  <c r="U39" i="9"/>
  <c r="K192" i="9"/>
  <c r="L193" i="9"/>
  <c r="B43" i="9"/>
  <c r="O43" i="9"/>
  <c r="O48" i="9"/>
  <c r="F201" i="9"/>
  <c r="R201" i="9"/>
  <c r="R141" i="9"/>
  <c r="S202" i="9"/>
  <c r="T203" i="9"/>
  <c r="C209" i="9"/>
  <c r="C149" i="9"/>
  <c r="D210" i="9"/>
  <c r="P210" i="9"/>
  <c r="L59" i="9"/>
  <c r="M153" i="9"/>
  <c r="M213" i="9"/>
  <c r="K65" i="9"/>
  <c r="N162" i="9"/>
  <c r="N69" i="9"/>
  <c r="C163" i="9"/>
  <c r="O163" i="9"/>
  <c r="M73" i="9"/>
  <c r="B73" i="9"/>
  <c r="N73" i="9"/>
  <c r="O168" i="9"/>
  <c r="B82" i="9"/>
  <c r="D89" i="9"/>
  <c r="D181" i="9" s="1"/>
  <c r="E183" i="9"/>
  <c r="O103" i="9"/>
  <c r="I86" i="9"/>
  <c r="I77" i="9" s="1"/>
  <c r="I176" i="9" s="1"/>
  <c r="U86" i="9"/>
  <c r="V180" i="9"/>
  <c r="I182" i="9"/>
  <c r="U182" i="9"/>
  <c r="J183" i="9"/>
  <c r="C188" i="9"/>
  <c r="J182" i="9"/>
  <c r="V89" i="9"/>
  <c r="V183" i="9" s="1"/>
  <c r="K183" i="9"/>
  <c r="W183" i="9"/>
  <c r="G201" i="9"/>
  <c r="S201" i="9"/>
  <c r="H202" i="9"/>
  <c r="T202" i="9"/>
  <c r="U203" i="9"/>
  <c r="M209" i="9"/>
  <c r="B210" i="9"/>
  <c r="N210" i="9"/>
  <c r="T212" i="9"/>
  <c r="I213" i="9"/>
  <c r="U213" i="9"/>
  <c r="F69" i="9"/>
  <c r="R69" i="9"/>
  <c r="P166" i="9"/>
  <c r="K182" i="9"/>
  <c r="W182" i="9"/>
  <c r="L183" i="9"/>
  <c r="S141" i="9"/>
  <c r="K233" i="9"/>
  <c r="E236" i="9"/>
  <c r="Q236" i="9"/>
  <c r="C242" i="9"/>
  <c r="C122" i="9"/>
  <c r="O242" i="9"/>
  <c r="O122" i="9"/>
  <c r="E243" i="9"/>
  <c r="E123" i="9"/>
  <c r="Q123" i="9"/>
  <c r="I128" i="9"/>
  <c r="I188" i="9"/>
  <c r="U188" i="9"/>
  <c r="V189" i="9"/>
  <c r="M192" i="9"/>
  <c r="B193" i="9"/>
  <c r="C194" i="9"/>
  <c r="O194" i="9"/>
  <c r="E196" i="9"/>
  <c r="Q196" i="9"/>
  <c r="F197" i="9"/>
  <c r="R197" i="9"/>
  <c r="G198" i="9"/>
  <c r="S198" i="9"/>
  <c r="K201" i="9"/>
  <c r="W201" i="9"/>
  <c r="P205" i="9"/>
  <c r="E206" i="9"/>
  <c r="Q206" i="9"/>
  <c r="F207" i="9"/>
  <c r="R207" i="9"/>
  <c r="R147" i="9"/>
  <c r="I209" i="9"/>
  <c r="I149" i="9"/>
  <c r="U209" i="9"/>
  <c r="J210" i="9"/>
  <c r="B153" i="9"/>
  <c r="B213" i="9"/>
  <c r="N153" i="9"/>
  <c r="P168" i="9"/>
  <c r="V171" i="9"/>
  <c r="F175" i="9"/>
  <c r="F182" i="9"/>
  <c r="R182" i="9"/>
  <c r="S183" i="9"/>
  <c r="K78" i="9"/>
  <c r="W78" i="9"/>
  <c r="G182" i="9"/>
  <c r="N213" i="9"/>
  <c r="T201" i="9"/>
  <c r="U202" i="9"/>
  <c r="V203" i="9"/>
  <c r="M205" i="9"/>
  <c r="B206" i="9"/>
  <c r="C207" i="9"/>
  <c r="R209" i="9"/>
  <c r="S210" i="9"/>
  <c r="J212" i="9"/>
  <c r="J152" i="9"/>
  <c r="V212" i="9"/>
  <c r="W213" i="9"/>
  <c r="O158" i="9"/>
  <c r="V173" i="9"/>
  <c r="C82" i="9"/>
  <c r="O82" i="9"/>
  <c r="C182" i="9"/>
  <c r="P183" i="9"/>
  <c r="J189" i="9"/>
  <c r="M203" i="9"/>
  <c r="F176" i="9"/>
  <c r="R176" i="9"/>
  <c r="B182" i="9"/>
  <c r="C183" i="9"/>
  <c r="O183" i="9"/>
  <c r="Q134" i="9" l="1"/>
  <c r="Q129" i="9"/>
  <c r="Q138" i="9"/>
  <c r="K134" i="9"/>
  <c r="K130" i="9"/>
  <c r="K138" i="9"/>
  <c r="K132" i="9"/>
  <c r="H183" i="9"/>
  <c r="R171" i="9"/>
  <c r="G137" i="9"/>
  <c r="L158" i="9"/>
  <c r="E143" i="9"/>
  <c r="V177" i="9"/>
  <c r="V172" i="9"/>
  <c r="N183" i="9"/>
  <c r="E141" i="9"/>
  <c r="G133" i="9"/>
  <c r="I183" i="9"/>
  <c r="G132" i="9"/>
  <c r="T182" i="9"/>
  <c r="S4" i="9"/>
  <c r="S103" i="9" s="1"/>
  <c r="N182" i="9"/>
  <c r="L168" i="9"/>
  <c r="L159" i="9"/>
  <c r="G127" i="9"/>
  <c r="V179" i="9"/>
  <c r="T183" i="9"/>
  <c r="Q183" i="9"/>
  <c r="E142" i="9"/>
  <c r="F179" i="9"/>
  <c r="R177" i="9"/>
  <c r="L166" i="9"/>
  <c r="L161" i="9"/>
  <c r="E145" i="9"/>
  <c r="I187" i="9"/>
  <c r="G241" i="9"/>
  <c r="S182" i="9"/>
  <c r="B195" i="9"/>
  <c r="W64" i="9"/>
  <c r="S139" i="9"/>
  <c r="S142" i="9"/>
  <c r="S150" i="9"/>
  <c r="S144" i="9"/>
  <c r="S146" i="9"/>
  <c r="S147" i="9"/>
  <c r="S148" i="9"/>
  <c r="S145" i="9"/>
  <c r="D221" i="9"/>
  <c r="D4" i="9"/>
  <c r="M106" i="9"/>
  <c r="U234" i="9"/>
  <c r="U17" i="9"/>
  <c r="U114" i="9"/>
  <c r="C234" i="9"/>
  <c r="C204" i="9"/>
  <c r="D77" i="9"/>
  <c r="D174" i="9" s="1"/>
  <c r="I126" i="9"/>
  <c r="I132" i="9"/>
  <c r="I134" i="9"/>
  <c r="I131" i="9"/>
  <c r="I130" i="9"/>
  <c r="I127" i="9"/>
  <c r="I177" i="9"/>
  <c r="O187" i="9"/>
  <c r="O34" i="9"/>
  <c r="B204" i="9"/>
  <c r="D64" i="9"/>
  <c r="D157" i="9" s="1"/>
  <c r="D217" i="9"/>
  <c r="S140" i="9"/>
  <c r="J217" i="9"/>
  <c r="J4" i="9"/>
  <c r="J101" i="9" s="1"/>
  <c r="K126" i="9"/>
  <c r="K133" i="9"/>
  <c r="K129" i="9"/>
  <c r="K137" i="9"/>
  <c r="K136" i="9"/>
  <c r="K128" i="9"/>
  <c r="K127" i="9"/>
  <c r="C156" i="9"/>
  <c r="C158" i="9"/>
  <c r="C159" i="9"/>
  <c r="S234" i="9"/>
  <c r="S204" i="9"/>
  <c r="E191" i="9"/>
  <c r="E34" i="9"/>
  <c r="L241" i="9"/>
  <c r="L121" i="9"/>
  <c r="L122" i="9"/>
  <c r="L123" i="9"/>
  <c r="S104" i="9"/>
  <c r="S106" i="9"/>
  <c r="S97" i="9"/>
  <c r="S108" i="9"/>
  <c r="C211" i="9"/>
  <c r="C151" i="9"/>
  <c r="C153" i="9"/>
  <c r="C152" i="9"/>
  <c r="W77" i="9"/>
  <c r="W230" i="9"/>
  <c r="C165" i="9"/>
  <c r="T204" i="9"/>
  <c r="D241" i="9"/>
  <c r="D121" i="9"/>
  <c r="J161" i="9"/>
  <c r="I169" i="9"/>
  <c r="I175" i="9"/>
  <c r="I174" i="9"/>
  <c r="Q126" i="9"/>
  <c r="Q128" i="9"/>
  <c r="Q130" i="9"/>
  <c r="Q137" i="9"/>
  <c r="Q132" i="9"/>
  <c r="V229" i="9"/>
  <c r="V109" i="9"/>
  <c r="V119" i="9"/>
  <c r="V116" i="9"/>
  <c r="V115" i="9"/>
  <c r="V110" i="9"/>
  <c r="V117" i="9"/>
  <c r="I180" i="9"/>
  <c r="I178" i="9"/>
  <c r="U191" i="9"/>
  <c r="U211" i="9"/>
  <c r="U151" i="9"/>
  <c r="U208" i="9"/>
  <c r="D123" i="9"/>
  <c r="S99" i="9"/>
  <c r="V204" i="9"/>
  <c r="N221" i="9"/>
  <c r="R181" i="9"/>
  <c r="R183" i="9"/>
  <c r="Q200" i="9"/>
  <c r="Q47" i="9"/>
  <c r="Q144" i="9" s="1"/>
  <c r="W161" i="9"/>
  <c r="I238" i="9"/>
  <c r="I208" i="9"/>
  <c r="I17" i="9"/>
  <c r="J225" i="9"/>
  <c r="I173" i="9"/>
  <c r="Q133" i="9"/>
  <c r="R234" i="9"/>
  <c r="R17" i="9"/>
  <c r="R114" i="9" s="1"/>
  <c r="U47" i="9"/>
  <c r="M96" i="9"/>
  <c r="M103" i="9"/>
  <c r="M97" i="9"/>
  <c r="M98" i="9"/>
  <c r="M105" i="9"/>
  <c r="M107" i="9"/>
  <c r="M104" i="9"/>
  <c r="B77" i="9"/>
  <c r="B174" i="9" s="1"/>
  <c r="P195" i="9"/>
  <c r="M182" i="9"/>
  <c r="I172" i="9"/>
  <c r="K77" i="9"/>
  <c r="K178" i="9" s="1"/>
  <c r="I179" i="9"/>
  <c r="K64" i="9"/>
  <c r="N234" i="9"/>
  <c r="N17" i="9"/>
  <c r="N114" i="9" s="1"/>
  <c r="I225" i="9"/>
  <c r="W174" i="9"/>
  <c r="U152" i="9"/>
  <c r="F208" i="9"/>
  <c r="S151" i="9"/>
  <c r="S211" i="9"/>
  <c r="S152" i="9"/>
  <c r="S153" i="9"/>
  <c r="L238" i="9"/>
  <c r="C161" i="9"/>
  <c r="C221" i="9"/>
  <c r="C157" i="9"/>
  <c r="L204" i="9"/>
  <c r="O230" i="9"/>
  <c r="O17" i="9"/>
  <c r="C168" i="9"/>
  <c r="L77" i="9"/>
  <c r="L174" i="9" s="1"/>
  <c r="L234" i="9"/>
  <c r="W208" i="9"/>
  <c r="W148" i="9"/>
  <c r="F181" i="9"/>
  <c r="F241" i="9"/>
  <c r="D195" i="9"/>
  <c r="P234" i="9"/>
  <c r="P114" i="9"/>
  <c r="O216" i="9"/>
  <c r="O107" i="9"/>
  <c r="O98" i="9"/>
  <c r="O96" i="9"/>
  <c r="O100" i="9"/>
  <c r="O97" i="9"/>
  <c r="O101" i="9"/>
  <c r="O106" i="9"/>
  <c r="Q211" i="9"/>
  <c r="Q151" i="9"/>
  <c r="Q153" i="9"/>
  <c r="Q152" i="9"/>
  <c r="O204" i="9"/>
  <c r="W204" i="9"/>
  <c r="W47" i="9"/>
  <c r="F234" i="9"/>
  <c r="F17" i="9"/>
  <c r="S107" i="9"/>
  <c r="S100" i="9"/>
  <c r="U225" i="9"/>
  <c r="U195" i="9"/>
  <c r="D182" i="9"/>
  <c r="K238" i="9"/>
  <c r="N241" i="9"/>
  <c r="N121" i="9"/>
  <c r="N123" i="9"/>
  <c r="D234" i="9"/>
  <c r="J204" i="9"/>
  <c r="V111" i="9"/>
  <c r="U204" i="9"/>
  <c r="U144" i="9"/>
  <c r="N217" i="9"/>
  <c r="N4" i="9"/>
  <c r="N105" i="9" s="1"/>
  <c r="O77" i="9"/>
  <c r="D230" i="9"/>
  <c r="D17" i="9"/>
  <c r="C230" i="9"/>
  <c r="C17" i="9"/>
  <c r="C114" i="9" s="1"/>
  <c r="C200" i="9"/>
  <c r="T47" i="9"/>
  <c r="T144" i="9" s="1"/>
  <c r="O234" i="9"/>
  <c r="D183" i="9"/>
  <c r="Q136" i="9"/>
  <c r="L211" i="9"/>
  <c r="L151" i="9"/>
  <c r="L153" i="9"/>
  <c r="V169" i="9"/>
  <c r="V176" i="9"/>
  <c r="V175" i="9"/>
  <c r="I151" i="9"/>
  <c r="I211" i="9"/>
  <c r="I153" i="9"/>
  <c r="V170" i="9"/>
  <c r="N77" i="9"/>
  <c r="N230" i="9"/>
  <c r="S149" i="9"/>
  <c r="Q195" i="9"/>
  <c r="Q135" i="9"/>
  <c r="G151" i="9"/>
  <c r="G211" i="9"/>
  <c r="G153" i="9"/>
  <c r="K151" i="9"/>
  <c r="K211" i="9"/>
  <c r="G77" i="9"/>
  <c r="H208" i="9"/>
  <c r="T195" i="9"/>
  <c r="C238" i="9"/>
  <c r="C118" i="9"/>
  <c r="C208" i="9"/>
  <c r="V217" i="9"/>
  <c r="V4" i="9"/>
  <c r="V101" i="9" s="1"/>
  <c r="C166" i="9"/>
  <c r="V181" i="9"/>
  <c r="V182" i="9"/>
  <c r="L152" i="9"/>
  <c r="M108" i="9"/>
  <c r="T170" i="9"/>
  <c r="T77" i="9"/>
  <c r="B241" i="9"/>
  <c r="B121" i="9"/>
  <c r="B123" i="9"/>
  <c r="P221" i="9"/>
  <c r="D148" i="9"/>
  <c r="D208" i="9"/>
  <c r="K152" i="9"/>
  <c r="I129" i="9"/>
  <c r="D34" i="9"/>
  <c r="U157" i="9"/>
  <c r="U64" i="9"/>
  <c r="U161" i="9" s="1"/>
  <c r="M100" i="9"/>
  <c r="R221" i="9"/>
  <c r="I137" i="9"/>
  <c r="H187" i="9"/>
  <c r="H34" i="9"/>
  <c r="S102" i="9"/>
  <c r="U153" i="9"/>
  <c r="O200" i="9"/>
  <c r="O47" i="9"/>
  <c r="O140" i="9" s="1"/>
  <c r="U165" i="9"/>
  <c r="M195" i="9"/>
  <c r="U77" i="9"/>
  <c r="U178" i="9" s="1"/>
  <c r="I133" i="9"/>
  <c r="M234" i="9"/>
  <c r="M17" i="9"/>
  <c r="H77" i="9"/>
  <c r="H230" i="9"/>
  <c r="G208" i="9"/>
  <c r="I136" i="9"/>
  <c r="Q181" i="9"/>
  <c r="Q241" i="9"/>
  <c r="S143" i="9"/>
  <c r="S98" i="9"/>
  <c r="K225" i="9"/>
  <c r="D238" i="9"/>
  <c r="O241" i="9"/>
  <c r="O121" i="9"/>
  <c r="O123" i="9"/>
  <c r="Q127" i="9"/>
  <c r="C167" i="9"/>
  <c r="M225" i="9"/>
  <c r="O135" i="9"/>
  <c r="O195" i="9"/>
  <c r="N204" i="9"/>
  <c r="D200" i="9"/>
  <c r="D47" i="9"/>
  <c r="I171" i="9"/>
  <c r="M183" i="9"/>
  <c r="B208" i="9"/>
  <c r="J109" i="9"/>
  <c r="J119" i="9"/>
  <c r="J116" i="9"/>
  <c r="J120" i="9"/>
  <c r="J112" i="9"/>
  <c r="J111" i="9"/>
  <c r="J117" i="9"/>
  <c r="M102" i="9"/>
  <c r="E181" i="9"/>
  <c r="E182" i="9"/>
  <c r="I170" i="9"/>
  <c r="V113" i="9"/>
  <c r="O178" i="9"/>
  <c r="O238" i="9"/>
  <c r="P77" i="9"/>
  <c r="P174" i="9" s="1"/>
  <c r="C187" i="9"/>
  <c r="C34" i="9"/>
  <c r="R241" i="9"/>
  <c r="R121" i="9"/>
  <c r="D211" i="9"/>
  <c r="D151" i="9"/>
  <c r="D153" i="9"/>
  <c r="D152" i="9"/>
  <c r="N200" i="9"/>
  <c r="N47" i="9"/>
  <c r="Q131" i="9"/>
  <c r="T241" i="9"/>
  <c r="T121" i="9"/>
  <c r="T230" i="9"/>
  <c r="T17" i="9"/>
  <c r="T114" i="9" s="1"/>
  <c r="E170" i="9"/>
  <c r="E77" i="9"/>
  <c r="Q204" i="9"/>
  <c r="H191" i="9"/>
  <c r="U217" i="9"/>
  <c r="U4" i="9"/>
  <c r="U105" i="9" s="1"/>
  <c r="K234" i="9"/>
  <c r="R217" i="9"/>
  <c r="R97" i="9"/>
  <c r="R4" i="9"/>
  <c r="Q208" i="9"/>
  <c r="J195" i="9"/>
  <c r="B230" i="9"/>
  <c r="B17" i="9"/>
  <c r="J208" i="9"/>
  <c r="G134" i="9"/>
  <c r="J187" i="9"/>
  <c r="J34" i="9"/>
  <c r="J127" i="9" s="1"/>
  <c r="M191" i="9"/>
  <c r="G128" i="9"/>
  <c r="T200" i="9"/>
  <c r="V64" i="9"/>
  <c r="V165" i="9" s="1"/>
  <c r="F174" i="9"/>
  <c r="F204" i="9"/>
  <c r="I221" i="9"/>
  <c r="I101" i="9"/>
  <c r="J64" i="9"/>
  <c r="J165" i="9" s="1"/>
  <c r="S191" i="9"/>
  <c r="T234" i="9"/>
  <c r="N225" i="9"/>
  <c r="I157" i="9"/>
  <c r="I64" i="9"/>
  <c r="H241" i="9"/>
  <c r="H121" i="9"/>
  <c r="G105" i="9"/>
  <c r="G225" i="9"/>
  <c r="K208" i="9"/>
  <c r="G131" i="9"/>
  <c r="G191" i="9"/>
  <c r="P217" i="9"/>
  <c r="P4" i="9"/>
  <c r="Q64" i="9"/>
  <c r="P156" i="9"/>
  <c r="P159" i="9"/>
  <c r="P167" i="9"/>
  <c r="K204" i="9"/>
  <c r="U187" i="9"/>
  <c r="U34" i="9"/>
  <c r="U131" i="9" s="1"/>
  <c r="Q225" i="9"/>
  <c r="L191" i="9"/>
  <c r="K200" i="9"/>
  <c r="K47" i="9"/>
  <c r="G129" i="9"/>
  <c r="G135" i="9"/>
  <c r="P211" i="9"/>
  <c r="P151" i="9"/>
  <c r="K230" i="9"/>
  <c r="K17" i="9"/>
  <c r="T217" i="9"/>
  <c r="T4" i="9"/>
  <c r="T101" i="9" s="1"/>
  <c r="Q238" i="9"/>
  <c r="S77" i="9"/>
  <c r="S170" i="9" s="1"/>
  <c r="F178" i="9"/>
  <c r="N187" i="9"/>
  <c r="N34" i="9"/>
  <c r="C77" i="9"/>
  <c r="G217" i="9"/>
  <c r="G4" i="9"/>
  <c r="G97" i="9" s="1"/>
  <c r="B151" i="9"/>
  <c r="B211" i="9"/>
  <c r="V174" i="9"/>
  <c r="M77" i="9"/>
  <c r="M170" i="9" s="1"/>
  <c r="P157" i="9"/>
  <c r="B225" i="9"/>
  <c r="R64" i="9"/>
  <c r="R165" i="9" s="1"/>
  <c r="G204" i="9"/>
  <c r="V238" i="9"/>
  <c r="V118" i="9"/>
  <c r="F170" i="9"/>
  <c r="I199" i="9"/>
  <c r="I139" i="9"/>
  <c r="I143" i="9"/>
  <c r="I142" i="9"/>
  <c r="L230" i="9"/>
  <c r="L17" i="9"/>
  <c r="L110" i="9" s="1"/>
  <c r="H182" i="9"/>
  <c r="H200" i="9"/>
  <c r="H47" i="9"/>
  <c r="H148" i="9" s="1"/>
  <c r="L195" i="9"/>
  <c r="R211" i="9"/>
  <c r="R151" i="9"/>
  <c r="L187" i="9"/>
  <c r="L34" i="9"/>
  <c r="F64" i="9"/>
  <c r="F161" i="9" s="1"/>
  <c r="N211" i="9"/>
  <c r="N151" i="9"/>
  <c r="S64" i="9"/>
  <c r="P191" i="9"/>
  <c r="H217" i="9"/>
  <c r="H4" i="9"/>
  <c r="E208" i="9"/>
  <c r="E148" i="9"/>
  <c r="E225" i="9"/>
  <c r="P153" i="9"/>
  <c r="E178" i="9"/>
  <c r="P161" i="9"/>
  <c r="C121" i="9"/>
  <c r="C241" i="9"/>
  <c r="M64" i="9"/>
  <c r="T238" i="9"/>
  <c r="T118" i="9"/>
  <c r="W221" i="9"/>
  <c r="T225" i="9"/>
  <c r="T151" i="9"/>
  <c r="T211" i="9"/>
  <c r="S230" i="9"/>
  <c r="S110" i="9"/>
  <c r="S17" i="9"/>
  <c r="L163" i="9"/>
  <c r="L167" i="9"/>
  <c r="L156" i="9"/>
  <c r="S238" i="9"/>
  <c r="F4" i="9"/>
  <c r="F217" i="9"/>
  <c r="P178" i="9"/>
  <c r="P187" i="9"/>
  <c r="P34" i="9"/>
  <c r="P127" i="9" s="1"/>
  <c r="O225" i="9"/>
  <c r="O105" i="9"/>
  <c r="W234" i="9"/>
  <c r="W225" i="9"/>
  <c r="Q230" i="9"/>
  <c r="Q17" i="9"/>
  <c r="Q110" i="9" s="1"/>
  <c r="W217" i="9"/>
  <c r="W4" i="9"/>
  <c r="W97" i="9" s="1"/>
  <c r="E146" i="9"/>
  <c r="E139" i="9"/>
  <c r="V221" i="9"/>
  <c r="H64" i="9"/>
  <c r="H161" i="9" s="1"/>
  <c r="L221" i="9"/>
  <c r="L4" i="9"/>
  <c r="F47" i="9"/>
  <c r="F148" i="9" s="1"/>
  <c r="B187" i="9"/>
  <c r="B34" i="9"/>
  <c r="V234" i="9"/>
  <c r="V114" i="9"/>
  <c r="J77" i="9"/>
  <c r="J229" i="9" s="1"/>
  <c r="P165" i="9"/>
  <c r="I148" i="9"/>
  <c r="I144" i="9"/>
  <c r="O156" i="9"/>
  <c r="O166" i="9"/>
  <c r="O159" i="9"/>
  <c r="C123" i="9"/>
  <c r="R191" i="9"/>
  <c r="B221" i="9"/>
  <c r="B4" i="9"/>
  <c r="B105" i="9" s="1"/>
  <c r="T122" i="9"/>
  <c r="T153" i="9"/>
  <c r="I191" i="9"/>
  <c r="L157" i="9"/>
  <c r="R225" i="9"/>
  <c r="R105" i="9"/>
  <c r="H221" i="9"/>
  <c r="F171" i="9"/>
  <c r="K135" i="9"/>
  <c r="K195" i="9"/>
  <c r="U241" i="9"/>
  <c r="U121" i="9"/>
  <c r="U123" i="9"/>
  <c r="E140" i="9"/>
  <c r="I241" i="9"/>
  <c r="I217" i="9"/>
  <c r="I4" i="9"/>
  <c r="I186" i="9" s="1"/>
  <c r="Q77" i="9"/>
  <c r="Q174" i="9" s="1"/>
  <c r="E147" i="9"/>
  <c r="S225" i="9"/>
  <c r="S105" i="9"/>
  <c r="N152" i="9"/>
  <c r="G64" i="9"/>
  <c r="T64" i="9"/>
  <c r="T161" i="9" s="1"/>
  <c r="V187" i="9"/>
  <c r="V34" i="9"/>
  <c r="N64" i="9"/>
  <c r="N165" i="9" s="1"/>
  <c r="S161" i="9"/>
  <c r="M204" i="9"/>
  <c r="R170" i="9"/>
  <c r="V191" i="9"/>
  <c r="U221" i="9"/>
  <c r="O157" i="9"/>
  <c r="K191" i="9"/>
  <c r="K131" i="9"/>
  <c r="V200" i="9"/>
  <c r="V47" i="9"/>
  <c r="V144" i="9" s="1"/>
  <c r="H238" i="9"/>
  <c r="S217" i="9"/>
  <c r="G47" i="9"/>
  <c r="N191" i="9"/>
  <c r="D178" i="9"/>
  <c r="W195" i="9"/>
  <c r="W135" i="9"/>
  <c r="J191" i="9"/>
  <c r="Q234" i="9"/>
  <c r="Q114" i="9"/>
  <c r="T123" i="9"/>
  <c r="E211" i="9"/>
  <c r="E151" i="9"/>
  <c r="F225" i="9"/>
  <c r="F105" i="9"/>
  <c r="P204" i="9"/>
  <c r="I195" i="9"/>
  <c r="I135" i="9"/>
  <c r="T187" i="9"/>
  <c r="T34" i="9"/>
  <c r="T135" i="9" s="1"/>
  <c r="T148" i="9"/>
  <c r="T208" i="9"/>
  <c r="B200" i="9"/>
  <c r="B47" i="9"/>
  <c r="B140" i="9" s="1"/>
  <c r="S221" i="9"/>
  <c r="S101" i="9"/>
  <c r="O211" i="9"/>
  <c r="O151" i="9"/>
  <c r="E144" i="9"/>
  <c r="M200" i="9"/>
  <c r="M47" i="9"/>
  <c r="R34" i="9"/>
  <c r="R131" i="9" s="1"/>
  <c r="R175" i="9"/>
  <c r="W34" i="9"/>
  <c r="H225" i="9"/>
  <c r="C216" i="9"/>
  <c r="C96" i="9"/>
  <c r="C101" i="9"/>
  <c r="E174" i="9"/>
  <c r="J234" i="9"/>
  <c r="J114" i="9"/>
  <c r="H204" i="9"/>
  <c r="H144" i="9"/>
  <c r="I145" i="9"/>
  <c r="V225" i="9"/>
  <c r="I147" i="9"/>
  <c r="G230" i="9"/>
  <c r="G17" i="9"/>
  <c r="G118" i="9" s="1"/>
  <c r="G200" i="9"/>
  <c r="G186" i="9"/>
  <c r="G126" i="9"/>
  <c r="G130" i="9"/>
  <c r="G138" i="9"/>
  <c r="G238" i="9"/>
  <c r="J221" i="9"/>
  <c r="B64" i="9"/>
  <c r="B165" i="9" s="1"/>
  <c r="G221" i="9"/>
  <c r="G101" i="9"/>
  <c r="P230" i="9"/>
  <c r="P17" i="9"/>
  <c r="E152" i="9"/>
  <c r="E234" i="9"/>
  <c r="E230" i="9"/>
  <c r="E17" i="9"/>
  <c r="E114" i="9" s="1"/>
  <c r="E110" i="9"/>
  <c r="K217" i="9"/>
  <c r="K4" i="9"/>
  <c r="D161" i="9"/>
  <c r="Q217" i="9"/>
  <c r="Q4" i="9"/>
  <c r="Q105" i="9" s="1"/>
  <c r="L200" i="9"/>
  <c r="L140" i="9"/>
  <c r="L47" i="9"/>
  <c r="V208" i="9"/>
  <c r="M187" i="9"/>
  <c r="M34" i="9"/>
  <c r="M135" i="9" s="1"/>
  <c r="I234" i="9"/>
  <c r="I114" i="9"/>
  <c r="E64" i="9"/>
  <c r="E165" i="9" s="1"/>
  <c r="U174" i="9"/>
  <c r="G161" i="9"/>
  <c r="P152" i="9"/>
  <c r="O165" i="9"/>
  <c r="O152" i="9"/>
  <c r="E204" i="9"/>
  <c r="E217" i="9"/>
  <c r="E4" i="9"/>
  <c r="E105" i="9" s="1"/>
  <c r="S187" i="9"/>
  <c r="S34" i="9"/>
  <c r="F221" i="9"/>
  <c r="F101" i="9"/>
  <c r="H17" i="9"/>
  <c r="F191" i="9"/>
  <c r="M221" i="9"/>
  <c r="M101" i="9"/>
  <c r="V161" i="9"/>
  <c r="W178" i="9"/>
  <c r="U238" i="9"/>
  <c r="W211" i="9"/>
  <c r="W151" i="9"/>
  <c r="W153" i="9"/>
  <c r="T221" i="9"/>
  <c r="N135" i="9"/>
  <c r="N195" i="9"/>
  <c r="F34" i="9"/>
  <c r="B234" i="9"/>
  <c r="B114" i="9"/>
  <c r="P47" i="9"/>
  <c r="P144" i="9" s="1"/>
  <c r="V195" i="9"/>
  <c r="L160" i="9"/>
  <c r="F172" i="9"/>
  <c r="D191" i="9"/>
  <c r="W17" i="9"/>
  <c r="W114" i="9" s="1"/>
  <c r="P163" i="9"/>
  <c r="R187" i="9"/>
  <c r="M241" i="9"/>
  <c r="M121" i="9"/>
  <c r="J200" i="9"/>
  <c r="J47" i="9"/>
  <c r="Q187" i="9"/>
  <c r="W187" i="9"/>
  <c r="E238" i="9"/>
  <c r="C97" i="9"/>
  <c r="J105" i="9" l="1"/>
  <c r="U101" i="9"/>
  <c r="S96" i="9"/>
  <c r="J157" i="9"/>
  <c r="T165" i="9"/>
  <c r="T157" i="9"/>
  <c r="R157" i="9"/>
  <c r="M127" i="9"/>
  <c r="V105" i="9"/>
  <c r="N157" i="9"/>
  <c r="P170" i="9"/>
  <c r="D229" i="9"/>
  <c r="D109" i="9"/>
  <c r="D112" i="9"/>
  <c r="D117" i="9"/>
  <c r="D111" i="9"/>
  <c r="D115" i="9"/>
  <c r="D114" i="9"/>
  <c r="D119" i="9"/>
  <c r="D120" i="9"/>
  <c r="D116" i="9"/>
  <c r="D113" i="9"/>
  <c r="F186" i="9"/>
  <c r="F126" i="9"/>
  <c r="F137" i="9"/>
  <c r="F135" i="9"/>
  <c r="F134" i="9"/>
  <c r="F133" i="9"/>
  <c r="F128" i="9"/>
  <c r="F129" i="9"/>
  <c r="F127" i="9"/>
  <c r="F138" i="9"/>
  <c r="F136" i="9"/>
  <c r="F132" i="9"/>
  <c r="F130" i="9"/>
  <c r="K96" i="9"/>
  <c r="K100" i="9"/>
  <c r="K107" i="9"/>
  <c r="K99" i="9"/>
  <c r="K216" i="9"/>
  <c r="K98" i="9"/>
  <c r="K104" i="9"/>
  <c r="K103" i="9"/>
  <c r="K102" i="9"/>
  <c r="K101" i="9"/>
  <c r="K108" i="9"/>
  <c r="K106" i="9"/>
  <c r="H216" i="9"/>
  <c r="H96" i="9"/>
  <c r="H100" i="9"/>
  <c r="H99" i="9"/>
  <c r="H107" i="9"/>
  <c r="H102" i="9"/>
  <c r="H105" i="9"/>
  <c r="H98" i="9"/>
  <c r="H103" i="9"/>
  <c r="H108" i="9"/>
  <c r="H106" i="9"/>
  <c r="H104" i="9"/>
  <c r="L186" i="9"/>
  <c r="L126" i="9"/>
  <c r="L129" i="9"/>
  <c r="L128" i="9"/>
  <c r="L136" i="9"/>
  <c r="L130" i="9"/>
  <c r="L132" i="9"/>
  <c r="L138" i="9"/>
  <c r="L137" i="9"/>
  <c r="L133" i="9"/>
  <c r="L134" i="9"/>
  <c r="C169" i="9"/>
  <c r="C180" i="9"/>
  <c r="C172" i="9"/>
  <c r="C171" i="9"/>
  <c r="C173" i="9"/>
  <c r="C177" i="9"/>
  <c r="C175" i="9"/>
  <c r="C179" i="9"/>
  <c r="C176" i="9"/>
  <c r="Q178" i="9"/>
  <c r="N199" i="9"/>
  <c r="N139" i="9"/>
  <c r="N142" i="9"/>
  <c r="N148" i="9"/>
  <c r="N147" i="9"/>
  <c r="N145" i="9"/>
  <c r="N143" i="9"/>
  <c r="N149" i="9"/>
  <c r="N141" i="9"/>
  <c r="N150" i="9"/>
  <c r="N146" i="9"/>
  <c r="H169" i="9"/>
  <c r="H177" i="9"/>
  <c r="H172" i="9"/>
  <c r="H179" i="9"/>
  <c r="H180" i="9"/>
  <c r="H174" i="9"/>
  <c r="H171" i="9"/>
  <c r="H175" i="9"/>
  <c r="H173" i="9"/>
  <c r="H176" i="9"/>
  <c r="B169" i="9"/>
  <c r="B170" i="9"/>
  <c r="B172" i="9"/>
  <c r="B179" i="9"/>
  <c r="B171" i="9"/>
  <c r="B176" i="9"/>
  <c r="B178" i="9"/>
  <c r="B177" i="9"/>
  <c r="B175" i="9"/>
  <c r="B180" i="9"/>
  <c r="B173" i="9"/>
  <c r="Q199" i="9"/>
  <c r="Q139" i="9"/>
  <c r="Q143" i="9"/>
  <c r="Q147" i="9"/>
  <c r="Q150" i="9"/>
  <c r="Q149" i="9"/>
  <c r="Q145" i="9"/>
  <c r="Q142" i="9"/>
  <c r="Q146" i="9"/>
  <c r="Q141" i="9"/>
  <c r="V186" i="9"/>
  <c r="V126" i="9"/>
  <c r="V132" i="9"/>
  <c r="V128" i="9"/>
  <c r="V136" i="9"/>
  <c r="V130" i="9"/>
  <c r="V131" i="9"/>
  <c r="V138" i="9"/>
  <c r="V137" i="9"/>
  <c r="V134" i="9"/>
  <c r="V129" i="9"/>
  <c r="V133" i="9"/>
  <c r="Q170" i="9"/>
  <c r="H97" i="9"/>
  <c r="C170" i="9"/>
  <c r="K229" i="9"/>
  <c r="K109" i="9"/>
  <c r="K120" i="9"/>
  <c r="K116" i="9"/>
  <c r="K117" i="9"/>
  <c r="K113" i="9"/>
  <c r="K119" i="9"/>
  <c r="K112" i="9"/>
  <c r="K111" i="9"/>
  <c r="K115" i="9"/>
  <c r="L131" i="9"/>
  <c r="K105" i="9"/>
  <c r="H170" i="9"/>
  <c r="D126" i="9"/>
  <c r="D186" i="9"/>
  <c r="D130" i="9"/>
  <c r="D138" i="9"/>
  <c r="D133" i="9"/>
  <c r="D132" i="9"/>
  <c r="D128" i="9"/>
  <c r="D127" i="9"/>
  <c r="D136" i="9"/>
  <c r="D134" i="9"/>
  <c r="D129" i="9"/>
  <c r="D137" i="9"/>
  <c r="O229" i="9"/>
  <c r="O109" i="9"/>
  <c r="O115" i="9"/>
  <c r="O118" i="9"/>
  <c r="O117" i="9"/>
  <c r="O112" i="9"/>
  <c r="O113" i="9"/>
  <c r="O120" i="9"/>
  <c r="O114" i="9"/>
  <c r="O111" i="9"/>
  <c r="O116" i="9"/>
  <c r="O119" i="9"/>
  <c r="F131" i="9"/>
  <c r="V127" i="9"/>
  <c r="B186" i="9"/>
  <c r="B126" i="9"/>
  <c r="B133" i="9"/>
  <c r="B137" i="9"/>
  <c r="B132" i="9"/>
  <c r="B129" i="9"/>
  <c r="B131" i="9"/>
  <c r="B128" i="9"/>
  <c r="B130" i="9"/>
  <c r="B134" i="9"/>
  <c r="B138" i="9"/>
  <c r="B136" i="9"/>
  <c r="M156" i="9"/>
  <c r="M168" i="9"/>
  <c r="M159" i="9"/>
  <c r="M157" i="9"/>
  <c r="M163" i="9"/>
  <c r="M160" i="9"/>
  <c r="M158" i="9"/>
  <c r="M167" i="9"/>
  <c r="M166" i="9"/>
  <c r="N186" i="9"/>
  <c r="N133" i="9"/>
  <c r="N126" i="9"/>
  <c r="N128" i="9"/>
  <c r="N129" i="9"/>
  <c r="N134" i="9"/>
  <c r="N132" i="9"/>
  <c r="N137" i="9"/>
  <c r="N138" i="9"/>
  <c r="N136" i="9"/>
  <c r="N130" i="9"/>
  <c r="K110" i="9"/>
  <c r="Q156" i="9"/>
  <c r="Q168" i="9"/>
  <c r="Q160" i="9"/>
  <c r="Q167" i="9"/>
  <c r="Q165" i="9"/>
  <c r="Q158" i="9"/>
  <c r="Q159" i="9"/>
  <c r="Q163" i="9"/>
  <c r="Q166" i="9"/>
  <c r="J126" i="9"/>
  <c r="J133" i="9"/>
  <c r="J134" i="9"/>
  <c r="J186" i="9"/>
  <c r="J132" i="9"/>
  <c r="J128" i="9"/>
  <c r="J137" i="9"/>
  <c r="J129" i="9"/>
  <c r="J136" i="9"/>
  <c r="J130" i="9"/>
  <c r="J138" i="9"/>
  <c r="Q148" i="9"/>
  <c r="M109" i="9"/>
  <c r="M229" i="9"/>
  <c r="M117" i="9"/>
  <c r="M113" i="9"/>
  <c r="M115" i="9"/>
  <c r="M116" i="9"/>
  <c r="M112" i="9"/>
  <c r="M118" i="9"/>
  <c r="M119" i="9"/>
  <c r="M120" i="9"/>
  <c r="M111" i="9"/>
  <c r="M110" i="9"/>
  <c r="D110" i="9"/>
  <c r="K156" i="9"/>
  <c r="K165" i="9"/>
  <c r="K160" i="9"/>
  <c r="K159" i="9"/>
  <c r="K161" i="9"/>
  <c r="K168" i="9"/>
  <c r="K166" i="9"/>
  <c r="K158" i="9"/>
  <c r="K163" i="9"/>
  <c r="K167" i="9"/>
  <c r="Q140" i="9"/>
  <c r="V148" i="9"/>
  <c r="E229" i="9"/>
  <c r="E116" i="9"/>
  <c r="E111" i="9"/>
  <c r="E109" i="9"/>
  <c r="E113" i="9"/>
  <c r="E120" i="9"/>
  <c r="E112" i="9"/>
  <c r="E119" i="9"/>
  <c r="E118" i="9"/>
  <c r="E117" i="9"/>
  <c r="E115" i="9"/>
  <c r="B199" i="9"/>
  <c r="B139" i="9"/>
  <c r="B145" i="9"/>
  <c r="B150" i="9"/>
  <c r="B143" i="9"/>
  <c r="B142" i="9"/>
  <c r="B149" i="9"/>
  <c r="B146" i="9"/>
  <c r="B141" i="9"/>
  <c r="B147" i="9"/>
  <c r="H165" i="9"/>
  <c r="I97" i="9"/>
  <c r="E199" i="9"/>
  <c r="Q161" i="9"/>
  <c r="Q157" i="9"/>
  <c r="I156" i="9"/>
  <c r="I168" i="9"/>
  <c r="I165" i="9"/>
  <c r="I160" i="9"/>
  <c r="I158" i="9"/>
  <c r="I167" i="9"/>
  <c r="I159" i="9"/>
  <c r="I163" i="9"/>
  <c r="I166" i="9"/>
  <c r="F144" i="9"/>
  <c r="R216" i="9"/>
  <c r="R96" i="9"/>
  <c r="R98" i="9"/>
  <c r="R106" i="9"/>
  <c r="R102" i="9"/>
  <c r="R108" i="9"/>
  <c r="R100" i="9"/>
  <c r="R99" i="9"/>
  <c r="R101" i="9"/>
  <c r="R103" i="9"/>
  <c r="R107" i="9"/>
  <c r="R104" i="9"/>
  <c r="E169" i="9"/>
  <c r="E176" i="9"/>
  <c r="E171" i="9"/>
  <c r="E179" i="9"/>
  <c r="E172" i="9"/>
  <c r="E177" i="9"/>
  <c r="E180" i="9"/>
  <c r="E173" i="9"/>
  <c r="E175" i="9"/>
  <c r="M114" i="9"/>
  <c r="D135" i="9"/>
  <c r="O110" i="9"/>
  <c r="K157" i="9"/>
  <c r="D166" i="9"/>
  <c r="D156" i="9"/>
  <c r="D168" i="9"/>
  <c r="D159" i="9"/>
  <c r="D160" i="9"/>
  <c r="D167" i="9"/>
  <c r="D163" i="9"/>
  <c r="D165" i="9"/>
  <c r="D158" i="9"/>
  <c r="C178" i="9"/>
  <c r="D131" i="9"/>
  <c r="C174" i="9"/>
  <c r="H229" i="9"/>
  <c r="H109" i="9"/>
  <c r="H115" i="9"/>
  <c r="H116" i="9"/>
  <c r="H110" i="9"/>
  <c r="H114" i="9"/>
  <c r="H119" i="9"/>
  <c r="H120" i="9"/>
  <c r="H112" i="9"/>
  <c r="H117" i="9"/>
  <c r="H111" i="9"/>
  <c r="H113" i="9"/>
  <c r="L199" i="9"/>
  <c r="L139" i="9"/>
  <c r="L142" i="9"/>
  <c r="L146" i="9"/>
  <c r="L141" i="9"/>
  <c r="L149" i="9"/>
  <c r="L143" i="9"/>
  <c r="L150" i="9"/>
  <c r="L145" i="9"/>
  <c r="L148" i="9"/>
  <c r="L147" i="9"/>
  <c r="W186" i="9"/>
  <c r="W138" i="9"/>
  <c r="W130" i="9"/>
  <c r="W132" i="9"/>
  <c r="W126" i="9"/>
  <c r="W127" i="9"/>
  <c r="W129" i="9"/>
  <c r="W137" i="9"/>
  <c r="W136" i="9"/>
  <c r="W128" i="9"/>
  <c r="W133" i="9"/>
  <c r="W134" i="9"/>
  <c r="W131" i="9"/>
  <c r="N131" i="9"/>
  <c r="T156" i="9"/>
  <c r="T160" i="9"/>
  <c r="T163" i="9"/>
  <c r="T168" i="9"/>
  <c r="T159" i="9"/>
  <c r="T166" i="9"/>
  <c r="T167" i="9"/>
  <c r="T158" i="9"/>
  <c r="B127" i="9"/>
  <c r="W216" i="9"/>
  <c r="W96" i="9"/>
  <c r="W104" i="9"/>
  <c r="W103" i="9"/>
  <c r="W98" i="9"/>
  <c r="W108" i="9"/>
  <c r="W102" i="9"/>
  <c r="W107" i="9"/>
  <c r="W99" i="9"/>
  <c r="W106" i="9"/>
  <c r="W100" i="9"/>
  <c r="P186" i="9"/>
  <c r="P126" i="9"/>
  <c r="P130" i="9"/>
  <c r="P136" i="9"/>
  <c r="P132" i="9"/>
  <c r="P128" i="9"/>
  <c r="P133" i="9"/>
  <c r="P138" i="9"/>
  <c r="P129" i="9"/>
  <c r="P137" i="9"/>
  <c r="P134" i="9"/>
  <c r="S229" i="9"/>
  <c r="S109" i="9"/>
  <c r="S117" i="9"/>
  <c r="S112" i="9"/>
  <c r="S115" i="9"/>
  <c r="S119" i="9"/>
  <c r="S111" i="9"/>
  <c r="S113" i="9"/>
  <c r="S120" i="9"/>
  <c r="S116" i="9"/>
  <c r="M169" i="9"/>
  <c r="M177" i="9"/>
  <c r="M179" i="9"/>
  <c r="M174" i="9"/>
  <c r="M175" i="9"/>
  <c r="M171" i="9"/>
  <c r="M178" i="9"/>
  <c r="M173" i="9"/>
  <c r="M176" i="9"/>
  <c r="M172" i="9"/>
  <c r="M180" i="9"/>
  <c r="N127" i="9"/>
  <c r="P216" i="9"/>
  <c r="P96" i="9"/>
  <c r="P107" i="9"/>
  <c r="P100" i="9"/>
  <c r="P99" i="9"/>
  <c r="P98" i="9"/>
  <c r="P105" i="9"/>
  <c r="P102" i="9"/>
  <c r="P108" i="9"/>
  <c r="P103" i="9"/>
  <c r="P106" i="9"/>
  <c r="P104" i="9"/>
  <c r="M161" i="9"/>
  <c r="B148" i="9"/>
  <c r="M165" i="9"/>
  <c r="O180" i="9"/>
  <c r="O173" i="9"/>
  <c r="O169" i="9"/>
  <c r="O176" i="9"/>
  <c r="O171" i="9"/>
  <c r="O179" i="9"/>
  <c r="O172" i="9"/>
  <c r="O170" i="9"/>
  <c r="O177" i="9"/>
  <c r="O175" i="9"/>
  <c r="E186" i="9"/>
  <c r="E126" i="9"/>
  <c r="E128" i="9"/>
  <c r="E130" i="9"/>
  <c r="E132" i="9"/>
  <c r="E134" i="9"/>
  <c r="E133" i="9"/>
  <c r="E129" i="9"/>
  <c r="E127" i="9"/>
  <c r="E136" i="9"/>
  <c r="E135" i="9"/>
  <c r="E138" i="9"/>
  <c r="E137" i="9"/>
  <c r="B156" i="9"/>
  <c r="B158" i="9"/>
  <c r="B168" i="9"/>
  <c r="B167" i="9"/>
  <c r="B160" i="9"/>
  <c r="B163" i="9"/>
  <c r="B159" i="9"/>
  <c r="B166" i="9"/>
  <c r="G110" i="9"/>
  <c r="F199" i="9"/>
  <c r="F139" i="9"/>
  <c r="F143" i="9"/>
  <c r="F142" i="9"/>
  <c r="F146" i="9"/>
  <c r="F140" i="9"/>
  <c r="F145" i="9"/>
  <c r="F149" i="9"/>
  <c r="F141" i="9"/>
  <c r="F150" i="9"/>
  <c r="F147" i="9"/>
  <c r="P131" i="9"/>
  <c r="L135" i="9"/>
  <c r="U126" i="9"/>
  <c r="U186" i="9"/>
  <c r="U136" i="9"/>
  <c r="U137" i="9"/>
  <c r="U135" i="9"/>
  <c r="U138" i="9"/>
  <c r="U130" i="9"/>
  <c r="U132" i="9"/>
  <c r="U129" i="9"/>
  <c r="U128" i="9"/>
  <c r="U133" i="9"/>
  <c r="U134" i="9"/>
  <c r="P97" i="9"/>
  <c r="T229" i="9"/>
  <c r="T109" i="9"/>
  <c r="T116" i="9"/>
  <c r="T119" i="9"/>
  <c r="T115" i="9"/>
  <c r="T120" i="9"/>
  <c r="T112" i="9"/>
  <c r="T111" i="9"/>
  <c r="T117" i="9"/>
  <c r="T113" i="9"/>
  <c r="H186" i="9"/>
  <c r="H126" i="9"/>
  <c r="H132" i="9"/>
  <c r="H138" i="9"/>
  <c r="H135" i="9"/>
  <c r="H129" i="9"/>
  <c r="H137" i="9"/>
  <c r="H128" i="9"/>
  <c r="H134" i="9"/>
  <c r="H130" i="9"/>
  <c r="H133" i="9"/>
  <c r="H136" i="9"/>
  <c r="N169" i="9"/>
  <c r="N180" i="9"/>
  <c r="N178" i="9"/>
  <c r="N172" i="9"/>
  <c r="N171" i="9"/>
  <c r="N174" i="9"/>
  <c r="N176" i="9"/>
  <c r="N177" i="9"/>
  <c r="N179" i="9"/>
  <c r="N175" i="9"/>
  <c r="N173" i="9"/>
  <c r="N216" i="9"/>
  <c r="N96" i="9"/>
  <c r="N102" i="9"/>
  <c r="N100" i="9"/>
  <c r="N104" i="9"/>
  <c r="N99" i="9"/>
  <c r="N108" i="9"/>
  <c r="N107" i="9"/>
  <c r="N98" i="9"/>
  <c r="N103" i="9"/>
  <c r="N106" i="9"/>
  <c r="F229" i="9"/>
  <c r="F111" i="9"/>
  <c r="F109" i="9"/>
  <c r="F110" i="9"/>
  <c r="F119" i="9"/>
  <c r="F118" i="9"/>
  <c r="F113" i="9"/>
  <c r="F115" i="9"/>
  <c r="F117" i="9"/>
  <c r="F112" i="9"/>
  <c r="F120" i="9"/>
  <c r="F116" i="9"/>
  <c r="L144" i="9"/>
  <c r="K169" i="9"/>
  <c r="K177" i="9"/>
  <c r="K180" i="9"/>
  <c r="K173" i="9"/>
  <c r="K174" i="9"/>
  <c r="K172" i="9"/>
  <c r="K175" i="9"/>
  <c r="K171" i="9"/>
  <c r="K176" i="9"/>
  <c r="K179" i="9"/>
  <c r="N101" i="9"/>
  <c r="E131" i="9"/>
  <c r="L178" i="9"/>
  <c r="S199" i="9"/>
  <c r="Q169" i="9"/>
  <c r="Q171" i="9"/>
  <c r="Q172" i="9"/>
  <c r="Q179" i="9"/>
  <c r="Q175" i="9"/>
  <c r="Q180" i="9"/>
  <c r="Q173" i="9"/>
  <c r="Q176" i="9"/>
  <c r="Q177" i="9"/>
  <c r="L127" i="9"/>
  <c r="B157" i="9"/>
  <c r="J199" i="9"/>
  <c r="J139" i="9"/>
  <c r="J141" i="9"/>
  <c r="J147" i="9"/>
  <c r="J149" i="9"/>
  <c r="J145" i="9"/>
  <c r="J150" i="9"/>
  <c r="J142" i="9"/>
  <c r="J146" i="9"/>
  <c r="J143" i="9"/>
  <c r="V135" i="9"/>
  <c r="R126" i="9"/>
  <c r="R186" i="9"/>
  <c r="R137" i="9"/>
  <c r="R133" i="9"/>
  <c r="R134" i="9"/>
  <c r="R127" i="9"/>
  <c r="R130" i="9"/>
  <c r="R132" i="9"/>
  <c r="R128" i="9"/>
  <c r="R138" i="9"/>
  <c r="R129" i="9"/>
  <c r="R136" i="9"/>
  <c r="R135" i="9"/>
  <c r="G199" i="9"/>
  <c r="G139" i="9"/>
  <c r="G140" i="9"/>
  <c r="G147" i="9"/>
  <c r="G145" i="9"/>
  <c r="G143" i="9"/>
  <c r="G149" i="9"/>
  <c r="G146" i="9"/>
  <c r="G142" i="9"/>
  <c r="G150" i="9"/>
  <c r="G141" i="9"/>
  <c r="G156" i="9"/>
  <c r="G163" i="9"/>
  <c r="G159" i="9"/>
  <c r="G158" i="9"/>
  <c r="G166" i="9"/>
  <c r="G160" i="9"/>
  <c r="G167" i="9"/>
  <c r="G168" i="9"/>
  <c r="L216" i="9"/>
  <c r="L96" i="9"/>
  <c r="L97" i="9"/>
  <c r="L103" i="9"/>
  <c r="L106" i="9"/>
  <c r="L104" i="9"/>
  <c r="L99" i="9"/>
  <c r="L107" i="9"/>
  <c r="L102" i="9"/>
  <c r="L108" i="9"/>
  <c r="L98" i="9"/>
  <c r="L100" i="9"/>
  <c r="L105" i="9"/>
  <c r="S156" i="9"/>
  <c r="S159" i="9"/>
  <c r="S167" i="9"/>
  <c r="S158" i="9"/>
  <c r="S160" i="9"/>
  <c r="S166" i="9"/>
  <c r="S168" i="9"/>
  <c r="S163" i="9"/>
  <c r="V156" i="9"/>
  <c r="V160" i="9"/>
  <c r="V158" i="9"/>
  <c r="V168" i="9"/>
  <c r="V159" i="9"/>
  <c r="V166" i="9"/>
  <c r="V163" i="9"/>
  <c r="V167" i="9"/>
  <c r="J148" i="9"/>
  <c r="T110" i="9"/>
  <c r="U169" i="9"/>
  <c r="U180" i="9"/>
  <c r="U172" i="9"/>
  <c r="U175" i="9"/>
  <c r="U173" i="9"/>
  <c r="U171" i="9"/>
  <c r="U179" i="9"/>
  <c r="U176" i="9"/>
  <c r="U177" i="9"/>
  <c r="P101" i="9"/>
  <c r="G169" i="9"/>
  <c r="G175" i="9"/>
  <c r="G176" i="9"/>
  <c r="G173" i="9"/>
  <c r="G172" i="9"/>
  <c r="G174" i="9"/>
  <c r="G177" i="9"/>
  <c r="G171" i="9"/>
  <c r="G180" i="9"/>
  <c r="G179" i="9"/>
  <c r="N170" i="9"/>
  <c r="N97" i="9"/>
  <c r="B161" i="9"/>
  <c r="F114" i="9"/>
  <c r="K170" i="9"/>
  <c r="B144" i="9"/>
  <c r="I161" i="9"/>
  <c r="U229" i="9"/>
  <c r="U109" i="9"/>
  <c r="U112" i="9"/>
  <c r="U119" i="9"/>
  <c r="U110" i="9"/>
  <c r="U111" i="9"/>
  <c r="U116" i="9"/>
  <c r="U113" i="9"/>
  <c r="U115" i="9"/>
  <c r="U120" i="9"/>
  <c r="U117" i="9"/>
  <c r="J140" i="9"/>
  <c r="S186" i="9"/>
  <c r="S126" i="9"/>
  <c r="S138" i="9"/>
  <c r="S135" i="9"/>
  <c r="S134" i="9"/>
  <c r="S132" i="9"/>
  <c r="S133" i="9"/>
  <c r="S128" i="9"/>
  <c r="S129" i="9"/>
  <c r="S130" i="9"/>
  <c r="S136" i="9"/>
  <c r="S137" i="9"/>
  <c r="E160" i="9"/>
  <c r="E156" i="9"/>
  <c r="E158" i="9"/>
  <c r="E159" i="9"/>
  <c r="E163" i="9"/>
  <c r="E167" i="9"/>
  <c r="E168" i="9"/>
  <c r="E166" i="9"/>
  <c r="Q216" i="9"/>
  <c r="Q96" i="9"/>
  <c r="Q106" i="9"/>
  <c r="Q108" i="9"/>
  <c r="Q99" i="9"/>
  <c r="Q100" i="9"/>
  <c r="Q107" i="9"/>
  <c r="Q102" i="9"/>
  <c r="Q103" i="9"/>
  <c r="Q98" i="9"/>
  <c r="Q104" i="9"/>
  <c r="Q101" i="9"/>
  <c r="M199" i="9"/>
  <c r="M139" i="9"/>
  <c r="M145" i="9"/>
  <c r="M142" i="9"/>
  <c r="M147" i="9"/>
  <c r="M141" i="9"/>
  <c r="M148" i="9"/>
  <c r="M143" i="9"/>
  <c r="M150" i="9"/>
  <c r="M146" i="9"/>
  <c r="M149" i="9"/>
  <c r="G157" i="9"/>
  <c r="L101" i="9"/>
  <c r="S157" i="9"/>
  <c r="H199" i="9"/>
  <c r="H143" i="9"/>
  <c r="H139" i="9"/>
  <c r="H142" i="9"/>
  <c r="H145" i="9"/>
  <c r="H141" i="9"/>
  <c r="H147" i="9"/>
  <c r="H150" i="9"/>
  <c r="H149" i="9"/>
  <c r="H146" i="9"/>
  <c r="S169" i="9"/>
  <c r="S176" i="9"/>
  <c r="S179" i="9"/>
  <c r="S173" i="9"/>
  <c r="S172" i="9"/>
  <c r="S178" i="9"/>
  <c r="S175" i="9"/>
  <c r="S177" i="9"/>
  <c r="S171" i="9"/>
  <c r="S180" i="9"/>
  <c r="S174" i="9"/>
  <c r="U127" i="9"/>
  <c r="V157" i="9"/>
  <c r="K114" i="9"/>
  <c r="U170" i="9"/>
  <c r="H127" i="9"/>
  <c r="R161" i="9"/>
  <c r="G170" i="9"/>
  <c r="K118" i="9"/>
  <c r="I229" i="9"/>
  <c r="I111" i="9"/>
  <c r="I109" i="9"/>
  <c r="I112" i="9"/>
  <c r="I116" i="9"/>
  <c r="I117" i="9"/>
  <c r="I119" i="9"/>
  <c r="I120" i="9"/>
  <c r="I113" i="9"/>
  <c r="I110" i="9"/>
  <c r="I115" i="9"/>
  <c r="D169" i="9"/>
  <c r="D180" i="9"/>
  <c r="D176" i="9"/>
  <c r="D179" i="9"/>
  <c r="D173" i="9"/>
  <c r="D175" i="9"/>
  <c r="D172" i="9"/>
  <c r="D171" i="9"/>
  <c r="D177" i="9"/>
  <c r="D216" i="9"/>
  <c r="D96" i="9"/>
  <c r="D108" i="9"/>
  <c r="D102" i="9"/>
  <c r="D97" i="9"/>
  <c r="D98" i="9"/>
  <c r="D105" i="9"/>
  <c r="D107" i="9"/>
  <c r="D100" i="9"/>
  <c r="D99" i="9"/>
  <c r="D104" i="9"/>
  <c r="D103" i="9"/>
  <c r="D106" i="9"/>
  <c r="W156" i="9"/>
  <c r="W168" i="9"/>
  <c r="W158" i="9"/>
  <c r="W160" i="9"/>
  <c r="W165" i="9"/>
  <c r="W159" i="9"/>
  <c r="W166" i="9"/>
  <c r="W163" i="9"/>
  <c r="W167" i="9"/>
  <c r="I216" i="9"/>
  <c r="I96" i="9"/>
  <c r="I98" i="9"/>
  <c r="I104" i="9"/>
  <c r="I108" i="9"/>
  <c r="I100" i="9"/>
  <c r="I99" i="9"/>
  <c r="I102" i="9"/>
  <c r="I107" i="9"/>
  <c r="I106" i="9"/>
  <c r="I103" i="9"/>
  <c r="P139" i="9"/>
  <c r="P199" i="9"/>
  <c r="P141" i="9"/>
  <c r="P147" i="9"/>
  <c r="P146" i="9"/>
  <c r="P150" i="9"/>
  <c r="P149" i="9"/>
  <c r="P148" i="9"/>
  <c r="P142" i="9"/>
  <c r="P143" i="9"/>
  <c r="P145" i="9"/>
  <c r="P140" i="9"/>
  <c r="U118" i="9"/>
  <c r="S127" i="9"/>
  <c r="E157" i="9"/>
  <c r="Q97" i="9"/>
  <c r="P229" i="9"/>
  <c r="P109" i="9"/>
  <c r="P115" i="9"/>
  <c r="P116" i="9"/>
  <c r="P118" i="9"/>
  <c r="P111" i="9"/>
  <c r="P112" i="9"/>
  <c r="P117" i="9"/>
  <c r="P113" i="9"/>
  <c r="P119" i="9"/>
  <c r="P120" i="9"/>
  <c r="M140" i="9"/>
  <c r="T186" i="9"/>
  <c r="T126" i="9"/>
  <c r="T133" i="9"/>
  <c r="T128" i="9"/>
  <c r="T134" i="9"/>
  <c r="T137" i="9"/>
  <c r="T129" i="9"/>
  <c r="T136" i="9"/>
  <c r="T132" i="9"/>
  <c r="T131" i="9"/>
  <c r="T138" i="9"/>
  <c r="T130" i="9"/>
  <c r="H118" i="9"/>
  <c r="M144" i="9"/>
  <c r="Q229" i="9"/>
  <c r="Q109" i="9"/>
  <c r="Q117" i="9"/>
  <c r="Q111" i="9"/>
  <c r="Q120" i="9"/>
  <c r="Q112" i="9"/>
  <c r="Q119" i="9"/>
  <c r="Q113" i="9"/>
  <c r="Q116" i="9"/>
  <c r="Q115" i="9"/>
  <c r="Q118" i="9"/>
  <c r="K199" i="9"/>
  <c r="K149" i="9"/>
  <c r="K143" i="9"/>
  <c r="K139" i="9"/>
  <c r="K146" i="9"/>
  <c r="K142" i="9"/>
  <c r="K145" i="9"/>
  <c r="K150" i="9"/>
  <c r="K141" i="9"/>
  <c r="K147" i="9"/>
  <c r="K144" i="9"/>
  <c r="B229" i="9"/>
  <c r="B109" i="9"/>
  <c r="B119" i="9"/>
  <c r="B113" i="9"/>
  <c r="B118" i="9"/>
  <c r="B115" i="9"/>
  <c r="B120" i="9"/>
  <c r="B117" i="9"/>
  <c r="B112" i="9"/>
  <c r="B111" i="9"/>
  <c r="B116" i="9"/>
  <c r="U216" i="9"/>
  <c r="U96" i="9"/>
  <c r="U106" i="9"/>
  <c r="U107" i="9"/>
  <c r="U102" i="9"/>
  <c r="U104" i="9"/>
  <c r="U103" i="9"/>
  <c r="U108" i="9"/>
  <c r="U100" i="9"/>
  <c r="U99" i="9"/>
  <c r="U98" i="9"/>
  <c r="C186" i="9"/>
  <c r="C126" i="9"/>
  <c r="C133" i="9"/>
  <c r="C131" i="9"/>
  <c r="C130" i="9"/>
  <c r="C132" i="9"/>
  <c r="C138" i="9"/>
  <c r="C135" i="9"/>
  <c r="C129" i="9"/>
  <c r="C136" i="9"/>
  <c r="C134" i="9"/>
  <c r="C137" i="9"/>
  <c r="C128" i="9"/>
  <c r="D199" i="9"/>
  <c r="D139" i="9"/>
  <c r="D144" i="9"/>
  <c r="D149" i="9"/>
  <c r="D145" i="9"/>
  <c r="D143" i="9"/>
  <c r="D147" i="9"/>
  <c r="D146" i="9"/>
  <c r="D150" i="9"/>
  <c r="D142" i="9"/>
  <c r="D141" i="9"/>
  <c r="V96" i="9"/>
  <c r="V216" i="9"/>
  <c r="V99" i="9"/>
  <c r="V103" i="9"/>
  <c r="V108" i="9"/>
  <c r="V104" i="9"/>
  <c r="V100" i="9"/>
  <c r="V106" i="9"/>
  <c r="V107" i="9"/>
  <c r="V98" i="9"/>
  <c r="V102" i="9"/>
  <c r="T199" i="9"/>
  <c r="T139" i="9"/>
  <c r="T142" i="9"/>
  <c r="T149" i="9"/>
  <c r="T147" i="9"/>
  <c r="T141" i="9"/>
  <c r="T140" i="9"/>
  <c r="T145" i="9"/>
  <c r="T150" i="9"/>
  <c r="T146" i="9"/>
  <c r="T143" i="9"/>
  <c r="W199" i="9"/>
  <c r="W139" i="9"/>
  <c r="W143" i="9"/>
  <c r="W147" i="9"/>
  <c r="W140" i="9"/>
  <c r="W150" i="9"/>
  <c r="W149" i="9"/>
  <c r="W145" i="9"/>
  <c r="W146" i="9"/>
  <c r="W142" i="9"/>
  <c r="W141" i="9"/>
  <c r="H178" i="9"/>
  <c r="N161" i="9"/>
  <c r="S114" i="9"/>
  <c r="O186" i="9"/>
  <c r="O134" i="9"/>
  <c r="O137" i="9"/>
  <c r="O126" i="9"/>
  <c r="O131" i="9"/>
  <c r="O132" i="9"/>
  <c r="O133" i="9"/>
  <c r="O130" i="9"/>
  <c r="O136" i="9"/>
  <c r="O138" i="9"/>
  <c r="O128" i="9"/>
  <c r="O129" i="9"/>
  <c r="D170" i="9"/>
  <c r="D101" i="9"/>
  <c r="W157" i="9"/>
  <c r="G229" i="9"/>
  <c r="G109" i="9"/>
  <c r="G117" i="9"/>
  <c r="G112" i="9"/>
  <c r="G119" i="9"/>
  <c r="G111" i="9"/>
  <c r="G113" i="9"/>
  <c r="G120" i="9"/>
  <c r="G115" i="9"/>
  <c r="G114" i="9"/>
  <c r="G116" i="9"/>
  <c r="H101" i="9"/>
  <c r="E161" i="9"/>
  <c r="P110" i="9"/>
  <c r="B216" i="9"/>
  <c r="B96" i="9"/>
  <c r="B107" i="9"/>
  <c r="B108" i="9"/>
  <c r="B98" i="9"/>
  <c r="B106" i="9"/>
  <c r="B99" i="9"/>
  <c r="B100" i="9"/>
  <c r="B102" i="9"/>
  <c r="B97" i="9"/>
  <c r="B103" i="9"/>
  <c r="B104" i="9"/>
  <c r="H156" i="9"/>
  <c r="H168" i="9"/>
  <c r="H166" i="9"/>
  <c r="H159" i="9"/>
  <c r="H167" i="9"/>
  <c r="H158" i="9"/>
  <c r="H163" i="9"/>
  <c r="H160" i="9"/>
  <c r="F216" i="9"/>
  <c r="F96" i="9"/>
  <c r="F103" i="9"/>
  <c r="F106" i="9"/>
  <c r="F104" i="9"/>
  <c r="F108" i="9"/>
  <c r="F100" i="9"/>
  <c r="F99" i="9"/>
  <c r="F107" i="9"/>
  <c r="F102" i="9"/>
  <c r="F98" i="9"/>
  <c r="H140" i="9"/>
  <c r="G144" i="9"/>
  <c r="K140" i="9"/>
  <c r="K148" i="9"/>
  <c r="S131" i="9"/>
  <c r="B110" i="9"/>
  <c r="U97" i="9"/>
  <c r="G148" i="9"/>
  <c r="V97" i="9"/>
  <c r="M216" i="9"/>
  <c r="I118" i="9"/>
  <c r="K186" i="9"/>
  <c r="O127" i="9"/>
  <c r="W229" i="9"/>
  <c r="W109" i="9"/>
  <c r="W120" i="9"/>
  <c r="W115" i="9"/>
  <c r="W110" i="9"/>
  <c r="W117" i="9"/>
  <c r="W111" i="9"/>
  <c r="W116" i="9"/>
  <c r="W118" i="9"/>
  <c r="W119" i="9"/>
  <c r="W112" i="9"/>
  <c r="W113" i="9"/>
  <c r="E216" i="9"/>
  <c r="E96" i="9"/>
  <c r="E102" i="9"/>
  <c r="E106" i="9"/>
  <c r="E101" i="9"/>
  <c r="E104" i="9"/>
  <c r="E99" i="9"/>
  <c r="E107" i="9"/>
  <c r="E100" i="9"/>
  <c r="E103" i="9"/>
  <c r="E108" i="9"/>
  <c r="E98" i="9"/>
  <c r="T127" i="9"/>
  <c r="V199" i="9"/>
  <c r="V143" i="9"/>
  <c r="V139" i="9"/>
  <c r="V150" i="9"/>
  <c r="V141" i="9"/>
  <c r="V147" i="9"/>
  <c r="V149" i="9"/>
  <c r="V145" i="9"/>
  <c r="V146" i="9"/>
  <c r="V142" i="9"/>
  <c r="B101" i="9"/>
  <c r="J169" i="9"/>
  <c r="J171" i="9"/>
  <c r="J173" i="9"/>
  <c r="J172" i="9"/>
  <c r="J176" i="9"/>
  <c r="J178" i="9"/>
  <c r="J177" i="9"/>
  <c r="J175" i="9"/>
  <c r="J179" i="9"/>
  <c r="J180" i="9"/>
  <c r="J170" i="9"/>
  <c r="H157" i="9"/>
  <c r="F97" i="9"/>
  <c r="W101" i="9"/>
  <c r="F156" i="9"/>
  <c r="F158" i="9"/>
  <c r="F168" i="9"/>
  <c r="F160" i="9"/>
  <c r="F163" i="9"/>
  <c r="F165" i="9"/>
  <c r="F159" i="9"/>
  <c r="F167" i="9"/>
  <c r="F166" i="9"/>
  <c r="G216" i="9"/>
  <c r="G96" i="9"/>
  <c r="G99" i="9"/>
  <c r="G104" i="9"/>
  <c r="G103" i="9"/>
  <c r="G98" i="9"/>
  <c r="G108" i="9"/>
  <c r="G106" i="9"/>
  <c r="G102" i="9"/>
  <c r="G100" i="9"/>
  <c r="G107" i="9"/>
  <c r="T216" i="9"/>
  <c r="T96" i="9"/>
  <c r="T103" i="9"/>
  <c r="T105" i="9"/>
  <c r="T107" i="9"/>
  <c r="T98" i="9"/>
  <c r="T99" i="9"/>
  <c r="T102" i="9"/>
  <c r="T108" i="9"/>
  <c r="T104" i="9"/>
  <c r="T100" i="9"/>
  <c r="T106" i="9"/>
  <c r="C127" i="9"/>
  <c r="D140" i="9"/>
  <c r="S165" i="9"/>
  <c r="C110" i="9"/>
  <c r="W144" i="9"/>
  <c r="I105" i="9"/>
  <c r="P135" i="9"/>
  <c r="U199" i="9"/>
  <c r="U139" i="9"/>
  <c r="U147" i="9"/>
  <c r="U145" i="9"/>
  <c r="U146" i="9"/>
  <c r="U140" i="9"/>
  <c r="U149" i="9"/>
  <c r="U141" i="9"/>
  <c r="U143" i="9"/>
  <c r="U142" i="9"/>
  <c r="U150" i="9"/>
  <c r="Q186" i="9"/>
  <c r="W172" i="9"/>
  <c r="W175" i="9"/>
  <c r="W169" i="9"/>
  <c r="W179" i="9"/>
  <c r="W173" i="9"/>
  <c r="W171" i="9"/>
  <c r="W176" i="9"/>
  <c r="W177" i="9"/>
  <c r="W180" i="9"/>
  <c r="S216" i="9"/>
  <c r="J216" i="9"/>
  <c r="J107" i="9"/>
  <c r="J99" i="9"/>
  <c r="J98" i="9"/>
  <c r="J96" i="9"/>
  <c r="J100" i="9"/>
  <c r="J103" i="9"/>
  <c r="J102" i="9"/>
  <c r="J104" i="9"/>
  <c r="J108" i="9"/>
  <c r="J106" i="9"/>
  <c r="B135" i="9"/>
  <c r="R229" i="9"/>
  <c r="R109" i="9"/>
  <c r="R112" i="9"/>
  <c r="R120" i="9"/>
  <c r="R199" i="9"/>
  <c r="R119" i="9"/>
  <c r="R111" i="9"/>
  <c r="R113" i="9"/>
  <c r="R115" i="9"/>
  <c r="R110" i="9"/>
  <c r="R118" i="9"/>
  <c r="R117" i="9"/>
  <c r="R116" i="9"/>
  <c r="E97" i="9"/>
  <c r="M186" i="9"/>
  <c r="M132" i="9"/>
  <c r="M126" i="9"/>
  <c r="M134" i="9"/>
  <c r="M128" i="9"/>
  <c r="M129" i="9"/>
  <c r="M137" i="9"/>
  <c r="M133" i="9"/>
  <c r="M138" i="9"/>
  <c r="M130" i="9"/>
  <c r="M136" i="9"/>
  <c r="K97" i="9"/>
  <c r="J131" i="9"/>
  <c r="V140" i="9"/>
  <c r="N156" i="9"/>
  <c r="N158" i="9"/>
  <c r="N160" i="9"/>
  <c r="N167" i="9"/>
  <c r="N163" i="9"/>
  <c r="N159" i="9"/>
  <c r="N168" i="9"/>
  <c r="N166" i="9"/>
  <c r="J174" i="9"/>
  <c r="W105" i="9"/>
  <c r="S118" i="9"/>
  <c r="F157" i="9"/>
  <c r="L109" i="9"/>
  <c r="L229" i="9"/>
  <c r="L112" i="9"/>
  <c r="L113" i="9"/>
  <c r="L117" i="9"/>
  <c r="L118" i="9"/>
  <c r="L114" i="9"/>
  <c r="L119" i="9"/>
  <c r="L116" i="9"/>
  <c r="L120" i="9"/>
  <c r="L115" i="9"/>
  <c r="L111" i="9"/>
  <c r="R156" i="9"/>
  <c r="R158" i="9"/>
  <c r="R163" i="9"/>
  <c r="R160" i="9"/>
  <c r="R159" i="9"/>
  <c r="R166" i="9"/>
  <c r="R167" i="9"/>
  <c r="R168" i="9"/>
  <c r="T97" i="9"/>
  <c r="G165" i="9"/>
  <c r="J156" i="9"/>
  <c r="J167" i="9"/>
  <c r="J158" i="9"/>
  <c r="J168" i="9"/>
  <c r="J159" i="9"/>
  <c r="J166" i="9"/>
  <c r="J160" i="9"/>
  <c r="J163" i="9"/>
  <c r="M131" i="9"/>
  <c r="J135" i="9"/>
  <c r="H131" i="9"/>
  <c r="N140" i="9"/>
  <c r="P169" i="9"/>
  <c r="P176" i="9"/>
  <c r="P179" i="9"/>
  <c r="P180" i="9"/>
  <c r="P172" i="9"/>
  <c r="P173" i="9"/>
  <c r="P171" i="9"/>
  <c r="P177" i="9"/>
  <c r="P175" i="9"/>
  <c r="N144" i="9"/>
  <c r="D118" i="9"/>
  <c r="O199" i="9"/>
  <c r="O139" i="9"/>
  <c r="O141" i="9"/>
  <c r="O149" i="9"/>
  <c r="O143" i="9"/>
  <c r="O148" i="9"/>
  <c r="O150" i="9"/>
  <c r="O142" i="9"/>
  <c r="O146" i="9"/>
  <c r="O145" i="9"/>
  <c r="O147" i="9"/>
  <c r="U156" i="9"/>
  <c r="U160" i="9"/>
  <c r="U163" i="9"/>
  <c r="U168" i="9"/>
  <c r="U167" i="9"/>
  <c r="U158" i="9"/>
  <c r="U159" i="9"/>
  <c r="U166" i="9"/>
  <c r="T177" i="9"/>
  <c r="T169" i="9"/>
  <c r="T179" i="9"/>
  <c r="T174" i="9"/>
  <c r="T172" i="9"/>
  <c r="T180" i="9"/>
  <c r="T171" i="9"/>
  <c r="T173" i="9"/>
  <c r="T176" i="9"/>
  <c r="T175" i="9"/>
  <c r="C229" i="9"/>
  <c r="C109" i="9"/>
  <c r="C115" i="9"/>
  <c r="C199" i="9"/>
  <c r="C113" i="9"/>
  <c r="C112" i="9"/>
  <c r="C111" i="9"/>
  <c r="C117" i="9"/>
  <c r="C120" i="9"/>
  <c r="C116" i="9"/>
  <c r="C119" i="9"/>
  <c r="J144" i="9"/>
  <c r="O144" i="9"/>
  <c r="L169" i="9"/>
  <c r="L177" i="9"/>
  <c r="L176" i="9"/>
  <c r="L170" i="9"/>
  <c r="L180" i="9"/>
  <c r="L173" i="9"/>
  <c r="L175" i="9"/>
  <c r="L172" i="9"/>
  <c r="L171" i="9"/>
  <c r="L179" i="9"/>
  <c r="N229" i="9"/>
  <c r="N109" i="9"/>
  <c r="N117" i="9"/>
  <c r="N115" i="9"/>
  <c r="N118" i="9"/>
  <c r="N111" i="9"/>
  <c r="N116" i="9"/>
  <c r="N113" i="9"/>
  <c r="N119" i="9"/>
  <c r="N110" i="9"/>
  <c r="N112" i="9"/>
  <c r="N120" i="9"/>
  <c r="G178" i="9"/>
  <c r="U148" i="9"/>
  <c r="W170" i="9"/>
  <c r="T178" i="9"/>
  <c r="J97" i="9"/>
  <c r="O174" i="9"/>
  <c r="C40" i="7" l="1" a="1"/>
  <c r="C40" i="7" s="1"/>
  <c r="A40" i="7" a="1"/>
  <c r="A40" i="7" s="1"/>
  <c r="W180" i="8"/>
  <c r="V180" i="8"/>
  <c r="U180" i="8"/>
  <c r="T180" i="8"/>
  <c r="S180" i="8"/>
  <c r="R180" i="8"/>
  <c r="Q180" i="8"/>
  <c r="P180" i="8"/>
  <c r="O180" i="8"/>
  <c r="N180" i="8"/>
  <c r="M180" i="8"/>
  <c r="L180" i="8"/>
  <c r="K180" i="8"/>
  <c r="J180" i="8"/>
  <c r="I180" i="8"/>
  <c r="H180" i="8"/>
  <c r="G180" i="8"/>
  <c r="F180" i="8"/>
  <c r="E180" i="8"/>
  <c r="D180" i="8"/>
  <c r="C180" i="8"/>
  <c r="B180" i="8"/>
  <c r="W179" i="8"/>
  <c r="V179" i="8"/>
  <c r="U179" i="8"/>
  <c r="T179" i="8"/>
  <c r="S179" i="8"/>
  <c r="R179" i="8"/>
  <c r="Q179" i="8"/>
  <c r="P179" i="8"/>
  <c r="O179" i="8"/>
  <c r="N179" i="8"/>
  <c r="M179" i="8"/>
  <c r="L179" i="8"/>
  <c r="K179" i="8"/>
  <c r="J179" i="8"/>
  <c r="I179" i="8"/>
  <c r="H179" i="8"/>
  <c r="G179" i="8"/>
  <c r="F179" i="8"/>
  <c r="E179" i="8"/>
  <c r="D179" i="8"/>
  <c r="C179" i="8"/>
  <c r="B179" i="8"/>
  <c r="W178" i="8"/>
  <c r="V178" i="8"/>
  <c r="U178" i="8"/>
  <c r="T178" i="8"/>
  <c r="S178" i="8"/>
  <c r="R178" i="8"/>
  <c r="Q178" i="8"/>
  <c r="P178" i="8"/>
  <c r="O178" i="8"/>
  <c r="N178" i="8"/>
  <c r="M178" i="8"/>
  <c r="L178" i="8"/>
  <c r="K178" i="8"/>
  <c r="J178" i="8"/>
  <c r="I178" i="8"/>
  <c r="H178" i="8"/>
  <c r="G178" i="8"/>
  <c r="F178" i="8"/>
  <c r="E178" i="8"/>
  <c r="D178" i="8"/>
  <c r="C178" i="8"/>
  <c r="B178" i="8"/>
  <c r="W177" i="8"/>
  <c r="V177" i="8"/>
  <c r="U177" i="8"/>
  <c r="T177" i="8"/>
  <c r="S177" i="8"/>
  <c r="R177" i="8"/>
  <c r="Q177" i="8"/>
  <c r="P177" i="8"/>
  <c r="O177" i="8"/>
  <c r="N177" i="8"/>
  <c r="M177" i="8"/>
  <c r="L177" i="8"/>
  <c r="K177" i="8"/>
  <c r="J177" i="8"/>
  <c r="I177" i="8"/>
  <c r="H177" i="8"/>
  <c r="G177" i="8"/>
  <c r="F177" i="8"/>
  <c r="E177" i="8"/>
  <c r="D177" i="8"/>
  <c r="C177" i="8"/>
  <c r="B177" i="8"/>
  <c r="W176" i="8"/>
  <c r="V176" i="8"/>
  <c r="U176" i="8"/>
  <c r="T176" i="8"/>
  <c r="S176" i="8"/>
  <c r="R176" i="8"/>
  <c r="Q176" i="8"/>
  <c r="P176" i="8"/>
  <c r="O176" i="8"/>
  <c r="N176" i="8"/>
  <c r="M176" i="8"/>
  <c r="L176" i="8"/>
  <c r="K176" i="8"/>
  <c r="J176" i="8"/>
  <c r="I176" i="8"/>
  <c r="H176" i="8"/>
  <c r="G176" i="8"/>
  <c r="F176" i="8"/>
  <c r="E176" i="8"/>
  <c r="D176" i="8"/>
  <c r="C176" i="8"/>
  <c r="B176" i="8"/>
  <c r="W175" i="8"/>
  <c r="V175" i="8"/>
  <c r="U175" i="8"/>
  <c r="T175" i="8"/>
  <c r="S175" i="8"/>
  <c r="R175" i="8"/>
  <c r="Q175" i="8"/>
  <c r="P175" i="8"/>
  <c r="O175" i="8"/>
  <c r="N175" i="8"/>
  <c r="M175" i="8"/>
  <c r="L175" i="8"/>
  <c r="K175" i="8"/>
  <c r="J175" i="8"/>
  <c r="I175" i="8"/>
  <c r="H175" i="8"/>
  <c r="G175" i="8"/>
  <c r="F175" i="8"/>
  <c r="E175" i="8"/>
  <c r="D175" i="8"/>
  <c r="C175" i="8"/>
  <c r="B175" i="8"/>
  <c r="W174" i="8"/>
  <c r="V174" i="8"/>
  <c r="U174" i="8"/>
  <c r="T174" i="8"/>
  <c r="S174" i="8"/>
  <c r="R174" i="8"/>
  <c r="Q174" i="8"/>
  <c r="P174" i="8"/>
  <c r="O174" i="8"/>
  <c r="N174" i="8"/>
  <c r="M174" i="8"/>
  <c r="L174" i="8"/>
  <c r="K174" i="8"/>
  <c r="J174" i="8"/>
  <c r="I174" i="8"/>
  <c r="H174" i="8"/>
  <c r="G174" i="8"/>
  <c r="F174" i="8"/>
  <c r="E174" i="8"/>
  <c r="D174" i="8"/>
  <c r="C174" i="8"/>
  <c r="B174" i="8"/>
  <c r="W173" i="8"/>
  <c r="V173" i="8"/>
  <c r="U173" i="8"/>
  <c r="T173" i="8"/>
  <c r="S173" i="8"/>
  <c r="R173" i="8"/>
  <c r="Q173" i="8"/>
  <c r="P173" i="8"/>
  <c r="O173" i="8"/>
  <c r="N173" i="8"/>
  <c r="M173" i="8"/>
  <c r="L173" i="8"/>
  <c r="K173" i="8"/>
  <c r="J173" i="8"/>
  <c r="I173" i="8"/>
  <c r="H173" i="8"/>
  <c r="G173" i="8"/>
  <c r="F173" i="8"/>
  <c r="E173" i="8"/>
  <c r="D173" i="8"/>
  <c r="C173" i="8"/>
  <c r="B173" i="8"/>
  <c r="W172" i="8"/>
  <c r="V172" i="8"/>
  <c r="U172" i="8"/>
  <c r="T172" i="8"/>
  <c r="S172" i="8"/>
  <c r="R172" i="8"/>
  <c r="Q172" i="8"/>
  <c r="P172" i="8"/>
  <c r="O172" i="8"/>
  <c r="N172" i="8"/>
  <c r="M172" i="8"/>
  <c r="L172" i="8"/>
  <c r="K172" i="8"/>
  <c r="J172" i="8"/>
  <c r="I172" i="8"/>
  <c r="H172" i="8"/>
  <c r="G172" i="8"/>
  <c r="F172" i="8"/>
  <c r="E172" i="8"/>
  <c r="D172" i="8"/>
  <c r="C172" i="8"/>
  <c r="B172" i="8"/>
  <c r="W171" i="8"/>
  <c r="V171" i="8"/>
  <c r="U171" i="8"/>
  <c r="T171" i="8"/>
  <c r="S171" i="8"/>
  <c r="R171" i="8"/>
  <c r="Q171" i="8"/>
  <c r="P171" i="8"/>
  <c r="O171" i="8"/>
  <c r="N171" i="8"/>
  <c r="M171" i="8"/>
  <c r="L171" i="8"/>
  <c r="K171" i="8"/>
  <c r="J171" i="8"/>
  <c r="I171" i="8"/>
  <c r="H171" i="8"/>
  <c r="G171" i="8"/>
  <c r="F171" i="8"/>
  <c r="E171" i="8"/>
  <c r="D171" i="8"/>
  <c r="C171" i="8"/>
  <c r="B171" i="8"/>
  <c r="W170" i="8"/>
  <c r="V170" i="8"/>
  <c r="U170" i="8"/>
  <c r="T170" i="8"/>
  <c r="S170" i="8"/>
  <c r="R170" i="8"/>
  <c r="Q170" i="8"/>
  <c r="P170" i="8"/>
  <c r="O170" i="8"/>
  <c r="N170" i="8"/>
  <c r="M170" i="8"/>
  <c r="L170" i="8"/>
  <c r="K170" i="8"/>
  <c r="J170" i="8"/>
  <c r="I170" i="8"/>
  <c r="H170" i="8"/>
  <c r="G170" i="8"/>
  <c r="F170" i="8"/>
  <c r="E170" i="8"/>
  <c r="D170" i="8"/>
  <c r="C170" i="8"/>
  <c r="B170" i="8"/>
  <c r="W169" i="8"/>
  <c r="V169" i="8"/>
  <c r="U169" i="8"/>
  <c r="T169" i="8"/>
  <c r="S169" i="8"/>
  <c r="R169" i="8"/>
  <c r="Q169" i="8"/>
  <c r="P169" i="8"/>
  <c r="O169" i="8"/>
  <c r="N169" i="8"/>
  <c r="M169" i="8"/>
  <c r="L169" i="8"/>
  <c r="K169" i="8"/>
  <c r="J169" i="8"/>
  <c r="I169" i="8"/>
  <c r="H169" i="8"/>
  <c r="G169" i="8"/>
  <c r="F169" i="8"/>
  <c r="E169" i="8"/>
  <c r="D169" i="8"/>
  <c r="C169" i="8"/>
  <c r="B169" i="8"/>
  <c r="W168" i="8"/>
  <c r="V168" i="8"/>
  <c r="U168" i="8"/>
  <c r="T168" i="8"/>
  <c r="S168" i="8"/>
  <c r="R168" i="8"/>
  <c r="Q168" i="8"/>
  <c r="P168" i="8"/>
  <c r="O168" i="8"/>
  <c r="N168" i="8"/>
  <c r="M168" i="8"/>
  <c r="L168" i="8"/>
  <c r="K168" i="8"/>
  <c r="J168" i="8"/>
  <c r="I168" i="8"/>
  <c r="H168" i="8"/>
  <c r="G168" i="8"/>
  <c r="F168" i="8"/>
  <c r="E168" i="8"/>
  <c r="D168" i="8"/>
  <c r="C168" i="8"/>
  <c r="B168" i="8"/>
  <c r="W167" i="8"/>
  <c r="V167" i="8"/>
  <c r="U167" i="8"/>
  <c r="T167" i="8"/>
  <c r="S167" i="8"/>
  <c r="R167" i="8"/>
  <c r="Q167" i="8"/>
  <c r="P167" i="8"/>
  <c r="O167" i="8"/>
  <c r="N167" i="8"/>
  <c r="M167" i="8"/>
  <c r="L167" i="8"/>
  <c r="K167" i="8"/>
  <c r="J167" i="8"/>
  <c r="I167" i="8"/>
  <c r="H167" i="8"/>
  <c r="G167" i="8"/>
  <c r="F167" i="8"/>
  <c r="E167" i="8"/>
  <c r="D167" i="8"/>
  <c r="C167" i="8"/>
  <c r="B167" i="8"/>
  <c r="W166" i="8"/>
  <c r="V166" i="8"/>
  <c r="U166" i="8"/>
  <c r="T166" i="8"/>
  <c r="S166" i="8"/>
  <c r="R166" i="8"/>
  <c r="Q166" i="8"/>
  <c r="P166" i="8"/>
  <c r="O166" i="8"/>
  <c r="N166" i="8"/>
  <c r="M166" i="8"/>
  <c r="L166" i="8"/>
  <c r="K166" i="8"/>
  <c r="J166" i="8"/>
  <c r="I166" i="8"/>
  <c r="H166" i="8"/>
  <c r="G166" i="8"/>
  <c r="F166" i="8"/>
  <c r="E166" i="8"/>
  <c r="D166" i="8"/>
  <c r="C166" i="8"/>
  <c r="B166" i="8"/>
  <c r="W165" i="8"/>
  <c r="V165" i="8"/>
  <c r="U165" i="8"/>
  <c r="T165" i="8"/>
  <c r="S165" i="8"/>
  <c r="R165" i="8"/>
  <c r="Q165" i="8"/>
  <c r="P165" i="8"/>
  <c r="O165" i="8"/>
  <c r="N165" i="8"/>
  <c r="M165" i="8"/>
  <c r="L165" i="8"/>
  <c r="K165" i="8"/>
  <c r="J165" i="8"/>
  <c r="I165" i="8"/>
  <c r="H165" i="8"/>
  <c r="G165" i="8"/>
  <c r="F165" i="8"/>
  <c r="E165" i="8"/>
  <c r="D165" i="8"/>
  <c r="C165" i="8"/>
  <c r="B165" i="8"/>
  <c r="W164" i="8"/>
  <c r="V164" i="8"/>
  <c r="U164" i="8"/>
  <c r="T164" i="8"/>
  <c r="S164" i="8"/>
  <c r="R164" i="8"/>
  <c r="Q164" i="8"/>
  <c r="P164" i="8"/>
  <c r="O164" i="8"/>
  <c r="N164" i="8"/>
  <c r="M164" i="8"/>
  <c r="L164" i="8"/>
  <c r="K164" i="8"/>
  <c r="J164" i="8"/>
  <c r="I164" i="8"/>
  <c r="H164" i="8"/>
  <c r="G164" i="8"/>
  <c r="F164" i="8"/>
  <c r="E164" i="8"/>
  <c r="D164" i="8"/>
  <c r="C164" i="8"/>
  <c r="B164" i="8"/>
  <c r="W163" i="8"/>
  <c r="V163" i="8"/>
  <c r="U163" i="8"/>
  <c r="T163" i="8"/>
  <c r="S163" i="8"/>
  <c r="R163" i="8"/>
  <c r="Q163" i="8"/>
  <c r="P163" i="8"/>
  <c r="O163" i="8"/>
  <c r="N163" i="8"/>
  <c r="M163" i="8"/>
  <c r="L163" i="8"/>
  <c r="K163" i="8"/>
  <c r="J163" i="8"/>
  <c r="I163" i="8"/>
  <c r="H163" i="8"/>
  <c r="G163" i="8"/>
  <c r="F163" i="8"/>
  <c r="E163" i="8"/>
  <c r="D163" i="8"/>
  <c r="C163" i="8"/>
  <c r="B163" i="8"/>
  <c r="W162" i="8"/>
  <c r="V162" i="8"/>
  <c r="U162" i="8"/>
  <c r="T162" i="8"/>
  <c r="S162" i="8"/>
  <c r="R162" i="8"/>
  <c r="Q162" i="8"/>
  <c r="P162" i="8"/>
  <c r="O162" i="8"/>
  <c r="N162" i="8"/>
  <c r="M162" i="8"/>
  <c r="L162" i="8"/>
  <c r="K162" i="8"/>
  <c r="J162" i="8"/>
  <c r="I162" i="8"/>
  <c r="H162" i="8"/>
  <c r="G162" i="8"/>
  <c r="F162" i="8"/>
  <c r="E162" i="8"/>
  <c r="D162" i="8"/>
  <c r="C162" i="8"/>
  <c r="B162" i="8"/>
  <c r="W161" i="8"/>
  <c r="V161" i="8"/>
  <c r="U161" i="8"/>
  <c r="T161" i="8"/>
  <c r="S161" i="8"/>
  <c r="R161" i="8"/>
  <c r="Q161" i="8"/>
  <c r="P161" i="8"/>
  <c r="O161" i="8"/>
  <c r="N161" i="8"/>
  <c r="M161" i="8"/>
  <c r="L161" i="8"/>
  <c r="K161" i="8"/>
  <c r="J161" i="8"/>
  <c r="I161" i="8"/>
  <c r="H161" i="8"/>
  <c r="G161" i="8"/>
  <c r="F161" i="8"/>
  <c r="E161" i="8"/>
  <c r="D161" i="8"/>
  <c r="C161" i="8"/>
  <c r="B161" i="8"/>
  <c r="W160" i="8"/>
  <c r="V160" i="8"/>
  <c r="U160" i="8"/>
  <c r="T160" i="8"/>
  <c r="S160" i="8"/>
  <c r="R160" i="8"/>
  <c r="Q160" i="8"/>
  <c r="P160" i="8"/>
  <c r="O160" i="8"/>
  <c r="N160" i="8"/>
  <c r="M160" i="8"/>
  <c r="L160" i="8"/>
  <c r="K160" i="8"/>
  <c r="J160" i="8"/>
  <c r="I160" i="8"/>
  <c r="H160" i="8"/>
  <c r="G160" i="8"/>
  <c r="F160" i="8"/>
  <c r="E160" i="8"/>
  <c r="D160" i="8"/>
  <c r="C160" i="8"/>
  <c r="B160" i="8"/>
  <c r="W159" i="8"/>
  <c r="V159" i="8"/>
  <c r="U159" i="8"/>
  <c r="T159" i="8"/>
  <c r="S159" i="8"/>
  <c r="R159" i="8"/>
  <c r="Q159" i="8"/>
  <c r="P159" i="8"/>
  <c r="O159" i="8"/>
  <c r="N159" i="8"/>
  <c r="M159" i="8"/>
  <c r="L159" i="8"/>
  <c r="K159" i="8"/>
  <c r="J159" i="8"/>
  <c r="I159" i="8"/>
  <c r="H159" i="8"/>
  <c r="G159" i="8"/>
  <c r="F159" i="8"/>
  <c r="E159" i="8"/>
  <c r="D159" i="8"/>
  <c r="C159" i="8"/>
  <c r="B159" i="8"/>
  <c r="W158" i="8"/>
  <c r="V158" i="8"/>
  <c r="U158" i="8"/>
  <c r="T158" i="8"/>
  <c r="S158" i="8"/>
  <c r="R158" i="8"/>
  <c r="Q158" i="8"/>
  <c r="P158" i="8"/>
  <c r="O158" i="8"/>
  <c r="N158" i="8"/>
  <c r="M158" i="8"/>
  <c r="L158" i="8"/>
  <c r="K158" i="8"/>
  <c r="J158" i="8"/>
  <c r="I158" i="8"/>
  <c r="H158" i="8"/>
  <c r="G158" i="8"/>
  <c r="F158" i="8"/>
  <c r="E158" i="8"/>
  <c r="D158" i="8"/>
  <c r="C158" i="8"/>
  <c r="B158" i="8"/>
  <c r="W157" i="8"/>
  <c r="V157" i="8"/>
  <c r="U157" i="8"/>
  <c r="T157" i="8"/>
  <c r="S157" i="8"/>
  <c r="R157" i="8"/>
  <c r="Q157" i="8"/>
  <c r="P157" i="8"/>
  <c r="O157" i="8"/>
  <c r="N157" i="8"/>
  <c r="M157" i="8"/>
  <c r="L157" i="8"/>
  <c r="K157" i="8"/>
  <c r="J157" i="8"/>
  <c r="I157" i="8"/>
  <c r="H157" i="8"/>
  <c r="G157" i="8"/>
  <c r="F157" i="8"/>
  <c r="E157" i="8"/>
  <c r="D157" i="8"/>
  <c r="C157" i="8"/>
  <c r="B157" i="8"/>
  <c r="W156" i="8"/>
  <c r="V156" i="8"/>
  <c r="U156" i="8"/>
  <c r="T156" i="8"/>
  <c r="S156" i="8"/>
  <c r="R156" i="8"/>
  <c r="Q156" i="8"/>
  <c r="P156" i="8"/>
  <c r="O156" i="8"/>
  <c r="N156" i="8"/>
  <c r="M156" i="8"/>
  <c r="L156" i="8"/>
  <c r="K156" i="8"/>
  <c r="J156" i="8"/>
  <c r="I156" i="8"/>
  <c r="H156" i="8"/>
  <c r="G156" i="8"/>
  <c r="F156" i="8"/>
  <c r="E156" i="8"/>
  <c r="D156" i="8"/>
  <c r="C156" i="8"/>
  <c r="B156" i="8"/>
  <c r="W155" i="8"/>
  <c r="V155" i="8"/>
  <c r="U155" i="8"/>
  <c r="T155" i="8"/>
  <c r="S155" i="8"/>
  <c r="R155" i="8"/>
  <c r="Q155" i="8"/>
  <c r="P155" i="8"/>
  <c r="O155" i="8"/>
  <c r="N155" i="8"/>
  <c r="M155" i="8"/>
  <c r="L155" i="8"/>
  <c r="K155" i="8"/>
  <c r="J155" i="8"/>
  <c r="I155" i="8"/>
  <c r="H155" i="8"/>
  <c r="G155" i="8"/>
  <c r="F155" i="8"/>
  <c r="E155" i="8"/>
  <c r="D155" i="8"/>
  <c r="C155" i="8"/>
  <c r="B155" i="8"/>
  <c r="W154" i="8"/>
  <c r="V154" i="8"/>
  <c r="U154" i="8"/>
  <c r="T154" i="8"/>
  <c r="S154" i="8"/>
  <c r="R154" i="8"/>
  <c r="Q154" i="8"/>
  <c r="P154" i="8"/>
  <c r="O154" i="8"/>
  <c r="N154" i="8"/>
  <c r="M154" i="8"/>
  <c r="L154" i="8"/>
  <c r="K154" i="8"/>
  <c r="J154" i="8"/>
  <c r="I154" i="8"/>
  <c r="H154" i="8"/>
  <c r="G154" i="8"/>
  <c r="F154" i="8"/>
  <c r="E154" i="8"/>
  <c r="D154" i="8"/>
  <c r="C154" i="8"/>
  <c r="B154" i="8"/>
  <c r="W126" i="8"/>
  <c r="V126" i="8"/>
  <c r="U126" i="8"/>
  <c r="T126" i="8"/>
  <c r="S126" i="8"/>
  <c r="R126" i="8"/>
  <c r="Q126" i="8"/>
  <c r="P126" i="8"/>
  <c r="O126" i="8"/>
  <c r="N126" i="8"/>
  <c r="M126" i="8"/>
  <c r="L126" i="8"/>
  <c r="K126" i="8"/>
  <c r="J126" i="8"/>
  <c r="I126" i="8"/>
  <c r="H126" i="8"/>
  <c r="G126" i="8"/>
  <c r="F126" i="8"/>
  <c r="E126" i="8"/>
  <c r="D126" i="8"/>
  <c r="C126" i="8"/>
  <c r="B126" i="8"/>
  <c r="W125" i="8"/>
  <c r="V125" i="8"/>
  <c r="U125" i="8"/>
  <c r="T125" i="8"/>
  <c r="S125" i="8"/>
  <c r="R125" i="8"/>
  <c r="Q125" i="8"/>
  <c r="P125" i="8"/>
  <c r="O125" i="8"/>
  <c r="N125" i="8"/>
  <c r="M125" i="8"/>
  <c r="L125" i="8"/>
  <c r="K125" i="8"/>
  <c r="J125" i="8"/>
  <c r="I125" i="8"/>
  <c r="H125" i="8"/>
  <c r="G125" i="8"/>
  <c r="F125" i="8"/>
  <c r="E125" i="8"/>
  <c r="D125" i="8"/>
  <c r="C125" i="8"/>
  <c r="B125" i="8"/>
  <c r="W124" i="8"/>
  <c r="V124" i="8"/>
  <c r="U124" i="8"/>
  <c r="T124" i="8"/>
  <c r="S124" i="8"/>
  <c r="R124" i="8"/>
  <c r="Q124" i="8"/>
  <c r="P124" i="8"/>
  <c r="O124" i="8"/>
  <c r="N124" i="8"/>
  <c r="M124" i="8"/>
  <c r="L124" i="8"/>
  <c r="K124" i="8"/>
  <c r="J124" i="8"/>
  <c r="I124" i="8"/>
  <c r="H124" i="8"/>
  <c r="G124" i="8"/>
  <c r="F124" i="8"/>
  <c r="E124" i="8"/>
  <c r="D124" i="8"/>
  <c r="C124" i="8"/>
  <c r="B124" i="8"/>
  <c r="W123" i="8"/>
  <c r="V123" i="8"/>
  <c r="U123" i="8"/>
  <c r="T123" i="8"/>
  <c r="S123" i="8"/>
  <c r="R123" i="8"/>
  <c r="Q123" i="8"/>
  <c r="P123" i="8"/>
  <c r="O123" i="8"/>
  <c r="N123" i="8"/>
  <c r="M123" i="8"/>
  <c r="L123" i="8"/>
  <c r="K123" i="8"/>
  <c r="J123" i="8"/>
  <c r="I123" i="8"/>
  <c r="H123" i="8"/>
  <c r="G123" i="8"/>
  <c r="F123" i="8"/>
  <c r="E123" i="8"/>
  <c r="D123" i="8"/>
  <c r="C123" i="8"/>
  <c r="B123" i="8"/>
  <c r="W122" i="8"/>
  <c r="V122" i="8"/>
  <c r="U122" i="8"/>
  <c r="T122" i="8"/>
  <c r="S122" i="8"/>
  <c r="R122" i="8"/>
  <c r="Q122" i="8"/>
  <c r="P122" i="8"/>
  <c r="O122" i="8"/>
  <c r="N122" i="8"/>
  <c r="M122" i="8"/>
  <c r="L122" i="8"/>
  <c r="K122" i="8"/>
  <c r="J122" i="8"/>
  <c r="I122" i="8"/>
  <c r="H122" i="8"/>
  <c r="G122" i="8"/>
  <c r="F122" i="8"/>
  <c r="E122" i="8"/>
  <c r="D122" i="8"/>
  <c r="C122" i="8"/>
  <c r="B122" i="8"/>
  <c r="W121" i="8"/>
  <c r="V121" i="8"/>
  <c r="U121" i="8"/>
  <c r="T121" i="8"/>
  <c r="S121" i="8"/>
  <c r="R121" i="8"/>
  <c r="Q121" i="8"/>
  <c r="P121" i="8"/>
  <c r="O121" i="8"/>
  <c r="N121" i="8"/>
  <c r="M121" i="8"/>
  <c r="L121" i="8"/>
  <c r="K121" i="8"/>
  <c r="J121" i="8"/>
  <c r="I121" i="8"/>
  <c r="H121" i="8"/>
  <c r="G121" i="8"/>
  <c r="F121" i="8"/>
  <c r="E121" i="8"/>
  <c r="D121" i="8"/>
  <c r="C121" i="8"/>
  <c r="B121" i="8"/>
  <c r="W120" i="8"/>
  <c r="V120" i="8"/>
  <c r="U120" i="8"/>
  <c r="T120" i="8"/>
  <c r="S120" i="8"/>
  <c r="R120" i="8"/>
  <c r="Q120" i="8"/>
  <c r="P120" i="8"/>
  <c r="O120" i="8"/>
  <c r="N120" i="8"/>
  <c r="M120" i="8"/>
  <c r="L120" i="8"/>
  <c r="K120" i="8"/>
  <c r="J120" i="8"/>
  <c r="I120" i="8"/>
  <c r="H120" i="8"/>
  <c r="G120" i="8"/>
  <c r="F120" i="8"/>
  <c r="E120" i="8"/>
  <c r="D120" i="8"/>
  <c r="C120" i="8"/>
  <c r="B120" i="8"/>
  <c r="W119" i="8"/>
  <c r="V119" i="8"/>
  <c r="U119" i="8"/>
  <c r="T119" i="8"/>
  <c r="S119" i="8"/>
  <c r="R119" i="8"/>
  <c r="Q119" i="8"/>
  <c r="P119" i="8"/>
  <c r="O119" i="8"/>
  <c r="N119" i="8"/>
  <c r="M119" i="8"/>
  <c r="L119" i="8"/>
  <c r="K119" i="8"/>
  <c r="J119" i="8"/>
  <c r="I119" i="8"/>
  <c r="H119" i="8"/>
  <c r="G119" i="8"/>
  <c r="F119" i="8"/>
  <c r="E119" i="8"/>
  <c r="D119" i="8"/>
  <c r="C119" i="8"/>
  <c r="B119" i="8"/>
  <c r="W118" i="8"/>
  <c r="V118" i="8"/>
  <c r="U118" i="8"/>
  <c r="T118" i="8"/>
  <c r="S118" i="8"/>
  <c r="R118" i="8"/>
  <c r="Q118" i="8"/>
  <c r="P118" i="8"/>
  <c r="O118" i="8"/>
  <c r="N118" i="8"/>
  <c r="M118" i="8"/>
  <c r="L118" i="8"/>
  <c r="K118" i="8"/>
  <c r="J118" i="8"/>
  <c r="I118" i="8"/>
  <c r="H118" i="8"/>
  <c r="G118" i="8"/>
  <c r="F118" i="8"/>
  <c r="E118" i="8"/>
  <c r="D118" i="8"/>
  <c r="C118" i="8"/>
  <c r="B118" i="8"/>
  <c r="W117" i="8"/>
  <c r="V117" i="8"/>
  <c r="U117" i="8"/>
  <c r="T117" i="8"/>
  <c r="S117" i="8"/>
  <c r="R117" i="8"/>
  <c r="Q117" i="8"/>
  <c r="P117" i="8"/>
  <c r="O117" i="8"/>
  <c r="N117" i="8"/>
  <c r="M117" i="8"/>
  <c r="L117" i="8"/>
  <c r="K117" i="8"/>
  <c r="J117" i="8"/>
  <c r="I117" i="8"/>
  <c r="H117" i="8"/>
  <c r="G117" i="8"/>
  <c r="F117" i="8"/>
  <c r="E117" i="8"/>
  <c r="D117" i="8"/>
  <c r="C117" i="8"/>
  <c r="B117" i="8"/>
  <c r="W116" i="8"/>
  <c r="V116" i="8"/>
  <c r="U116" i="8"/>
  <c r="T116" i="8"/>
  <c r="S116" i="8"/>
  <c r="R116" i="8"/>
  <c r="Q116" i="8"/>
  <c r="P116" i="8"/>
  <c r="O116" i="8"/>
  <c r="N116" i="8"/>
  <c r="M116" i="8"/>
  <c r="L116" i="8"/>
  <c r="K116" i="8"/>
  <c r="J116" i="8"/>
  <c r="I116" i="8"/>
  <c r="H116" i="8"/>
  <c r="G116" i="8"/>
  <c r="F116" i="8"/>
  <c r="E116" i="8"/>
  <c r="D116" i="8"/>
  <c r="C116" i="8"/>
  <c r="B116" i="8"/>
  <c r="W115" i="8"/>
  <c r="V115" i="8"/>
  <c r="U115" i="8"/>
  <c r="T115" i="8"/>
  <c r="S115" i="8"/>
  <c r="R115" i="8"/>
  <c r="Q115" i="8"/>
  <c r="P115" i="8"/>
  <c r="O115" i="8"/>
  <c r="N115" i="8"/>
  <c r="M115" i="8"/>
  <c r="L115" i="8"/>
  <c r="K115" i="8"/>
  <c r="J115" i="8"/>
  <c r="I115" i="8"/>
  <c r="H115" i="8"/>
  <c r="G115" i="8"/>
  <c r="F115" i="8"/>
  <c r="E115" i="8"/>
  <c r="D115" i="8"/>
  <c r="C115" i="8"/>
  <c r="B115" i="8"/>
  <c r="W114" i="8"/>
  <c r="V114" i="8"/>
  <c r="U114" i="8"/>
  <c r="T114" i="8"/>
  <c r="S114" i="8"/>
  <c r="R114" i="8"/>
  <c r="Q114" i="8"/>
  <c r="P114" i="8"/>
  <c r="O114" i="8"/>
  <c r="N114" i="8"/>
  <c r="M114" i="8"/>
  <c r="L114" i="8"/>
  <c r="K114" i="8"/>
  <c r="J114" i="8"/>
  <c r="I114" i="8"/>
  <c r="H114" i="8"/>
  <c r="G114" i="8"/>
  <c r="F114" i="8"/>
  <c r="E114" i="8"/>
  <c r="D114" i="8"/>
  <c r="C114" i="8"/>
  <c r="B114" i="8"/>
  <c r="W113" i="8"/>
  <c r="V113" i="8"/>
  <c r="U113" i="8"/>
  <c r="T113" i="8"/>
  <c r="S113" i="8"/>
  <c r="R113" i="8"/>
  <c r="Q113" i="8"/>
  <c r="P113" i="8"/>
  <c r="O113" i="8"/>
  <c r="N113" i="8"/>
  <c r="M113" i="8"/>
  <c r="L113" i="8"/>
  <c r="K113" i="8"/>
  <c r="J113" i="8"/>
  <c r="I113" i="8"/>
  <c r="H113" i="8"/>
  <c r="G113" i="8"/>
  <c r="F113" i="8"/>
  <c r="E113" i="8"/>
  <c r="D113" i="8"/>
  <c r="C113" i="8"/>
  <c r="B113" i="8"/>
  <c r="W112" i="8"/>
  <c r="V112" i="8"/>
  <c r="U112" i="8"/>
  <c r="T112" i="8"/>
  <c r="S112" i="8"/>
  <c r="R112" i="8"/>
  <c r="Q112" i="8"/>
  <c r="P112" i="8"/>
  <c r="O112" i="8"/>
  <c r="N112" i="8"/>
  <c r="M112" i="8"/>
  <c r="L112" i="8"/>
  <c r="K112" i="8"/>
  <c r="J112" i="8"/>
  <c r="I112" i="8"/>
  <c r="H112" i="8"/>
  <c r="G112" i="8"/>
  <c r="F112" i="8"/>
  <c r="E112" i="8"/>
  <c r="D112" i="8"/>
  <c r="C112" i="8"/>
  <c r="B112" i="8"/>
  <c r="W111" i="8"/>
  <c r="V111" i="8"/>
  <c r="U111" i="8"/>
  <c r="T111" i="8"/>
  <c r="S111" i="8"/>
  <c r="R111" i="8"/>
  <c r="Q111" i="8"/>
  <c r="P111" i="8"/>
  <c r="O111" i="8"/>
  <c r="N111" i="8"/>
  <c r="M111" i="8"/>
  <c r="L111" i="8"/>
  <c r="K111" i="8"/>
  <c r="J111" i="8"/>
  <c r="I111" i="8"/>
  <c r="H111" i="8"/>
  <c r="G111" i="8"/>
  <c r="F111" i="8"/>
  <c r="E111" i="8"/>
  <c r="D111" i="8"/>
  <c r="C111" i="8"/>
  <c r="B111" i="8"/>
  <c r="W110" i="8"/>
  <c r="V110" i="8"/>
  <c r="U110" i="8"/>
  <c r="T110" i="8"/>
  <c r="S110" i="8"/>
  <c r="R110" i="8"/>
  <c r="Q110" i="8"/>
  <c r="P110" i="8"/>
  <c r="O110" i="8"/>
  <c r="N110" i="8"/>
  <c r="M110" i="8"/>
  <c r="L110" i="8"/>
  <c r="K110" i="8"/>
  <c r="J110" i="8"/>
  <c r="I110" i="8"/>
  <c r="H110" i="8"/>
  <c r="G110" i="8"/>
  <c r="F110" i="8"/>
  <c r="E110" i="8"/>
  <c r="D110" i="8"/>
  <c r="C110" i="8"/>
  <c r="B110" i="8"/>
  <c r="W109" i="8"/>
  <c r="V109" i="8"/>
  <c r="U109" i="8"/>
  <c r="T109" i="8"/>
  <c r="S109" i="8"/>
  <c r="R109" i="8"/>
  <c r="Q109" i="8"/>
  <c r="P109" i="8"/>
  <c r="O109" i="8"/>
  <c r="N109" i="8"/>
  <c r="M109" i="8"/>
  <c r="L109" i="8"/>
  <c r="K109" i="8"/>
  <c r="J109" i="8"/>
  <c r="I109" i="8"/>
  <c r="H109" i="8"/>
  <c r="G109" i="8"/>
  <c r="F109" i="8"/>
  <c r="E109" i="8"/>
  <c r="D109" i="8"/>
  <c r="C109" i="8"/>
  <c r="B109" i="8"/>
  <c r="W108" i="8"/>
  <c r="V108" i="8"/>
  <c r="U108" i="8"/>
  <c r="T108" i="8"/>
  <c r="S108" i="8"/>
  <c r="R108" i="8"/>
  <c r="Q108" i="8"/>
  <c r="P108" i="8"/>
  <c r="O108" i="8"/>
  <c r="N108" i="8"/>
  <c r="M108" i="8"/>
  <c r="L108" i="8"/>
  <c r="K108" i="8"/>
  <c r="J108" i="8"/>
  <c r="I108" i="8"/>
  <c r="H108" i="8"/>
  <c r="G108" i="8"/>
  <c r="F108" i="8"/>
  <c r="E108" i="8"/>
  <c r="D108" i="8"/>
  <c r="C108" i="8"/>
  <c r="B108" i="8"/>
  <c r="W107" i="8"/>
  <c r="V107" i="8"/>
  <c r="U107" i="8"/>
  <c r="T107" i="8"/>
  <c r="S107" i="8"/>
  <c r="R107" i="8"/>
  <c r="Q107" i="8"/>
  <c r="P107" i="8"/>
  <c r="O107" i="8"/>
  <c r="N107" i="8"/>
  <c r="M107" i="8"/>
  <c r="L107" i="8"/>
  <c r="K107" i="8"/>
  <c r="J107" i="8"/>
  <c r="I107" i="8"/>
  <c r="H107" i="8"/>
  <c r="G107" i="8"/>
  <c r="F107" i="8"/>
  <c r="E107" i="8"/>
  <c r="D107" i="8"/>
  <c r="C107" i="8"/>
  <c r="B107" i="8"/>
  <c r="W106" i="8"/>
  <c r="V106" i="8"/>
  <c r="U106" i="8"/>
  <c r="T106" i="8"/>
  <c r="S106" i="8"/>
  <c r="R106" i="8"/>
  <c r="Q106" i="8"/>
  <c r="P106" i="8"/>
  <c r="O106" i="8"/>
  <c r="N106" i="8"/>
  <c r="M106" i="8"/>
  <c r="L106" i="8"/>
  <c r="K106" i="8"/>
  <c r="J106" i="8"/>
  <c r="I106" i="8"/>
  <c r="H106" i="8"/>
  <c r="G106" i="8"/>
  <c r="F106" i="8"/>
  <c r="E106" i="8"/>
  <c r="D106" i="8"/>
  <c r="C106" i="8"/>
  <c r="B106" i="8"/>
  <c r="W105" i="8"/>
  <c r="V105" i="8"/>
  <c r="U105" i="8"/>
  <c r="T105" i="8"/>
  <c r="S105" i="8"/>
  <c r="R105" i="8"/>
  <c r="Q105" i="8"/>
  <c r="P105" i="8"/>
  <c r="O105" i="8"/>
  <c r="N105" i="8"/>
  <c r="M105" i="8"/>
  <c r="L105" i="8"/>
  <c r="K105" i="8"/>
  <c r="J105" i="8"/>
  <c r="I105" i="8"/>
  <c r="H105" i="8"/>
  <c r="G105" i="8"/>
  <c r="F105" i="8"/>
  <c r="E105" i="8"/>
  <c r="D105" i="8"/>
  <c r="C105" i="8"/>
  <c r="B105" i="8"/>
  <c r="W104" i="8"/>
  <c r="V104" i="8"/>
  <c r="U104" i="8"/>
  <c r="T104" i="8"/>
  <c r="S104" i="8"/>
  <c r="R104" i="8"/>
  <c r="Q104" i="8"/>
  <c r="P104" i="8"/>
  <c r="O104" i="8"/>
  <c r="N104" i="8"/>
  <c r="M104" i="8"/>
  <c r="L104" i="8"/>
  <c r="K104" i="8"/>
  <c r="J104" i="8"/>
  <c r="I104" i="8"/>
  <c r="H104" i="8"/>
  <c r="G104" i="8"/>
  <c r="F104" i="8"/>
  <c r="E104" i="8"/>
  <c r="D104" i="8"/>
  <c r="C104" i="8"/>
  <c r="B104" i="8"/>
  <c r="W103" i="8"/>
  <c r="V103" i="8"/>
  <c r="U103" i="8"/>
  <c r="T103" i="8"/>
  <c r="S103" i="8"/>
  <c r="R103" i="8"/>
  <c r="Q103" i="8"/>
  <c r="P103" i="8"/>
  <c r="O103" i="8"/>
  <c r="N103" i="8"/>
  <c r="M103" i="8"/>
  <c r="L103" i="8"/>
  <c r="K103" i="8"/>
  <c r="J103" i="8"/>
  <c r="I103" i="8"/>
  <c r="H103" i="8"/>
  <c r="G103" i="8"/>
  <c r="F103" i="8"/>
  <c r="E103" i="8"/>
  <c r="D103" i="8"/>
  <c r="C103" i="8"/>
  <c r="B103" i="8"/>
  <c r="W102" i="8"/>
  <c r="V102" i="8"/>
  <c r="U102" i="8"/>
  <c r="T102" i="8"/>
  <c r="S102" i="8"/>
  <c r="R102" i="8"/>
  <c r="Q102" i="8"/>
  <c r="P102" i="8"/>
  <c r="O102" i="8"/>
  <c r="N102" i="8"/>
  <c r="M102" i="8"/>
  <c r="L102" i="8"/>
  <c r="K102" i="8"/>
  <c r="J102" i="8"/>
  <c r="I102" i="8"/>
  <c r="H102" i="8"/>
  <c r="G102" i="8"/>
  <c r="F102" i="8"/>
  <c r="E102" i="8"/>
  <c r="D102" i="8"/>
  <c r="C102" i="8"/>
  <c r="B102" i="8"/>
  <c r="W101" i="8"/>
  <c r="V101" i="8"/>
  <c r="U101" i="8"/>
  <c r="T101" i="8"/>
  <c r="S101" i="8"/>
  <c r="R101" i="8"/>
  <c r="Q101" i="8"/>
  <c r="P101" i="8"/>
  <c r="O101" i="8"/>
  <c r="N101" i="8"/>
  <c r="M101" i="8"/>
  <c r="L101" i="8"/>
  <c r="K101" i="8"/>
  <c r="J101" i="8"/>
  <c r="I101" i="8"/>
  <c r="H101" i="8"/>
  <c r="G101" i="8"/>
  <c r="F101" i="8"/>
  <c r="E101" i="8"/>
  <c r="D101" i="8"/>
  <c r="C101" i="8"/>
  <c r="B101" i="8"/>
  <c r="W100" i="8"/>
  <c r="V100" i="8"/>
  <c r="U100" i="8"/>
  <c r="T100" i="8"/>
  <c r="S100" i="8"/>
  <c r="R100" i="8"/>
  <c r="Q100" i="8"/>
  <c r="P100" i="8"/>
  <c r="O100" i="8"/>
  <c r="N100" i="8"/>
  <c r="M100" i="8"/>
  <c r="L100" i="8"/>
  <c r="K100" i="8"/>
  <c r="J100" i="8"/>
  <c r="I100" i="8"/>
  <c r="H100" i="8"/>
  <c r="G100" i="8"/>
  <c r="F100" i="8"/>
  <c r="E100" i="8"/>
  <c r="D100" i="8"/>
  <c r="C100" i="8"/>
  <c r="B100" i="8"/>
  <c r="W99" i="8"/>
  <c r="V99" i="8"/>
  <c r="U99" i="8"/>
  <c r="T99" i="8"/>
  <c r="S99" i="8"/>
  <c r="R99" i="8"/>
  <c r="Q99" i="8"/>
  <c r="P99" i="8"/>
  <c r="O99" i="8"/>
  <c r="N99" i="8"/>
  <c r="M99" i="8"/>
  <c r="L99" i="8"/>
  <c r="K99" i="8"/>
  <c r="J99" i="8"/>
  <c r="I99" i="8"/>
  <c r="H99" i="8"/>
  <c r="G99" i="8"/>
  <c r="F99" i="8"/>
  <c r="E99" i="8"/>
  <c r="D99" i="8"/>
  <c r="C99" i="8"/>
  <c r="B99" i="8"/>
  <c r="W95" i="8"/>
  <c r="W94" i="8" s="1"/>
  <c r="V95" i="8"/>
  <c r="U95" i="8"/>
  <c r="U94" i="8" s="1"/>
  <c r="T95" i="8"/>
  <c r="T94" i="8" s="1"/>
  <c r="S95" i="8"/>
  <c r="S94" i="8" s="1"/>
  <c r="R95" i="8"/>
  <c r="Q95" i="8"/>
  <c r="Q94" i="8" s="1"/>
  <c r="P95" i="8"/>
  <c r="P94" i="8" s="1"/>
  <c r="O95" i="8"/>
  <c r="O94" i="8" s="1"/>
  <c r="N95" i="8"/>
  <c r="N94" i="8" s="1"/>
  <c r="M95" i="8"/>
  <c r="M94" i="8" s="1"/>
  <c r="L95" i="8"/>
  <c r="L94" i="8" s="1"/>
  <c r="K95" i="8"/>
  <c r="K94" i="8" s="1"/>
  <c r="J95" i="8"/>
  <c r="J94" i="8" s="1"/>
  <c r="I95" i="8"/>
  <c r="I94" i="8" s="1"/>
  <c r="H95" i="8"/>
  <c r="H94" i="8" s="1"/>
  <c r="G95" i="8"/>
  <c r="G94" i="8" s="1"/>
  <c r="F95" i="8"/>
  <c r="F94" i="8" s="1"/>
  <c r="E95" i="8"/>
  <c r="E94" i="8" s="1"/>
  <c r="D95" i="8"/>
  <c r="D94" i="8" s="1"/>
  <c r="C95" i="8"/>
  <c r="C94" i="8" s="1"/>
  <c r="B95" i="8"/>
  <c r="B94" i="8" s="1"/>
  <c r="V94" i="8"/>
  <c r="R94" i="8"/>
  <c r="W88" i="8"/>
  <c r="V88" i="8"/>
  <c r="U88" i="8"/>
  <c r="T88" i="8"/>
  <c r="S88" i="8"/>
  <c r="R88" i="8"/>
  <c r="Q88" i="8"/>
  <c r="P88" i="8"/>
  <c r="O88" i="8"/>
  <c r="N88" i="8"/>
  <c r="M88" i="8"/>
  <c r="L88" i="8"/>
  <c r="K88" i="8"/>
  <c r="J88" i="8"/>
  <c r="I88" i="8"/>
  <c r="H88" i="8"/>
  <c r="G88" i="8"/>
  <c r="F88" i="8"/>
  <c r="E88" i="8"/>
  <c r="D88" i="8"/>
  <c r="C88" i="8"/>
  <c r="B88" i="8"/>
  <c r="W78" i="8"/>
  <c r="V78" i="8"/>
  <c r="U78" i="8"/>
  <c r="T78" i="8"/>
  <c r="S78" i="8"/>
  <c r="R78" i="8"/>
  <c r="Q78" i="8"/>
  <c r="P78" i="8"/>
  <c r="O78" i="8"/>
  <c r="N78" i="8"/>
  <c r="M78" i="8"/>
  <c r="L78" i="8"/>
  <c r="K78" i="8"/>
  <c r="J78" i="8"/>
  <c r="I78" i="8"/>
  <c r="H78" i="8"/>
  <c r="G78" i="8"/>
  <c r="F78" i="8"/>
  <c r="E78" i="8"/>
  <c r="D78" i="8"/>
  <c r="C78" i="8"/>
  <c r="B78" i="8"/>
  <c r="W77" i="8"/>
  <c r="V77" i="8"/>
  <c r="U77" i="8"/>
  <c r="T77" i="8"/>
  <c r="S77" i="8"/>
  <c r="R77" i="8"/>
  <c r="Q77" i="8"/>
  <c r="P77" i="8"/>
  <c r="O77" i="8"/>
  <c r="N77" i="8"/>
  <c r="M77" i="8"/>
  <c r="L77" i="8"/>
  <c r="K77" i="8"/>
  <c r="J77" i="8"/>
  <c r="I77" i="8"/>
  <c r="H77" i="8"/>
  <c r="G77" i="8"/>
  <c r="F77" i="8"/>
  <c r="E77" i="8"/>
  <c r="D77" i="8"/>
  <c r="C77" i="8"/>
  <c r="B77" i="8"/>
  <c r="W76" i="8"/>
  <c r="V76" i="8"/>
  <c r="U76" i="8"/>
  <c r="T76" i="8"/>
  <c r="S76" i="8"/>
  <c r="R76" i="8"/>
  <c r="Q76" i="8"/>
  <c r="P76" i="8"/>
  <c r="O76" i="8"/>
  <c r="N76" i="8"/>
  <c r="M76" i="8"/>
  <c r="L76" i="8"/>
  <c r="K76" i="8"/>
  <c r="J76" i="8"/>
  <c r="I76" i="8"/>
  <c r="H76" i="8"/>
  <c r="G76" i="8"/>
  <c r="F76" i="8"/>
  <c r="E76" i="8"/>
  <c r="D76" i="8"/>
  <c r="C76" i="8"/>
  <c r="B76" i="8"/>
  <c r="W75" i="8"/>
  <c r="V75" i="8"/>
  <c r="U75" i="8"/>
  <c r="T75" i="8"/>
  <c r="S75" i="8"/>
  <c r="R75" i="8"/>
  <c r="Q75" i="8"/>
  <c r="P75" i="8"/>
  <c r="O75" i="8"/>
  <c r="N75" i="8"/>
  <c r="M75" i="8"/>
  <c r="L75" i="8"/>
  <c r="K75" i="8"/>
  <c r="J75" i="8"/>
  <c r="I75" i="8"/>
  <c r="H75" i="8"/>
  <c r="G75" i="8"/>
  <c r="F75" i="8"/>
  <c r="E75" i="8"/>
  <c r="D75" i="8"/>
  <c r="C75" i="8"/>
  <c r="B75" i="8"/>
  <c r="W74" i="8"/>
  <c r="V74" i="8"/>
  <c r="U74" i="8"/>
  <c r="T74" i="8"/>
  <c r="S74" i="8"/>
  <c r="R74" i="8"/>
  <c r="Q74" i="8"/>
  <c r="P74" i="8"/>
  <c r="O74" i="8"/>
  <c r="N74" i="8"/>
  <c r="M74" i="8"/>
  <c r="L74" i="8"/>
  <c r="K74" i="8"/>
  <c r="J74" i="8"/>
  <c r="I74" i="8"/>
  <c r="H74" i="8"/>
  <c r="G74" i="8"/>
  <c r="F74" i="8"/>
  <c r="E74" i="8"/>
  <c r="D74" i="8"/>
  <c r="C74" i="8"/>
  <c r="B74" i="8"/>
  <c r="W73" i="8"/>
  <c r="V73" i="8"/>
  <c r="U73" i="8"/>
  <c r="T73" i="8"/>
  <c r="S73" i="8"/>
  <c r="R73" i="8"/>
  <c r="Q73" i="8"/>
  <c r="P73" i="8"/>
  <c r="O73" i="8"/>
  <c r="N73" i="8"/>
  <c r="M73" i="8"/>
  <c r="L73" i="8"/>
  <c r="K73" i="8"/>
  <c r="J73" i="8"/>
  <c r="I73" i="8"/>
  <c r="H73" i="8"/>
  <c r="G73" i="8"/>
  <c r="F73" i="8"/>
  <c r="E73" i="8"/>
  <c r="D73" i="8"/>
  <c r="C73" i="8"/>
  <c r="B73" i="8"/>
  <c r="W72" i="8"/>
  <c r="X14" i="7" s="1"/>
  <c r="V72" i="8"/>
  <c r="W14" i="7" s="1"/>
  <c r="U72" i="8"/>
  <c r="T72" i="8"/>
  <c r="S72" i="8"/>
  <c r="R72" i="8"/>
  <c r="S14" i="7" s="1"/>
  <c r="Q72" i="8"/>
  <c r="P72" i="8"/>
  <c r="O72" i="8"/>
  <c r="N72" i="8"/>
  <c r="M72" i="8"/>
  <c r="L72" i="8"/>
  <c r="K72" i="8"/>
  <c r="L14" i="7" s="1"/>
  <c r="J72" i="8"/>
  <c r="K14" i="7" s="1"/>
  <c r="I72" i="8"/>
  <c r="H72" i="8"/>
  <c r="G72" i="8"/>
  <c r="F72" i="8"/>
  <c r="G14" i="7" s="1"/>
  <c r="E72" i="8"/>
  <c r="D72" i="8"/>
  <c r="C72" i="8"/>
  <c r="B72" i="8"/>
  <c r="C14" i="7" s="1"/>
  <c r="W71" i="8"/>
  <c r="V71" i="8"/>
  <c r="U71" i="8"/>
  <c r="V13" i="7" s="1"/>
  <c r="T71" i="8"/>
  <c r="U13" i="7" s="1"/>
  <c r="S71" i="8"/>
  <c r="R71" i="8"/>
  <c r="Q71" i="8"/>
  <c r="P71" i="8"/>
  <c r="Q13" i="7" s="1"/>
  <c r="O71" i="8"/>
  <c r="N71" i="8"/>
  <c r="M71" i="8"/>
  <c r="L71" i="8"/>
  <c r="K71" i="8"/>
  <c r="J71" i="8"/>
  <c r="I71" i="8"/>
  <c r="J13" i="7" s="1"/>
  <c r="H71" i="8"/>
  <c r="I13" i="7" s="1"/>
  <c r="G71" i="8"/>
  <c r="F71" i="8"/>
  <c r="E71" i="8"/>
  <c r="D71" i="8"/>
  <c r="E13" i="7" s="1"/>
  <c r="C71" i="8"/>
  <c r="B71" i="8"/>
  <c r="W70" i="8"/>
  <c r="V70" i="8"/>
  <c r="U70" i="8"/>
  <c r="T70" i="8"/>
  <c r="S70" i="8"/>
  <c r="T12" i="7" s="1"/>
  <c r="R70" i="8"/>
  <c r="S12" i="7" s="1"/>
  <c r="Q70" i="8"/>
  <c r="P70" i="8"/>
  <c r="O70" i="8"/>
  <c r="N70" i="8"/>
  <c r="O12" i="7" s="1"/>
  <c r="M70" i="8"/>
  <c r="L70" i="8"/>
  <c r="K70" i="8"/>
  <c r="J70" i="8"/>
  <c r="I70" i="8"/>
  <c r="H70" i="8"/>
  <c r="G70" i="8"/>
  <c r="H12" i="7" s="1"/>
  <c r="F70" i="8"/>
  <c r="G12" i="7" s="1"/>
  <c r="E70" i="8"/>
  <c r="D70" i="8"/>
  <c r="C70" i="8"/>
  <c r="B70" i="8"/>
  <c r="C12" i="7" s="1"/>
  <c r="W69" i="8"/>
  <c r="V69" i="8"/>
  <c r="U69" i="8"/>
  <c r="T69" i="8"/>
  <c r="S69" i="8"/>
  <c r="R69" i="8"/>
  <c r="Q69" i="8"/>
  <c r="P69" i="8"/>
  <c r="O69" i="8"/>
  <c r="N69" i="8"/>
  <c r="M69" i="8"/>
  <c r="L69" i="8"/>
  <c r="K69" i="8"/>
  <c r="J69" i="8"/>
  <c r="I69" i="8"/>
  <c r="H69" i="8"/>
  <c r="G69" i="8"/>
  <c r="F69" i="8"/>
  <c r="E69" i="8"/>
  <c r="D69" i="8"/>
  <c r="C69" i="8"/>
  <c r="B69" i="8"/>
  <c r="W68" i="8"/>
  <c r="V68" i="8"/>
  <c r="W11" i="7" s="1"/>
  <c r="U68" i="8"/>
  <c r="T68" i="8"/>
  <c r="S68" i="8"/>
  <c r="R68" i="8"/>
  <c r="Q68" i="8"/>
  <c r="P68" i="8"/>
  <c r="O68" i="8"/>
  <c r="P11" i="7" s="1"/>
  <c r="N68" i="8"/>
  <c r="O11" i="7" s="1"/>
  <c r="M68" i="8"/>
  <c r="L68" i="8"/>
  <c r="K68" i="8"/>
  <c r="J68" i="8"/>
  <c r="K11" i="7" s="1"/>
  <c r="I68" i="8"/>
  <c r="H68" i="8"/>
  <c r="G68" i="8"/>
  <c r="F68" i="8"/>
  <c r="E68" i="8"/>
  <c r="D68" i="8"/>
  <c r="C68" i="8"/>
  <c r="D11" i="7" s="1"/>
  <c r="B68" i="8"/>
  <c r="C11" i="7" s="1"/>
  <c r="W67" i="8"/>
  <c r="V67" i="8"/>
  <c r="U67" i="8"/>
  <c r="T67" i="8"/>
  <c r="U10" i="7" s="1"/>
  <c r="S67" i="8"/>
  <c r="R67" i="8"/>
  <c r="Q67" i="8"/>
  <c r="P67" i="8"/>
  <c r="O67" i="8"/>
  <c r="N67" i="8"/>
  <c r="M67" i="8"/>
  <c r="N10" i="7" s="1"/>
  <c r="L67" i="8"/>
  <c r="M10" i="7" s="1"/>
  <c r="K67" i="8"/>
  <c r="J67" i="8"/>
  <c r="I67" i="8"/>
  <c r="H67" i="8"/>
  <c r="I10" i="7" s="1"/>
  <c r="G67" i="8"/>
  <c r="F67" i="8"/>
  <c r="E67" i="8"/>
  <c r="D67" i="8"/>
  <c r="C67" i="8"/>
  <c r="B67" i="8"/>
  <c r="C10" i="7" s="1"/>
  <c r="W66" i="8"/>
  <c r="X9" i="7" s="1"/>
  <c r="V66" i="8"/>
  <c r="W9" i="7" s="1"/>
  <c r="U66" i="8"/>
  <c r="T66" i="8"/>
  <c r="S66" i="8"/>
  <c r="R66" i="8"/>
  <c r="S9" i="7" s="1"/>
  <c r="Q66" i="8"/>
  <c r="P66" i="8"/>
  <c r="O66" i="8"/>
  <c r="N66" i="8"/>
  <c r="M66" i="8"/>
  <c r="L66" i="8"/>
  <c r="K66" i="8"/>
  <c r="L9" i="7" s="1"/>
  <c r="J66" i="8"/>
  <c r="K9" i="7" s="1"/>
  <c r="I66" i="8"/>
  <c r="H66" i="8"/>
  <c r="G66" i="8"/>
  <c r="F66" i="8"/>
  <c r="G9" i="7" s="1"/>
  <c r="E66" i="8"/>
  <c r="D66" i="8"/>
  <c r="C66" i="8"/>
  <c r="B66" i="8"/>
  <c r="C9" i="7" s="1"/>
  <c r="W65" i="8"/>
  <c r="V65" i="8"/>
  <c r="U65" i="8"/>
  <c r="T65" i="8"/>
  <c r="S65" i="8"/>
  <c r="R65" i="8"/>
  <c r="Q65" i="8"/>
  <c r="P65" i="8"/>
  <c r="O65" i="8"/>
  <c r="N65" i="8"/>
  <c r="M65" i="8"/>
  <c r="L65" i="8"/>
  <c r="K65" i="8"/>
  <c r="J65" i="8"/>
  <c r="I65" i="8"/>
  <c r="H65" i="8"/>
  <c r="G65" i="8"/>
  <c r="F65" i="8"/>
  <c r="E65" i="8"/>
  <c r="D65" i="8"/>
  <c r="C65" i="8"/>
  <c r="B65" i="8"/>
  <c r="W64" i="8"/>
  <c r="V64" i="8"/>
  <c r="U64" i="8"/>
  <c r="T64" i="8"/>
  <c r="S64" i="8"/>
  <c r="R64" i="8"/>
  <c r="Q64" i="8"/>
  <c r="P64" i="8"/>
  <c r="O64" i="8"/>
  <c r="N64" i="8"/>
  <c r="M64" i="8"/>
  <c r="L64" i="8"/>
  <c r="K64" i="8"/>
  <c r="J64" i="8"/>
  <c r="I64" i="8"/>
  <c r="H64" i="8"/>
  <c r="G64" i="8"/>
  <c r="F64" i="8"/>
  <c r="E64" i="8"/>
  <c r="D64" i="8"/>
  <c r="C64" i="8"/>
  <c r="B64" i="8"/>
  <c r="W63" i="8"/>
  <c r="V63" i="8"/>
  <c r="U63" i="8"/>
  <c r="T63" i="8"/>
  <c r="S63" i="8"/>
  <c r="R63" i="8"/>
  <c r="Q63" i="8"/>
  <c r="P63" i="8"/>
  <c r="O63" i="8"/>
  <c r="N63" i="8"/>
  <c r="M63" i="8"/>
  <c r="L63" i="8"/>
  <c r="K63" i="8"/>
  <c r="J63" i="8"/>
  <c r="I63" i="8"/>
  <c r="H63" i="8"/>
  <c r="G63" i="8"/>
  <c r="F63" i="8"/>
  <c r="E63" i="8"/>
  <c r="D63" i="8"/>
  <c r="C63" i="8"/>
  <c r="B63" i="8"/>
  <c r="W62" i="8"/>
  <c r="V62" i="8"/>
  <c r="U62" i="8"/>
  <c r="T62" i="8"/>
  <c r="S62" i="8"/>
  <c r="R62" i="8"/>
  <c r="Q62" i="8"/>
  <c r="P62" i="8"/>
  <c r="O62" i="8"/>
  <c r="N62" i="8"/>
  <c r="M62" i="8"/>
  <c r="L62" i="8"/>
  <c r="K62" i="8"/>
  <c r="J62" i="8"/>
  <c r="I62" i="8"/>
  <c r="H62" i="8"/>
  <c r="G62" i="8"/>
  <c r="F62" i="8"/>
  <c r="E62" i="8"/>
  <c r="D62" i="8"/>
  <c r="C62" i="8"/>
  <c r="B62" i="8"/>
  <c r="W61" i="8"/>
  <c r="V61" i="8"/>
  <c r="U61" i="8"/>
  <c r="T61" i="8"/>
  <c r="S61" i="8"/>
  <c r="R61" i="8"/>
  <c r="Q61" i="8"/>
  <c r="P61" i="8"/>
  <c r="O61" i="8"/>
  <c r="N61" i="8"/>
  <c r="M61" i="8"/>
  <c r="L61" i="8"/>
  <c r="K61" i="8"/>
  <c r="J61" i="8"/>
  <c r="I61" i="8"/>
  <c r="H61" i="8"/>
  <c r="G61" i="8"/>
  <c r="F61" i="8"/>
  <c r="E61" i="8"/>
  <c r="D61" i="8"/>
  <c r="C61" i="8"/>
  <c r="B61" i="8"/>
  <c r="W60" i="8"/>
  <c r="X5" i="7" s="1"/>
  <c r="V60" i="8"/>
  <c r="W5" i="7" s="1"/>
  <c r="U60" i="8"/>
  <c r="T60" i="8"/>
  <c r="S60" i="8"/>
  <c r="R60" i="8"/>
  <c r="S5" i="7" s="1"/>
  <c r="Q60" i="8"/>
  <c r="P60" i="8"/>
  <c r="O60" i="8"/>
  <c r="N60" i="8"/>
  <c r="M60" i="8"/>
  <c r="L60" i="8"/>
  <c r="K60" i="8"/>
  <c r="L5" i="7" s="1"/>
  <c r="J60" i="8"/>
  <c r="K5" i="7" s="1"/>
  <c r="I60" i="8"/>
  <c r="H60" i="8"/>
  <c r="G60" i="8"/>
  <c r="F60" i="8"/>
  <c r="G5" i="7" s="1"/>
  <c r="E60" i="8"/>
  <c r="D60" i="8"/>
  <c r="C60" i="8"/>
  <c r="B60" i="8"/>
  <c r="C5" i="7" s="1"/>
  <c r="W59" i="8"/>
  <c r="V59" i="8"/>
  <c r="U59" i="8"/>
  <c r="T59" i="8"/>
  <c r="S59" i="8"/>
  <c r="R59" i="8"/>
  <c r="Q59" i="8"/>
  <c r="P59" i="8"/>
  <c r="O59" i="8"/>
  <c r="N59" i="8"/>
  <c r="M59" i="8"/>
  <c r="L59" i="8"/>
  <c r="K59" i="8"/>
  <c r="J59" i="8"/>
  <c r="I59" i="8"/>
  <c r="H59" i="8"/>
  <c r="G59" i="8"/>
  <c r="F59" i="8"/>
  <c r="E59" i="8"/>
  <c r="D59" i="8"/>
  <c r="C59" i="8"/>
  <c r="B59" i="8"/>
  <c r="W58" i="8"/>
  <c r="V58" i="8"/>
  <c r="U58" i="8"/>
  <c r="T58" i="8"/>
  <c r="S58" i="8"/>
  <c r="R58" i="8"/>
  <c r="Q58" i="8"/>
  <c r="P58" i="8"/>
  <c r="O58" i="8"/>
  <c r="N58" i="8"/>
  <c r="M58" i="8"/>
  <c r="L58" i="8"/>
  <c r="K58" i="8"/>
  <c r="J58" i="8"/>
  <c r="I58" i="8"/>
  <c r="H58" i="8"/>
  <c r="G58" i="8"/>
  <c r="F58" i="8"/>
  <c r="E58" i="8"/>
  <c r="D58" i="8"/>
  <c r="C58" i="8"/>
  <c r="B58" i="8"/>
  <c r="W57" i="8"/>
  <c r="V57" i="8"/>
  <c r="W4" i="7" s="1"/>
  <c r="U57" i="8"/>
  <c r="V4" i="7" s="1"/>
  <c r="T57" i="8"/>
  <c r="S57" i="8"/>
  <c r="R57" i="8"/>
  <c r="Q57" i="8"/>
  <c r="P57" i="8"/>
  <c r="Q4" i="7" s="1"/>
  <c r="O57" i="8"/>
  <c r="N57" i="8"/>
  <c r="M57" i="8"/>
  <c r="L57" i="8"/>
  <c r="K57" i="8"/>
  <c r="J57" i="8"/>
  <c r="K4" i="7" s="1"/>
  <c r="I57" i="8"/>
  <c r="J4" i="7" s="1"/>
  <c r="H57" i="8"/>
  <c r="G57" i="8"/>
  <c r="F57" i="8"/>
  <c r="E57" i="8"/>
  <c r="D57" i="8"/>
  <c r="E4" i="7" s="1"/>
  <c r="C57" i="8"/>
  <c r="B57" i="8"/>
  <c r="C4" i="7" s="1"/>
  <c r="W56" i="8"/>
  <c r="V56" i="8"/>
  <c r="U56" i="8"/>
  <c r="T56" i="8"/>
  <c r="U3" i="7" s="1"/>
  <c r="S56" i="8"/>
  <c r="T3" i="7" s="1"/>
  <c r="R56" i="8"/>
  <c r="Q56" i="8"/>
  <c r="P56" i="8"/>
  <c r="O56" i="8"/>
  <c r="N56" i="8"/>
  <c r="O3" i="7" s="1"/>
  <c r="M56" i="8"/>
  <c r="L56" i="8"/>
  <c r="K56" i="8"/>
  <c r="J56" i="8"/>
  <c r="I56" i="8"/>
  <c r="H56" i="8"/>
  <c r="I3" i="7" s="1"/>
  <c r="G56" i="8"/>
  <c r="H3" i="7" s="1"/>
  <c r="F56" i="8"/>
  <c r="E56" i="8"/>
  <c r="D56" i="8"/>
  <c r="C56" i="8"/>
  <c r="B56" i="8"/>
  <c r="W55" i="8"/>
  <c r="V55" i="8"/>
  <c r="U55" i="8"/>
  <c r="T55" i="8"/>
  <c r="S55" i="8"/>
  <c r="R55" i="8"/>
  <c r="Q55" i="8"/>
  <c r="P55" i="8"/>
  <c r="O55" i="8"/>
  <c r="N55" i="8"/>
  <c r="M55" i="8"/>
  <c r="L55" i="8"/>
  <c r="K55" i="8"/>
  <c r="J55" i="8"/>
  <c r="I55" i="8"/>
  <c r="H55" i="8"/>
  <c r="G55" i="8"/>
  <c r="F55" i="8"/>
  <c r="E55" i="8"/>
  <c r="D55" i="8"/>
  <c r="C55" i="8"/>
  <c r="B55" i="8"/>
  <c r="W54" i="8"/>
  <c r="V54" i="8"/>
  <c r="U54" i="8"/>
  <c r="T54" i="8"/>
  <c r="S54" i="8"/>
  <c r="R54" i="8"/>
  <c r="Q54" i="8"/>
  <c r="P54" i="8"/>
  <c r="O54" i="8"/>
  <c r="N54" i="8"/>
  <c r="M54" i="8"/>
  <c r="L54" i="8"/>
  <c r="K54" i="8"/>
  <c r="J54" i="8"/>
  <c r="I54" i="8"/>
  <c r="H54" i="8"/>
  <c r="G54" i="8"/>
  <c r="F54" i="8"/>
  <c r="E54" i="8"/>
  <c r="D54" i="8"/>
  <c r="C54" i="8"/>
  <c r="B54" i="8"/>
  <c r="W53" i="8"/>
  <c r="V53" i="8"/>
  <c r="U53" i="8"/>
  <c r="T53" i="8"/>
  <c r="S53" i="8"/>
  <c r="R53" i="8"/>
  <c r="Q53" i="8"/>
  <c r="P53" i="8"/>
  <c r="O53" i="8"/>
  <c r="N53" i="8"/>
  <c r="M53" i="8"/>
  <c r="L53" i="8"/>
  <c r="K53" i="8"/>
  <c r="J53" i="8"/>
  <c r="I53" i="8"/>
  <c r="H53" i="8"/>
  <c r="G53" i="8"/>
  <c r="F53" i="8"/>
  <c r="E53" i="8"/>
  <c r="D53" i="8"/>
  <c r="C53" i="8"/>
  <c r="B53" i="8"/>
  <c r="W52" i="8"/>
  <c r="V52" i="8"/>
  <c r="U52" i="8"/>
  <c r="T52" i="8"/>
  <c r="S52" i="8"/>
  <c r="R52" i="8"/>
  <c r="Q52" i="8"/>
  <c r="P52" i="8"/>
  <c r="O52" i="8"/>
  <c r="N52" i="8"/>
  <c r="M52" i="8"/>
  <c r="L52" i="8"/>
  <c r="K52" i="8"/>
  <c r="J52" i="8"/>
  <c r="I52" i="8"/>
  <c r="H52" i="8"/>
  <c r="G52" i="8"/>
  <c r="G51" i="8" s="1"/>
  <c r="F52" i="8"/>
  <c r="E52" i="8"/>
  <c r="D52" i="8"/>
  <c r="C52" i="8"/>
  <c r="B52" i="8"/>
  <c r="W50" i="8"/>
  <c r="V50" i="8"/>
  <c r="U50" i="8"/>
  <c r="T50" i="8"/>
  <c r="S50" i="8"/>
  <c r="R50" i="8"/>
  <c r="Q50" i="8"/>
  <c r="P50" i="8"/>
  <c r="O50" i="8"/>
  <c r="N50" i="8"/>
  <c r="M50" i="8"/>
  <c r="L50" i="8"/>
  <c r="K50" i="8"/>
  <c r="J50" i="8"/>
  <c r="I50" i="8"/>
  <c r="H50" i="8"/>
  <c r="G50" i="8"/>
  <c r="F50" i="8"/>
  <c r="E50" i="8"/>
  <c r="D50" i="8"/>
  <c r="C50" i="8"/>
  <c r="B50" i="8"/>
  <c r="W49" i="8"/>
  <c r="V49" i="8"/>
  <c r="U49" i="8"/>
  <c r="T49" i="8"/>
  <c r="S49" i="8"/>
  <c r="R49" i="8"/>
  <c r="Q49" i="8"/>
  <c r="P49" i="8"/>
  <c r="O49" i="8"/>
  <c r="N49" i="8"/>
  <c r="M49" i="8"/>
  <c r="L49" i="8"/>
  <c r="K49" i="8"/>
  <c r="J49" i="8"/>
  <c r="I49" i="8"/>
  <c r="H49" i="8"/>
  <c r="G49" i="8"/>
  <c r="F49" i="8"/>
  <c r="E49" i="8"/>
  <c r="D49" i="8"/>
  <c r="C49" i="8"/>
  <c r="B49" i="8"/>
  <c r="W48" i="8"/>
  <c r="V48" i="8"/>
  <c r="U48" i="8"/>
  <c r="T48" i="8"/>
  <c r="S48" i="8"/>
  <c r="R48" i="8"/>
  <c r="Q48" i="8"/>
  <c r="P48" i="8"/>
  <c r="O48" i="8"/>
  <c r="N48" i="8"/>
  <c r="M48" i="8"/>
  <c r="L48" i="8"/>
  <c r="K48" i="8"/>
  <c r="J48" i="8"/>
  <c r="I48" i="8"/>
  <c r="H48" i="8"/>
  <c r="G48" i="8"/>
  <c r="F48" i="8"/>
  <c r="E48" i="8"/>
  <c r="D48" i="8"/>
  <c r="C48" i="8"/>
  <c r="B48" i="8"/>
  <c r="W47" i="8"/>
  <c r="V47" i="8"/>
  <c r="U47" i="8"/>
  <c r="T47" i="8"/>
  <c r="S47" i="8"/>
  <c r="R47" i="8"/>
  <c r="Q47" i="8"/>
  <c r="P47" i="8"/>
  <c r="O47" i="8"/>
  <c r="N47" i="8"/>
  <c r="M47" i="8"/>
  <c r="L47" i="8"/>
  <c r="K47" i="8"/>
  <c r="J47" i="8"/>
  <c r="I47" i="8"/>
  <c r="H47" i="8"/>
  <c r="G47" i="8"/>
  <c r="F47" i="8"/>
  <c r="E47" i="8"/>
  <c r="D47" i="8"/>
  <c r="C47" i="8"/>
  <c r="B47" i="8"/>
  <c r="W46" i="8"/>
  <c r="V46" i="8"/>
  <c r="U46" i="8"/>
  <c r="T46" i="8"/>
  <c r="S46" i="8"/>
  <c r="R46" i="8"/>
  <c r="Q46" i="8"/>
  <c r="P46" i="8"/>
  <c r="O46" i="8"/>
  <c r="N46" i="8"/>
  <c r="M46" i="8"/>
  <c r="L46" i="8"/>
  <c r="K46" i="8"/>
  <c r="J46" i="8"/>
  <c r="I46" i="8"/>
  <c r="H46" i="8"/>
  <c r="G46" i="8"/>
  <c r="F46" i="8"/>
  <c r="E46" i="8"/>
  <c r="D46" i="8"/>
  <c r="C46" i="8"/>
  <c r="B46" i="8"/>
  <c r="W45" i="8"/>
  <c r="V45" i="8"/>
  <c r="U45" i="8"/>
  <c r="T45" i="8"/>
  <c r="S45" i="8"/>
  <c r="R45" i="8"/>
  <c r="Q45" i="8"/>
  <c r="P45" i="8"/>
  <c r="O45" i="8"/>
  <c r="N45" i="8"/>
  <c r="M45" i="8"/>
  <c r="L45" i="8"/>
  <c r="K45" i="8"/>
  <c r="J45" i="8"/>
  <c r="I45" i="8"/>
  <c r="H45" i="8"/>
  <c r="G45" i="8"/>
  <c r="F45" i="8"/>
  <c r="E45" i="8"/>
  <c r="D45" i="8"/>
  <c r="C45" i="8"/>
  <c r="B45" i="8"/>
  <c r="W44" i="8"/>
  <c r="V44" i="8"/>
  <c r="U44" i="8"/>
  <c r="T44" i="8"/>
  <c r="S44" i="8"/>
  <c r="R44" i="8"/>
  <c r="Q44" i="8"/>
  <c r="P44" i="8"/>
  <c r="O44" i="8"/>
  <c r="N44" i="8"/>
  <c r="M44" i="8"/>
  <c r="L44" i="8"/>
  <c r="K44" i="8"/>
  <c r="J44" i="8"/>
  <c r="I44" i="8"/>
  <c r="H44" i="8"/>
  <c r="G44" i="8"/>
  <c r="F44" i="8"/>
  <c r="E44" i="8"/>
  <c r="D44" i="8"/>
  <c r="C44" i="8"/>
  <c r="B44" i="8"/>
  <c r="W43" i="8"/>
  <c r="V43" i="8"/>
  <c r="U43" i="8"/>
  <c r="T43" i="8"/>
  <c r="S43" i="8"/>
  <c r="R43" i="8"/>
  <c r="Q43" i="8"/>
  <c r="P43" i="8"/>
  <c r="O43" i="8"/>
  <c r="N43" i="8"/>
  <c r="M43" i="8"/>
  <c r="L43" i="8"/>
  <c r="K43" i="8"/>
  <c r="J43" i="8"/>
  <c r="I43" i="8"/>
  <c r="H43" i="8"/>
  <c r="G43" i="8"/>
  <c r="F43" i="8"/>
  <c r="E43" i="8"/>
  <c r="D43" i="8"/>
  <c r="C43" i="8"/>
  <c r="B43" i="8"/>
  <c r="W41" i="8"/>
  <c r="V41" i="8"/>
  <c r="U41" i="8"/>
  <c r="T41" i="8"/>
  <c r="S41" i="8"/>
  <c r="R41" i="8"/>
  <c r="Q41" i="8"/>
  <c r="P41" i="8"/>
  <c r="O41" i="8"/>
  <c r="N41" i="8"/>
  <c r="M41" i="8"/>
  <c r="L41" i="8"/>
  <c r="K41" i="8"/>
  <c r="J41" i="8"/>
  <c r="I41" i="8"/>
  <c r="H41" i="8"/>
  <c r="H39" i="8" s="1"/>
  <c r="G41" i="8"/>
  <c r="F41" i="8"/>
  <c r="E41" i="8"/>
  <c r="D41" i="8"/>
  <c r="C41" i="8"/>
  <c r="B41" i="8"/>
  <c r="W40" i="8"/>
  <c r="V40" i="8"/>
  <c r="V39" i="8" s="1"/>
  <c r="U40" i="8"/>
  <c r="T40" i="8"/>
  <c r="S40" i="8"/>
  <c r="R40" i="8"/>
  <c r="Q40" i="8"/>
  <c r="P40" i="8"/>
  <c r="O40" i="8"/>
  <c r="N40" i="8"/>
  <c r="M40" i="8"/>
  <c r="L40" i="8"/>
  <c r="K40" i="8"/>
  <c r="J40" i="8"/>
  <c r="J39" i="8" s="1"/>
  <c r="I40" i="8"/>
  <c r="H40" i="8"/>
  <c r="G40" i="8"/>
  <c r="F40" i="8"/>
  <c r="E40" i="8"/>
  <c r="D40" i="8"/>
  <c r="C40" i="8"/>
  <c r="B40" i="8"/>
  <c r="S39" i="8"/>
  <c r="W38" i="8"/>
  <c r="V38" i="8"/>
  <c r="U38" i="8"/>
  <c r="T38" i="8"/>
  <c r="S38" i="8"/>
  <c r="R38" i="8"/>
  <c r="Q38" i="8"/>
  <c r="P38" i="8"/>
  <c r="O38" i="8"/>
  <c r="N38" i="8"/>
  <c r="M38" i="8"/>
  <c r="L38" i="8"/>
  <c r="K38" i="8"/>
  <c r="J38" i="8"/>
  <c r="I38" i="8"/>
  <c r="H38" i="8"/>
  <c r="G38" i="8"/>
  <c r="F38" i="8"/>
  <c r="E38" i="8"/>
  <c r="D38" i="8"/>
  <c r="C38" i="8"/>
  <c r="B38" i="8"/>
  <c r="W37" i="8"/>
  <c r="V37" i="8"/>
  <c r="U37" i="8"/>
  <c r="T37" i="8"/>
  <c r="S37" i="8"/>
  <c r="R37" i="8"/>
  <c r="Q37" i="8"/>
  <c r="P37" i="8"/>
  <c r="O37" i="8"/>
  <c r="N37" i="8"/>
  <c r="M37" i="8"/>
  <c r="L37" i="8"/>
  <c r="K37" i="8"/>
  <c r="J37" i="8"/>
  <c r="I37" i="8"/>
  <c r="H37" i="8"/>
  <c r="G37" i="8"/>
  <c r="F37" i="8"/>
  <c r="E37" i="8"/>
  <c r="D37" i="8"/>
  <c r="C37" i="8"/>
  <c r="B37" i="8"/>
  <c r="W36" i="8"/>
  <c r="V36" i="8"/>
  <c r="U36" i="8"/>
  <c r="T36" i="8"/>
  <c r="S36" i="8"/>
  <c r="R36" i="8"/>
  <c r="Q36" i="8"/>
  <c r="P36" i="8"/>
  <c r="O36" i="8"/>
  <c r="N36" i="8"/>
  <c r="M36" i="8"/>
  <c r="L36" i="8"/>
  <c r="K36" i="8"/>
  <c r="J36" i="8"/>
  <c r="I36" i="8"/>
  <c r="H36" i="8"/>
  <c r="G36" i="8"/>
  <c r="F36" i="8"/>
  <c r="E36" i="8"/>
  <c r="D36" i="8"/>
  <c r="C36" i="8"/>
  <c r="B36" i="8"/>
  <c r="W35" i="8"/>
  <c r="V35" i="8"/>
  <c r="U35" i="8"/>
  <c r="T35" i="8"/>
  <c r="S35" i="8"/>
  <c r="R35" i="8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D35" i="8"/>
  <c r="C35" i="8"/>
  <c r="B35" i="8"/>
  <c r="W34" i="8"/>
  <c r="V34" i="8"/>
  <c r="U34" i="8"/>
  <c r="T34" i="8"/>
  <c r="S34" i="8"/>
  <c r="R34" i="8"/>
  <c r="Q34" i="8"/>
  <c r="P34" i="8"/>
  <c r="O34" i="8"/>
  <c r="N34" i="8"/>
  <c r="M34" i="8"/>
  <c r="L34" i="8"/>
  <c r="K34" i="8"/>
  <c r="J34" i="8"/>
  <c r="I34" i="8"/>
  <c r="H34" i="8"/>
  <c r="G34" i="8"/>
  <c r="F34" i="8"/>
  <c r="E34" i="8"/>
  <c r="D34" i="8"/>
  <c r="C34" i="8"/>
  <c r="B34" i="8"/>
  <c r="W32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B32" i="8"/>
  <c r="W31" i="8"/>
  <c r="V31" i="8"/>
  <c r="U31" i="8"/>
  <c r="T31" i="8"/>
  <c r="T30" i="8" s="1"/>
  <c r="S31" i="8"/>
  <c r="R31" i="8"/>
  <c r="Q31" i="8"/>
  <c r="P31" i="8"/>
  <c r="O31" i="8"/>
  <c r="N31" i="8"/>
  <c r="M31" i="8"/>
  <c r="L31" i="8"/>
  <c r="K31" i="8"/>
  <c r="J31" i="8"/>
  <c r="I31" i="8"/>
  <c r="H31" i="8"/>
  <c r="H30" i="8" s="1"/>
  <c r="G31" i="8"/>
  <c r="F31" i="8"/>
  <c r="E31" i="8"/>
  <c r="D31" i="8"/>
  <c r="C31" i="8"/>
  <c r="B31" i="8"/>
  <c r="W29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B29" i="8"/>
  <c r="W26" i="8"/>
  <c r="V26" i="8"/>
  <c r="V151" i="8" s="1"/>
  <c r="U26" i="8"/>
  <c r="T26" i="8"/>
  <c r="S26" i="8"/>
  <c r="R26" i="8"/>
  <c r="Q26" i="8"/>
  <c r="P26" i="8"/>
  <c r="O26" i="8"/>
  <c r="N26" i="8"/>
  <c r="M26" i="8"/>
  <c r="L26" i="8"/>
  <c r="K26" i="8"/>
  <c r="K151" i="8" s="1"/>
  <c r="J26" i="8"/>
  <c r="J151" i="8" s="1"/>
  <c r="I26" i="8"/>
  <c r="H26" i="8"/>
  <c r="G26" i="8"/>
  <c r="F26" i="8"/>
  <c r="E26" i="8"/>
  <c r="D26" i="8"/>
  <c r="C26" i="8"/>
  <c r="B26" i="8"/>
  <c r="W25" i="8"/>
  <c r="V25" i="8"/>
  <c r="U25" i="8"/>
  <c r="T25" i="8"/>
  <c r="T150" i="8" s="1"/>
  <c r="S25" i="8"/>
  <c r="R25" i="8"/>
  <c r="Q25" i="8"/>
  <c r="P25" i="8"/>
  <c r="O25" i="8"/>
  <c r="N25" i="8"/>
  <c r="M25" i="8"/>
  <c r="L25" i="8"/>
  <c r="K25" i="8"/>
  <c r="J25" i="8"/>
  <c r="I25" i="8"/>
  <c r="H25" i="8"/>
  <c r="H150" i="8" s="1"/>
  <c r="G25" i="8"/>
  <c r="F25" i="8"/>
  <c r="E25" i="8"/>
  <c r="D25" i="8"/>
  <c r="C25" i="8"/>
  <c r="B25" i="8"/>
  <c r="W24" i="8"/>
  <c r="V24" i="8"/>
  <c r="U24" i="8"/>
  <c r="T24" i="8"/>
  <c r="S24" i="8"/>
  <c r="R24" i="8"/>
  <c r="R149" i="8" s="1"/>
  <c r="Q24" i="8"/>
  <c r="P24" i="8"/>
  <c r="O24" i="8"/>
  <c r="N24" i="8"/>
  <c r="M24" i="8"/>
  <c r="L24" i="8"/>
  <c r="K24" i="8"/>
  <c r="J24" i="8"/>
  <c r="I24" i="8"/>
  <c r="H24" i="8"/>
  <c r="G24" i="8"/>
  <c r="F24" i="8"/>
  <c r="F149" i="8" s="1"/>
  <c r="E24" i="8"/>
  <c r="D24" i="8"/>
  <c r="C24" i="8"/>
  <c r="B24" i="8"/>
  <c r="W23" i="8"/>
  <c r="V23" i="8"/>
  <c r="U23" i="8"/>
  <c r="T23" i="8"/>
  <c r="S23" i="8"/>
  <c r="R23" i="8"/>
  <c r="Q23" i="8"/>
  <c r="P23" i="8"/>
  <c r="P148" i="8" s="1"/>
  <c r="O23" i="8"/>
  <c r="N23" i="8"/>
  <c r="M23" i="8"/>
  <c r="L23" i="8"/>
  <c r="K23" i="8"/>
  <c r="J23" i="8"/>
  <c r="I23" i="8"/>
  <c r="H23" i="8"/>
  <c r="G23" i="8"/>
  <c r="F23" i="8"/>
  <c r="E23" i="8"/>
  <c r="E148" i="8" s="1"/>
  <c r="D23" i="8"/>
  <c r="D148" i="8" s="1"/>
  <c r="C23" i="8"/>
  <c r="B23" i="8"/>
  <c r="W22" i="8"/>
  <c r="V22" i="8"/>
  <c r="U22" i="8"/>
  <c r="T22" i="8"/>
  <c r="S22" i="8"/>
  <c r="R22" i="8"/>
  <c r="Q22" i="8"/>
  <c r="P22" i="8"/>
  <c r="O22" i="8"/>
  <c r="N22" i="8"/>
  <c r="N147" i="8" s="1"/>
  <c r="M22" i="8"/>
  <c r="L22" i="8"/>
  <c r="K22" i="8"/>
  <c r="J22" i="8"/>
  <c r="I22" i="8"/>
  <c r="H22" i="8"/>
  <c r="G22" i="8"/>
  <c r="F22" i="8"/>
  <c r="E22" i="8"/>
  <c r="D22" i="8"/>
  <c r="C22" i="8"/>
  <c r="B22" i="8"/>
  <c r="B147" i="8" s="1"/>
  <c r="W21" i="8"/>
  <c r="V21" i="8"/>
  <c r="U21" i="8"/>
  <c r="T21" i="8"/>
  <c r="S21" i="8"/>
  <c r="R21" i="8"/>
  <c r="Q21" i="8"/>
  <c r="P21" i="8"/>
  <c r="O21" i="8"/>
  <c r="N21" i="8"/>
  <c r="M21" i="8"/>
  <c r="L21" i="8"/>
  <c r="L146" i="8" s="1"/>
  <c r="K21" i="8"/>
  <c r="J21" i="8"/>
  <c r="I21" i="8"/>
  <c r="H21" i="8"/>
  <c r="G21" i="8"/>
  <c r="F21" i="8"/>
  <c r="E21" i="8"/>
  <c r="D21" i="8"/>
  <c r="C21" i="8"/>
  <c r="B21" i="8"/>
  <c r="W20" i="8"/>
  <c r="V20" i="8"/>
  <c r="V145" i="8" s="1"/>
  <c r="U20" i="8"/>
  <c r="T20" i="8"/>
  <c r="S20" i="8"/>
  <c r="R20" i="8"/>
  <c r="Q20" i="8"/>
  <c r="P20" i="8"/>
  <c r="O20" i="8"/>
  <c r="N20" i="8"/>
  <c r="M20" i="8"/>
  <c r="L20" i="8"/>
  <c r="K20" i="8"/>
  <c r="J20" i="8"/>
  <c r="J145" i="8" s="1"/>
  <c r="I20" i="8"/>
  <c r="H20" i="8"/>
  <c r="G20" i="8"/>
  <c r="F20" i="8"/>
  <c r="E20" i="8"/>
  <c r="D20" i="8"/>
  <c r="C20" i="8"/>
  <c r="B20" i="8"/>
  <c r="W19" i="8"/>
  <c r="V19" i="8"/>
  <c r="U19" i="8"/>
  <c r="T19" i="8"/>
  <c r="T144" i="8" s="1"/>
  <c r="S19" i="8"/>
  <c r="R19" i="8"/>
  <c r="Q19" i="8"/>
  <c r="P19" i="8"/>
  <c r="O19" i="8"/>
  <c r="N19" i="8"/>
  <c r="M19" i="8"/>
  <c r="L19" i="8"/>
  <c r="K19" i="8"/>
  <c r="J19" i="8"/>
  <c r="I19" i="8"/>
  <c r="H19" i="8"/>
  <c r="H144" i="8" s="1"/>
  <c r="G19" i="8"/>
  <c r="F19" i="8"/>
  <c r="E19" i="8"/>
  <c r="D19" i="8"/>
  <c r="C19" i="8"/>
  <c r="B19" i="8"/>
  <c r="W18" i="8"/>
  <c r="V18" i="8"/>
  <c r="U18" i="8"/>
  <c r="T18" i="8"/>
  <c r="S18" i="8"/>
  <c r="R18" i="8"/>
  <c r="R143" i="8" s="1"/>
  <c r="Q18" i="8"/>
  <c r="P18" i="8"/>
  <c r="O18" i="8"/>
  <c r="N18" i="8"/>
  <c r="M18" i="8"/>
  <c r="L18" i="8"/>
  <c r="K18" i="8"/>
  <c r="J18" i="8"/>
  <c r="I18" i="8"/>
  <c r="H18" i="8"/>
  <c r="G18" i="8"/>
  <c r="F18" i="8"/>
  <c r="F143" i="8" s="1"/>
  <c r="E18" i="8"/>
  <c r="D18" i="8"/>
  <c r="C18" i="8"/>
  <c r="B18" i="8"/>
  <c r="W17" i="8"/>
  <c r="V17" i="8"/>
  <c r="U17" i="8"/>
  <c r="T17" i="8"/>
  <c r="S17" i="8"/>
  <c r="R17" i="8"/>
  <c r="Q17" i="8"/>
  <c r="P17" i="8"/>
  <c r="P142" i="8" s="1"/>
  <c r="O17" i="8"/>
  <c r="N17" i="8"/>
  <c r="M17" i="8"/>
  <c r="L17" i="8"/>
  <c r="K17" i="8"/>
  <c r="J17" i="8"/>
  <c r="I17" i="8"/>
  <c r="H17" i="8"/>
  <c r="G17" i="8"/>
  <c r="F17" i="8"/>
  <c r="E17" i="8"/>
  <c r="D17" i="8"/>
  <c r="D142" i="8" s="1"/>
  <c r="C17" i="8"/>
  <c r="B17" i="8"/>
  <c r="W16" i="8"/>
  <c r="V16" i="8"/>
  <c r="U16" i="8"/>
  <c r="T16" i="8"/>
  <c r="S16" i="8"/>
  <c r="R16" i="8"/>
  <c r="Q16" i="8"/>
  <c r="P16" i="8"/>
  <c r="O16" i="8"/>
  <c r="N16" i="8"/>
  <c r="N141" i="8" s="1"/>
  <c r="M16" i="8"/>
  <c r="L16" i="8"/>
  <c r="K16" i="8"/>
  <c r="J16" i="8"/>
  <c r="I16" i="8"/>
  <c r="H16" i="8"/>
  <c r="G16" i="8"/>
  <c r="F16" i="8"/>
  <c r="E16" i="8"/>
  <c r="D16" i="8"/>
  <c r="C16" i="8"/>
  <c r="B16" i="8"/>
  <c r="B141" i="8" s="1"/>
  <c r="W15" i="8"/>
  <c r="V15" i="8"/>
  <c r="U15" i="8"/>
  <c r="T15" i="8"/>
  <c r="S15" i="8"/>
  <c r="R15" i="8"/>
  <c r="Q15" i="8"/>
  <c r="P15" i="8"/>
  <c r="O15" i="8"/>
  <c r="N15" i="8"/>
  <c r="M15" i="8"/>
  <c r="L15" i="8"/>
  <c r="L140" i="8" s="1"/>
  <c r="K15" i="8"/>
  <c r="J15" i="8"/>
  <c r="I15" i="8"/>
  <c r="H15" i="8"/>
  <c r="G15" i="8"/>
  <c r="F15" i="8"/>
  <c r="E15" i="8"/>
  <c r="D15" i="8"/>
  <c r="C15" i="8"/>
  <c r="B15" i="8"/>
  <c r="W14" i="8"/>
  <c r="V14" i="8"/>
  <c r="V139" i="8" s="1"/>
  <c r="U14" i="8"/>
  <c r="T14" i="8"/>
  <c r="S14" i="8"/>
  <c r="R14" i="8"/>
  <c r="Q14" i="8"/>
  <c r="P14" i="8"/>
  <c r="O14" i="8"/>
  <c r="N14" i="8"/>
  <c r="M14" i="8"/>
  <c r="L14" i="8"/>
  <c r="K14" i="8"/>
  <c r="J14" i="8"/>
  <c r="J139" i="8" s="1"/>
  <c r="I14" i="8"/>
  <c r="H14" i="8"/>
  <c r="G14" i="8"/>
  <c r="F14" i="8"/>
  <c r="E14" i="8"/>
  <c r="D14" i="8"/>
  <c r="C14" i="8"/>
  <c r="B14" i="8"/>
  <c r="W13" i="8"/>
  <c r="V13" i="8"/>
  <c r="U13" i="8"/>
  <c r="T13" i="8"/>
  <c r="T138" i="8" s="1"/>
  <c r="S13" i="8"/>
  <c r="R13" i="8"/>
  <c r="Q13" i="8"/>
  <c r="P13" i="8"/>
  <c r="O13" i="8"/>
  <c r="N13" i="8"/>
  <c r="M13" i="8"/>
  <c r="L13" i="8"/>
  <c r="K13" i="8"/>
  <c r="J13" i="8"/>
  <c r="I13" i="8"/>
  <c r="H13" i="8"/>
  <c r="H138" i="8" s="1"/>
  <c r="G13" i="8"/>
  <c r="F13" i="8"/>
  <c r="E13" i="8"/>
  <c r="D13" i="8"/>
  <c r="C13" i="8"/>
  <c r="B13" i="8"/>
  <c r="W12" i="8"/>
  <c r="V12" i="8"/>
  <c r="U12" i="8"/>
  <c r="T12" i="8"/>
  <c r="S12" i="8"/>
  <c r="R12" i="8"/>
  <c r="R137" i="8" s="1"/>
  <c r="Q12" i="8"/>
  <c r="P12" i="8"/>
  <c r="O12" i="8"/>
  <c r="N12" i="8"/>
  <c r="M12" i="8"/>
  <c r="L12" i="8"/>
  <c r="K12" i="8"/>
  <c r="J12" i="8"/>
  <c r="I12" i="8"/>
  <c r="H12" i="8"/>
  <c r="G12" i="8"/>
  <c r="F12" i="8"/>
  <c r="F137" i="8" s="1"/>
  <c r="E12" i="8"/>
  <c r="D12" i="8"/>
  <c r="C12" i="8"/>
  <c r="B12" i="8"/>
  <c r="W11" i="8"/>
  <c r="V11" i="8"/>
  <c r="U11" i="8"/>
  <c r="T11" i="8"/>
  <c r="S11" i="8"/>
  <c r="R11" i="8"/>
  <c r="Q11" i="8"/>
  <c r="P11" i="8"/>
  <c r="P136" i="8" s="1"/>
  <c r="O11" i="8"/>
  <c r="N11" i="8"/>
  <c r="M11" i="8"/>
  <c r="L11" i="8"/>
  <c r="K11" i="8"/>
  <c r="J11" i="8"/>
  <c r="I11" i="8"/>
  <c r="H11" i="8"/>
  <c r="G11" i="8"/>
  <c r="F11" i="8"/>
  <c r="E11" i="8"/>
  <c r="D11" i="8"/>
  <c r="D136" i="8" s="1"/>
  <c r="C11" i="8"/>
  <c r="B11" i="8"/>
  <c r="W10" i="8"/>
  <c r="V10" i="8"/>
  <c r="U10" i="8"/>
  <c r="T10" i="8"/>
  <c r="S10" i="8"/>
  <c r="R10" i="8"/>
  <c r="Q10" i="8"/>
  <c r="P10" i="8"/>
  <c r="O10" i="8"/>
  <c r="N10" i="8"/>
  <c r="N135" i="8" s="1"/>
  <c r="M10" i="8"/>
  <c r="L10" i="8"/>
  <c r="K10" i="8"/>
  <c r="J10" i="8"/>
  <c r="I10" i="8"/>
  <c r="H10" i="8"/>
  <c r="G10" i="8"/>
  <c r="F10" i="8"/>
  <c r="E10" i="8"/>
  <c r="D10" i="8"/>
  <c r="C10" i="8"/>
  <c r="B10" i="8"/>
  <c r="B135" i="8" s="1"/>
  <c r="W9" i="8"/>
  <c r="V9" i="8"/>
  <c r="U9" i="8"/>
  <c r="T9" i="8"/>
  <c r="S9" i="8"/>
  <c r="R9" i="8"/>
  <c r="Q9" i="8"/>
  <c r="P9" i="8"/>
  <c r="O9" i="8"/>
  <c r="N9" i="8"/>
  <c r="M9" i="8"/>
  <c r="L9" i="8"/>
  <c r="L134" i="8" s="1"/>
  <c r="K9" i="8"/>
  <c r="J9" i="8"/>
  <c r="I9" i="8"/>
  <c r="H9" i="8"/>
  <c r="G9" i="8"/>
  <c r="F9" i="8"/>
  <c r="E9" i="8"/>
  <c r="D9" i="8"/>
  <c r="C9" i="8"/>
  <c r="B9" i="8"/>
  <c r="W8" i="8"/>
  <c r="V8" i="8"/>
  <c r="V133" i="8" s="1"/>
  <c r="U8" i="8"/>
  <c r="T8" i="8"/>
  <c r="S8" i="8"/>
  <c r="R8" i="8"/>
  <c r="Q8" i="8"/>
  <c r="P8" i="8"/>
  <c r="O8" i="8"/>
  <c r="N8" i="8"/>
  <c r="M8" i="8"/>
  <c r="L8" i="8"/>
  <c r="K8" i="8"/>
  <c r="J8" i="8"/>
  <c r="J133" i="8" s="1"/>
  <c r="I8" i="8"/>
  <c r="H8" i="8"/>
  <c r="G8" i="8"/>
  <c r="F8" i="8"/>
  <c r="E8" i="8"/>
  <c r="D8" i="8"/>
  <c r="C8" i="8"/>
  <c r="B8" i="8"/>
  <c r="W7" i="8"/>
  <c r="V7" i="8"/>
  <c r="V132" i="8" s="1"/>
  <c r="U7" i="8"/>
  <c r="T7" i="8"/>
  <c r="S7" i="8"/>
  <c r="R7" i="8"/>
  <c r="Q7" i="8"/>
  <c r="P7" i="8"/>
  <c r="O7" i="8"/>
  <c r="N7" i="8"/>
  <c r="M7" i="8"/>
  <c r="L7" i="8"/>
  <c r="K7" i="8"/>
  <c r="J7" i="8"/>
  <c r="J132" i="8" s="1"/>
  <c r="I7" i="8"/>
  <c r="H7" i="8"/>
  <c r="G7" i="8"/>
  <c r="F7" i="8"/>
  <c r="E7" i="8"/>
  <c r="D7" i="8"/>
  <c r="C7" i="8"/>
  <c r="B7" i="8"/>
  <c r="W6" i="8"/>
  <c r="V6" i="8"/>
  <c r="U6" i="8"/>
  <c r="T6" i="8"/>
  <c r="T131" i="8" s="1"/>
  <c r="S6" i="8"/>
  <c r="S131" i="8" s="1"/>
  <c r="R6" i="8"/>
  <c r="Q6" i="8"/>
  <c r="P6" i="8"/>
  <c r="O6" i="8"/>
  <c r="N6" i="8"/>
  <c r="M6" i="8"/>
  <c r="L6" i="8"/>
  <c r="K6" i="8"/>
  <c r="J6" i="8"/>
  <c r="I6" i="8"/>
  <c r="H6" i="8"/>
  <c r="H131" i="8" s="1"/>
  <c r="G6" i="8"/>
  <c r="F6" i="8"/>
  <c r="E6" i="8"/>
  <c r="D6" i="8"/>
  <c r="C6" i="8"/>
  <c r="B6" i="8"/>
  <c r="W5" i="8"/>
  <c r="V5" i="8"/>
  <c r="U5" i="8"/>
  <c r="T5" i="8"/>
  <c r="S5" i="8"/>
  <c r="R5" i="8"/>
  <c r="R130" i="8" s="1"/>
  <c r="Q5" i="8"/>
  <c r="P5" i="8"/>
  <c r="O5" i="8"/>
  <c r="N5" i="8"/>
  <c r="M5" i="8"/>
  <c r="L5" i="8"/>
  <c r="K5" i="8"/>
  <c r="J5" i="8"/>
  <c r="I5" i="8"/>
  <c r="H5" i="8"/>
  <c r="G5" i="8"/>
  <c r="F5" i="8"/>
  <c r="F130" i="8" s="1"/>
  <c r="E5" i="8"/>
  <c r="D5" i="8"/>
  <c r="C5" i="8"/>
  <c r="B5" i="8"/>
  <c r="W4" i="8"/>
  <c r="V4" i="8"/>
  <c r="U4" i="8"/>
  <c r="T4" i="8"/>
  <c r="S4" i="8"/>
  <c r="R4" i="8"/>
  <c r="Q4" i="8"/>
  <c r="P4" i="8"/>
  <c r="O4" i="8"/>
  <c r="N4" i="8"/>
  <c r="M4" i="8"/>
  <c r="L4" i="8"/>
  <c r="K4" i="8"/>
  <c r="J4" i="8"/>
  <c r="I4" i="8"/>
  <c r="H4" i="8"/>
  <c r="G4" i="8"/>
  <c r="F4" i="8"/>
  <c r="E4" i="8"/>
  <c r="D4" i="8"/>
  <c r="C4" i="8"/>
  <c r="B4" i="8"/>
  <c r="W3" i="8"/>
  <c r="V3" i="8"/>
  <c r="U3" i="8"/>
  <c r="T3" i="8"/>
  <c r="S3" i="8"/>
  <c r="R3" i="8"/>
  <c r="Q3" i="8"/>
  <c r="P3" i="8"/>
  <c r="O3" i="8"/>
  <c r="N3" i="8"/>
  <c r="M3" i="8"/>
  <c r="L3" i="8"/>
  <c r="K3" i="8"/>
  <c r="J3" i="8"/>
  <c r="I3" i="8"/>
  <c r="H3" i="8"/>
  <c r="G3" i="8"/>
  <c r="F3" i="8"/>
  <c r="E3" i="8"/>
  <c r="D3" i="8"/>
  <c r="C3" i="8"/>
  <c r="B3" i="8"/>
  <c r="A1" i="8"/>
  <c r="B51" i="8" l="1"/>
  <c r="H130" i="8"/>
  <c r="T130" i="8"/>
  <c r="H134" i="8"/>
  <c r="T134" i="8"/>
  <c r="L136" i="8"/>
  <c r="B137" i="8"/>
  <c r="N137" i="8"/>
  <c r="D138" i="8"/>
  <c r="P138" i="8"/>
  <c r="D30" i="8"/>
  <c r="P30" i="8"/>
  <c r="R30" i="8"/>
  <c r="G30" i="8"/>
  <c r="S30" i="8"/>
  <c r="T39" i="8"/>
  <c r="B30" i="8"/>
  <c r="N30" i="8"/>
  <c r="E39" i="8"/>
  <c r="K6" i="7" a="1"/>
  <c r="K6" i="7" s="1"/>
  <c r="I15" i="7" a="1"/>
  <c r="I15" i="7" s="1"/>
  <c r="B149" i="8"/>
  <c r="W6" i="7" a="1"/>
  <c r="W6" i="7" s="1"/>
  <c r="H128" i="8"/>
  <c r="N42" i="8"/>
  <c r="M134" i="8"/>
  <c r="C135" i="8"/>
  <c r="O135" i="8"/>
  <c r="E136" i="8"/>
  <c r="Q136" i="8"/>
  <c r="G137" i="8"/>
  <c r="S137" i="8"/>
  <c r="I138" i="8"/>
  <c r="U138" i="8"/>
  <c r="E142" i="8"/>
  <c r="Q142" i="8"/>
  <c r="M30" i="8"/>
  <c r="L142" i="8"/>
  <c r="J147" i="8"/>
  <c r="V147" i="8"/>
  <c r="L148" i="8"/>
  <c r="N149" i="8"/>
  <c r="D150" i="8"/>
  <c r="P150" i="8"/>
  <c r="F151" i="8"/>
  <c r="R151" i="8"/>
  <c r="I130" i="8"/>
  <c r="U130" i="8"/>
  <c r="I134" i="8"/>
  <c r="U134" i="8"/>
  <c r="M136" i="8"/>
  <c r="C137" i="8"/>
  <c r="O137" i="8"/>
  <c r="E138" i="8"/>
  <c r="Q138" i="8"/>
  <c r="M142" i="8"/>
  <c r="K147" i="8"/>
  <c r="W147" i="8"/>
  <c r="M148" i="8"/>
  <c r="C149" i="8"/>
  <c r="O149" i="8"/>
  <c r="E150" i="8"/>
  <c r="Q150" i="8"/>
  <c r="G151" i="8"/>
  <c r="S151" i="8"/>
  <c r="F98" i="8"/>
  <c r="R98" i="8"/>
  <c r="H98" i="8"/>
  <c r="T98" i="8"/>
  <c r="J98" i="8"/>
  <c r="V98" i="8"/>
  <c r="I39" i="8"/>
  <c r="U39" i="8"/>
  <c r="K39" i="8"/>
  <c r="W39" i="8"/>
  <c r="M98" i="8"/>
  <c r="P132" i="8"/>
  <c r="M42" i="8"/>
  <c r="M128" i="8"/>
  <c r="B42" i="8"/>
  <c r="L130" i="8"/>
  <c r="B131" i="8"/>
  <c r="C6" i="7" a="1"/>
  <c r="C6" i="7" s="1"/>
  <c r="M146" i="8"/>
  <c r="C147" i="8"/>
  <c r="O147" i="8"/>
  <c r="Q148" i="8"/>
  <c r="G149" i="8"/>
  <c r="S149" i="8"/>
  <c r="I150" i="8"/>
  <c r="U150" i="8"/>
  <c r="W151" i="8"/>
  <c r="M39" i="8"/>
  <c r="C30" i="8"/>
  <c r="O30" i="8"/>
  <c r="G33" i="8"/>
  <c r="S33" i="8"/>
  <c r="H33" i="8"/>
  <c r="T33" i="8"/>
  <c r="F39" i="8"/>
  <c r="R39" i="8"/>
  <c r="E130" i="8"/>
  <c r="Q130" i="8"/>
  <c r="Q39" i="8"/>
  <c r="G39" i="8"/>
  <c r="C98" i="8"/>
  <c r="O98" i="8"/>
  <c r="I98" i="8"/>
  <c r="U98" i="8"/>
  <c r="M130" i="8"/>
  <c r="T128" i="8"/>
  <c r="S133" i="8"/>
  <c r="T5" i="7"/>
  <c r="W141" i="8"/>
  <c r="X11" i="7"/>
  <c r="G128" i="8"/>
  <c r="S128" i="8"/>
  <c r="F30" i="8"/>
  <c r="D33" i="8"/>
  <c r="P33" i="8"/>
  <c r="F33" i="8"/>
  <c r="R33" i="8"/>
  <c r="J42" i="8"/>
  <c r="V42" i="8"/>
  <c r="L42" i="8"/>
  <c r="K129" i="8"/>
  <c r="L2" i="7"/>
  <c r="W129" i="8"/>
  <c r="X2" i="7"/>
  <c r="C133" i="8"/>
  <c r="D5" i="7"/>
  <c r="O133" i="8"/>
  <c r="P5" i="7"/>
  <c r="E134" i="8"/>
  <c r="Q134" i="8"/>
  <c r="G135" i="8"/>
  <c r="H6" i="7" a="1"/>
  <c r="H6" i="7" s="1"/>
  <c r="S135" i="8"/>
  <c r="T6" i="7" a="1"/>
  <c r="T6" i="7" s="1"/>
  <c r="I136" i="8"/>
  <c r="U136" i="8"/>
  <c r="K137" i="8"/>
  <c r="W137" i="8"/>
  <c r="M138" i="8"/>
  <c r="C139" i="8"/>
  <c r="D9" i="7"/>
  <c r="O139" i="8"/>
  <c r="P9" i="7"/>
  <c r="E140" i="8"/>
  <c r="F10" i="7"/>
  <c r="Q140" i="8"/>
  <c r="R10" i="7"/>
  <c r="G141" i="8"/>
  <c r="H11" i="7"/>
  <c r="S141" i="8"/>
  <c r="T11" i="7"/>
  <c r="I142" i="8"/>
  <c r="U142" i="8"/>
  <c r="K143" i="8"/>
  <c r="L12" i="7"/>
  <c r="W143" i="8"/>
  <c r="X12" i="7"/>
  <c r="M144" i="8"/>
  <c r="N13" i="7"/>
  <c r="C145" i="8"/>
  <c r="D14" i="7"/>
  <c r="O145" i="8"/>
  <c r="P14" i="7"/>
  <c r="E146" i="8"/>
  <c r="F15" i="7" a="1"/>
  <c r="F15" i="7" s="1"/>
  <c r="Q146" i="8"/>
  <c r="R15" i="7" a="1"/>
  <c r="R15" i="7" s="1"/>
  <c r="G147" i="8"/>
  <c r="S147" i="8"/>
  <c r="I148" i="8"/>
  <c r="U148" i="8"/>
  <c r="K149" i="8"/>
  <c r="W149" i="8"/>
  <c r="M150" i="8"/>
  <c r="C151" i="8"/>
  <c r="O151" i="8"/>
  <c r="N131" i="8"/>
  <c r="J141" i="8"/>
  <c r="P144" i="8"/>
  <c r="C2" i="7"/>
  <c r="J128" i="8"/>
  <c r="V131" i="8"/>
  <c r="W3" i="7"/>
  <c r="O51" i="8"/>
  <c r="P2" i="7"/>
  <c r="Q144" i="8"/>
  <c r="R13" i="7"/>
  <c r="E33" i="8"/>
  <c r="K42" i="8"/>
  <c r="H51" i="8"/>
  <c r="L129" i="8"/>
  <c r="M2" i="7"/>
  <c r="D133" i="8"/>
  <c r="E5" i="7"/>
  <c r="P133" i="8"/>
  <c r="Q5" i="7"/>
  <c r="F134" i="8"/>
  <c r="R134" i="8"/>
  <c r="H135" i="8"/>
  <c r="I6" i="7" a="1"/>
  <c r="I6" i="7" s="1"/>
  <c r="T135" i="8"/>
  <c r="U6" i="7" a="1"/>
  <c r="U6" i="7" s="1"/>
  <c r="J136" i="8"/>
  <c r="V136" i="8"/>
  <c r="L137" i="8"/>
  <c r="B138" i="8"/>
  <c r="N138" i="8"/>
  <c r="D139" i="8"/>
  <c r="E9" i="7"/>
  <c r="P139" i="8"/>
  <c r="Q9" i="7"/>
  <c r="F140" i="8"/>
  <c r="G10" i="7"/>
  <c r="R140" i="8"/>
  <c r="S10" i="7"/>
  <c r="H141" i="8"/>
  <c r="I11" i="7"/>
  <c r="T141" i="8"/>
  <c r="U11" i="7"/>
  <c r="J142" i="8"/>
  <c r="V142" i="8"/>
  <c r="L143" i="8"/>
  <c r="M12" i="7"/>
  <c r="B144" i="8"/>
  <c r="N144" i="8"/>
  <c r="O13" i="7"/>
  <c r="D145" i="8"/>
  <c r="E14" i="7"/>
  <c r="P145" i="8"/>
  <c r="Q14" i="7"/>
  <c r="F146" i="8"/>
  <c r="G15" i="7" a="1"/>
  <c r="G15" i="7" s="1"/>
  <c r="R146" i="8"/>
  <c r="S15" i="7" a="1"/>
  <c r="S15" i="7" s="1"/>
  <c r="H147" i="8"/>
  <c r="T147" i="8"/>
  <c r="J148" i="8"/>
  <c r="V148" i="8"/>
  <c r="L149" i="8"/>
  <c r="B150" i="8"/>
  <c r="N150" i="8"/>
  <c r="D151" i="8"/>
  <c r="P151" i="8"/>
  <c r="O141" i="8"/>
  <c r="U144" i="8"/>
  <c r="C3" i="7"/>
  <c r="J131" i="8"/>
  <c r="K3" i="7"/>
  <c r="G133" i="8"/>
  <c r="H5" i="7"/>
  <c r="C143" i="8"/>
  <c r="D12" i="7"/>
  <c r="Q33" i="8"/>
  <c r="L39" i="8"/>
  <c r="W42" i="8"/>
  <c r="I128" i="8"/>
  <c r="U128" i="8"/>
  <c r="T51" i="8"/>
  <c r="M129" i="8"/>
  <c r="N2" i="7"/>
  <c r="G130" i="8"/>
  <c r="S130" i="8"/>
  <c r="I131" i="8"/>
  <c r="J3" i="7"/>
  <c r="U131" i="8"/>
  <c r="V3" i="7"/>
  <c r="K132" i="8"/>
  <c r="L4" i="7"/>
  <c r="W132" i="8"/>
  <c r="X4" i="7"/>
  <c r="E133" i="8"/>
  <c r="F5" i="7"/>
  <c r="Q133" i="8"/>
  <c r="R5" i="7"/>
  <c r="G134" i="8"/>
  <c r="S134" i="8"/>
  <c r="I135" i="8"/>
  <c r="J6" i="7" a="1"/>
  <c r="J6" i="7" s="1"/>
  <c r="U135" i="8"/>
  <c r="V6" i="7" a="1"/>
  <c r="V6" i="7" s="1"/>
  <c r="K136" i="8"/>
  <c r="W136" i="8"/>
  <c r="M137" i="8"/>
  <c r="C138" i="8"/>
  <c r="O138" i="8"/>
  <c r="E139" i="8"/>
  <c r="F9" i="7"/>
  <c r="Q139" i="8"/>
  <c r="R9" i="7"/>
  <c r="G140" i="8"/>
  <c r="H10" i="7"/>
  <c r="S140" i="8"/>
  <c r="T10" i="7"/>
  <c r="I141" i="8"/>
  <c r="J11" i="7"/>
  <c r="U141" i="8"/>
  <c r="V11" i="7"/>
  <c r="K142" i="8"/>
  <c r="W142" i="8"/>
  <c r="M143" i="8"/>
  <c r="N12" i="7"/>
  <c r="C144" i="8"/>
  <c r="D13" i="7"/>
  <c r="O144" i="8"/>
  <c r="P13" i="7"/>
  <c r="E145" i="8"/>
  <c r="F14" i="7"/>
  <c r="Q145" i="8"/>
  <c r="R14" i="7"/>
  <c r="G146" i="8"/>
  <c r="H15" i="7" a="1"/>
  <c r="H15" i="7" s="1"/>
  <c r="S146" i="8"/>
  <c r="T15" i="7" a="1"/>
  <c r="T15" i="7" s="1"/>
  <c r="I147" i="8"/>
  <c r="U147" i="8"/>
  <c r="K148" i="8"/>
  <c r="W148" i="8"/>
  <c r="M149" i="8"/>
  <c r="C150" i="8"/>
  <c r="O150" i="8"/>
  <c r="E151" i="8"/>
  <c r="Q151" i="8"/>
  <c r="D98" i="8"/>
  <c r="P98" i="8"/>
  <c r="D132" i="8"/>
  <c r="J135" i="8"/>
  <c r="V141" i="8"/>
  <c r="F145" i="8"/>
  <c r="U15" i="7" a="1"/>
  <c r="U15" i="7" s="1"/>
  <c r="E98" i="8"/>
  <c r="Q98" i="8"/>
  <c r="K98" i="8"/>
  <c r="W98" i="8"/>
  <c r="I132" i="8"/>
  <c r="K145" i="8"/>
  <c r="U33" i="8"/>
  <c r="N39" i="8"/>
  <c r="C42" i="8"/>
  <c r="E42" i="8"/>
  <c r="Q42" i="8"/>
  <c r="G42" i="8"/>
  <c r="S42" i="8"/>
  <c r="D51" i="8"/>
  <c r="E2" i="7"/>
  <c r="P51" i="8"/>
  <c r="Q2" i="7"/>
  <c r="J130" i="8"/>
  <c r="V130" i="8"/>
  <c r="L131" i="8"/>
  <c r="M3" i="7"/>
  <c r="B132" i="8"/>
  <c r="N132" i="8"/>
  <c r="O4" i="7"/>
  <c r="H133" i="8"/>
  <c r="I5" i="7"/>
  <c r="T133" i="8"/>
  <c r="U5" i="7"/>
  <c r="J134" i="8"/>
  <c r="V134" i="8"/>
  <c r="L135" i="8"/>
  <c r="M6" i="7" a="1"/>
  <c r="M6" i="7" s="1"/>
  <c r="B136" i="8"/>
  <c r="N136" i="8"/>
  <c r="D137" i="8"/>
  <c r="P137" i="8"/>
  <c r="F138" i="8"/>
  <c r="R138" i="8"/>
  <c r="H139" i="8"/>
  <c r="I9" i="7"/>
  <c r="T139" i="8"/>
  <c r="U9" i="7"/>
  <c r="J140" i="8"/>
  <c r="K10" i="7"/>
  <c r="V140" i="8"/>
  <c r="W10" i="7"/>
  <c r="L141" i="8"/>
  <c r="M11" i="7"/>
  <c r="B142" i="8"/>
  <c r="N142" i="8"/>
  <c r="D143" i="8"/>
  <c r="E12" i="7"/>
  <c r="P143" i="8"/>
  <c r="Q12" i="7"/>
  <c r="F144" i="8"/>
  <c r="G13" i="7"/>
  <c r="R144" i="8"/>
  <c r="S13" i="7"/>
  <c r="H145" i="8"/>
  <c r="I14" i="7"/>
  <c r="T145" i="8"/>
  <c r="U14" i="7"/>
  <c r="J146" i="8"/>
  <c r="K15" i="7" a="1"/>
  <c r="K15" i="7" s="1"/>
  <c r="V146" i="8"/>
  <c r="W15" i="7" a="1"/>
  <c r="W15" i="7" s="1"/>
  <c r="L147" i="8"/>
  <c r="B148" i="8"/>
  <c r="N148" i="8"/>
  <c r="D149" i="8"/>
  <c r="P149" i="8"/>
  <c r="F150" i="8"/>
  <c r="R150" i="8"/>
  <c r="H151" i="8"/>
  <c r="T151" i="8"/>
  <c r="G98" i="8"/>
  <c r="S98" i="8"/>
  <c r="U132" i="8"/>
  <c r="K139" i="8"/>
  <c r="W145" i="8"/>
  <c r="K131" i="8"/>
  <c r="L3" i="7"/>
  <c r="K135" i="8"/>
  <c r="L6" i="7" a="1"/>
  <c r="L6" i="7" s="1"/>
  <c r="U140" i="8"/>
  <c r="V10" i="7"/>
  <c r="L128" i="8"/>
  <c r="I30" i="8"/>
  <c r="U30" i="8"/>
  <c r="I33" i="8"/>
  <c r="K33" i="8"/>
  <c r="W33" i="8"/>
  <c r="M33" i="8"/>
  <c r="B39" i="8"/>
  <c r="O42" i="8"/>
  <c r="J30" i="8"/>
  <c r="V30" i="8"/>
  <c r="L30" i="8"/>
  <c r="J33" i="8"/>
  <c r="V33" i="8"/>
  <c r="L33" i="8"/>
  <c r="C39" i="8"/>
  <c r="O39" i="8"/>
  <c r="D42" i="8"/>
  <c r="P42" i="8"/>
  <c r="F42" i="8"/>
  <c r="R42" i="8"/>
  <c r="E51" i="8"/>
  <c r="F2" i="7"/>
  <c r="Q51" i="8"/>
  <c r="R2" i="7"/>
  <c r="K130" i="8"/>
  <c r="W130" i="8"/>
  <c r="M131" i="8"/>
  <c r="N3" i="7"/>
  <c r="C132" i="8"/>
  <c r="D4" i="7"/>
  <c r="O132" i="8"/>
  <c r="P4" i="7"/>
  <c r="I133" i="8"/>
  <c r="J5" i="7"/>
  <c r="U133" i="8"/>
  <c r="V5" i="7"/>
  <c r="K134" i="8"/>
  <c r="W134" i="8"/>
  <c r="M135" i="8"/>
  <c r="N6" i="7" a="1"/>
  <c r="N6" i="7" s="1"/>
  <c r="C136" i="8"/>
  <c r="O136" i="8"/>
  <c r="E137" i="8"/>
  <c r="Q137" i="8"/>
  <c r="G138" i="8"/>
  <c r="S138" i="8"/>
  <c r="I139" i="8"/>
  <c r="J9" i="7"/>
  <c r="U139" i="8"/>
  <c r="V9" i="7"/>
  <c r="K140" i="8"/>
  <c r="L10" i="7"/>
  <c r="W140" i="8"/>
  <c r="X10" i="7"/>
  <c r="M141" i="8"/>
  <c r="N11" i="7"/>
  <c r="C142" i="8"/>
  <c r="O142" i="8"/>
  <c r="E143" i="8"/>
  <c r="F12" i="7"/>
  <c r="Q143" i="8"/>
  <c r="R12" i="7"/>
  <c r="G144" i="8"/>
  <c r="H13" i="7"/>
  <c r="S144" i="8"/>
  <c r="T13" i="7"/>
  <c r="I145" i="8"/>
  <c r="J14" i="7"/>
  <c r="U145" i="8"/>
  <c r="V14" i="7"/>
  <c r="K146" i="8"/>
  <c r="L15" i="7" a="1"/>
  <c r="L15" i="7" s="1"/>
  <c r="W146" i="8"/>
  <c r="X15" i="7" a="1"/>
  <c r="X15" i="7" s="1"/>
  <c r="M147" i="8"/>
  <c r="C148" i="8"/>
  <c r="O148" i="8"/>
  <c r="E149" i="8"/>
  <c r="Q149" i="8"/>
  <c r="G150" i="8"/>
  <c r="S150" i="8"/>
  <c r="I151" i="8"/>
  <c r="U151" i="8"/>
  <c r="F133" i="8"/>
  <c r="R139" i="8"/>
  <c r="B143" i="8"/>
  <c r="H146" i="8"/>
  <c r="W128" i="8"/>
  <c r="C51" i="8"/>
  <c r="C153" i="8" s="1"/>
  <c r="D2" i="7"/>
  <c r="W131" i="8"/>
  <c r="X3" i="7"/>
  <c r="K141" i="8"/>
  <c r="L11" i="7"/>
  <c r="E144" i="8"/>
  <c r="F13" i="7"/>
  <c r="I146" i="8"/>
  <c r="J15" i="7" a="1"/>
  <c r="J15" i="7" s="1"/>
  <c r="V135" i="8"/>
  <c r="R145" i="8"/>
  <c r="B128" i="8"/>
  <c r="N128" i="8"/>
  <c r="K30" i="8"/>
  <c r="W30" i="8"/>
  <c r="D39" i="8"/>
  <c r="P39" i="8"/>
  <c r="F129" i="8"/>
  <c r="G2" i="7"/>
  <c r="R129" i="8"/>
  <c r="S2" i="7"/>
  <c r="O6" i="7" a="1"/>
  <c r="O6" i="7" s="1"/>
  <c r="M15" i="7" a="1"/>
  <c r="M15" i="7" s="1"/>
  <c r="K133" i="8"/>
  <c r="W139" i="8"/>
  <c r="G143" i="8"/>
  <c r="S139" i="8"/>
  <c r="T9" i="7"/>
  <c r="C128" i="8"/>
  <c r="E132" i="8"/>
  <c r="F4" i="7"/>
  <c r="P6" i="7" a="1"/>
  <c r="P6" i="7" s="1"/>
  <c r="N15" i="7" a="1"/>
  <c r="N15" i="7" s="1"/>
  <c r="R133" i="8"/>
  <c r="H140" i="8"/>
  <c r="N143" i="8"/>
  <c r="T146" i="8"/>
  <c r="N51" i="8"/>
  <c r="O2" i="7"/>
  <c r="L132" i="8"/>
  <c r="M4" i="7"/>
  <c r="K128" i="8"/>
  <c r="G139" i="8"/>
  <c r="H9" i="7"/>
  <c r="O143" i="8"/>
  <c r="P12" i="7"/>
  <c r="G145" i="8"/>
  <c r="H14" i="7"/>
  <c r="S145" i="8"/>
  <c r="T14" i="7"/>
  <c r="F139" i="8"/>
  <c r="G129" i="8"/>
  <c r="H2" i="7"/>
  <c r="C131" i="8"/>
  <c r="D3" i="7"/>
  <c r="Q132" i="8"/>
  <c r="R4" i="7"/>
  <c r="D6" i="7" a="1"/>
  <c r="D6" i="7" s="1"/>
  <c r="D128" i="8"/>
  <c r="P128" i="8"/>
  <c r="H129" i="8"/>
  <c r="I2" i="7"/>
  <c r="T129" i="8"/>
  <c r="U2" i="7"/>
  <c r="B130" i="8"/>
  <c r="N130" i="8"/>
  <c r="D131" i="8"/>
  <c r="E3" i="7"/>
  <c r="P131" i="8"/>
  <c r="Q3" i="7"/>
  <c r="F132" i="8"/>
  <c r="G4" i="7"/>
  <c r="R132" i="8"/>
  <c r="S4" i="7"/>
  <c r="L133" i="8"/>
  <c r="M5" i="7"/>
  <c r="B134" i="8"/>
  <c r="N134" i="8"/>
  <c r="D135" i="8"/>
  <c r="E6" i="7" a="1"/>
  <c r="E6" i="7" s="1"/>
  <c r="P135" i="8"/>
  <c r="Q6" i="7" a="1"/>
  <c r="Q6" i="7" s="1"/>
  <c r="F136" i="8"/>
  <c r="R136" i="8"/>
  <c r="H137" i="8"/>
  <c r="T137" i="8"/>
  <c r="J138" i="8"/>
  <c r="V138" i="8"/>
  <c r="L139" i="8"/>
  <c r="M9" i="7"/>
  <c r="B140" i="8"/>
  <c r="N140" i="8"/>
  <c r="O10" i="7"/>
  <c r="D141" i="8"/>
  <c r="E11" i="7"/>
  <c r="P141" i="8"/>
  <c r="Q11" i="7"/>
  <c r="F142" i="8"/>
  <c r="R142" i="8"/>
  <c r="H143" i="8"/>
  <c r="I12" i="7"/>
  <c r="T143" i="8"/>
  <c r="U12" i="7"/>
  <c r="J144" i="8"/>
  <c r="K13" i="7"/>
  <c r="V144" i="8"/>
  <c r="W13" i="7"/>
  <c r="L145" i="8"/>
  <c r="M14" i="7"/>
  <c r="B146" i="8"/>
  <c r="N146" i="8"/>
  <c r="O15" i="7" a="1"/>
  <c r="O15" i="7" s="1"/>
  <c r="D147" i="8"/>
  <c r="P147" i="8"/>
  <c r="F148" i="8"/>
  <c r="R148" i="8"/>
  <c r="H149" i="8"/>
  <c r="T149" i="8"/>
  <c r="J150" i="8"/>
  <c r="V150" i="8"/>
  <c r="L151" i="8"/>
  <c r="W133" i="8"/>
  <c r="M140" i="8"/>
  <c r="S143" i="8"/>
  <c r="C13" i="7"/>
  <c r="V128" i="8"/>
  <c r="I140" i="8"/>
  <c r="J10" i="7"/>
  <c r="E128" i="8"/>
  <c r="Q128" i="8"/>
  <c r="B33" i="8"/>
  <c r="N33" i="8"/>
  <c r="H42" i="8"/>
  <c r="T42" i="8"/>
  <c r="I51" i="8"/>
  <c r="I153" i="8" s="1"/>
  <c r="J2" i="7"/>
  <c r="U51" i="8"/>
  <c r="U153" i="8" s="1"/>
  <c r="V2" i="7"/>
  <c r="C130" i="8"/>
  <c r="O130" i="8"/>
  <c r="E131" i="8"/>
  <c r="F3" i="7"/>
  <c r="Q131" i="8"/>
  <c r="R3" i="7"/>
  <c r="G132" i="8"/>
  <c r="H4" i="7"/>
  <c r="S132" i="8"/>
  <c r="T4" i="7"/>
  <c r="M133" i="8"/>
  <c r="N5" i="7"/>
  <c r="C134" i="8"/>
  <c r="O134" i="8"/>
  <c r="E135" i="8"/>
  <c r="F6" i="7" a="1"/>
  <c r="F6" i="7" s="1"/>
  <c r="Q135" i="8"/>
  <c r="R6" i="7" a="1"/>
  <c r="R6" i="7" s="1"/>
  <c r="G136" i="8"/>
  <c r="S136" i="8"/>
  <c r="I137" i="8"/>
  <c r="U137" i="8"/>
  <c r="K138" i="8"/>
  <c r="W138" i="8"/>
  <c r="M139" i="8"/>
  <c r="N9" i="7"/>
  <c r="C140" i="8"/>
  <c r="D10" i="7"/>
  <c r="O140" i="8"/>
  <c r="P10" i="7"/>
  <c r="E141" i="8"/>
  <c r="F11" i="7"/>
  <c r="Q141" i="8"/>
  <c r="R11" i="7"/>
  <c r="G142" i="8"/>
  <c r="S142" i="8"/>
  <c r="I143" i="8"/>
  <c r="J12" i="7"/>
  <c r="U143" i="8"/>
  <c r="V12" i="7"/>
  <c r="K144" i="8"/>
  <c r="L13" i="7"/>
  <c r="W144" i="8"/>
  <c r="X13" i="7"/>
  <c r="M145" i="8"/>
  <c r="N14" i="7"/>
  <c r="C146" i="8"/>
  <c r="D15" i="7" a="1"/>
  <c r="D15" i="7" s="1"/>
  <c r="O146" i="8"/>
  <c r="P15" i="7" a="1"/>
  <c r="P15" i="7" s="1"/>
  <c r="E147" i="8"/>
  <c r="Q147" i="8"/>
  <c r="G148" i="8"/>
  <c r="S148" i="8"/>
  <c r="I149" i="8"/>
  <c r="U149" i="8"/>
  <c r="K150" i="8"/>
  <c r="W150" i="8"/>
  <c r="M151" i="8"/>
  <c r="L98" i="8"/>
  <c r="B98" i="8"/>
  <c r="B153" i="8" s="1"/>
  <c r="N98" i="8"/>
  <c r="T140" i="8"/>
  <c r="D144" i="8"/>
  <c r="M132" i="8"/>
  <c r="N4" i="7"/>
  <c r="W135" i="8"/>
  <c r="X6" i="7" a="1"/>
  <c r="X6" i="7" s="1"/>
  <c r="U146" i="8"/>
  <c r="V15" i="7" a="1"/>
  <c r="V15" i="7" s="1"/>
  <c r="O128" i="8"/>
  <c r="S129" i="8"/>
  <c r="T2" i="7"/>
  <c r="O131" i="8"/>
  <c r="P3" i="7"/>
  <c r="F128" i="8"/>
  <c r="R128" i="8"/>
  <c r="E30" i="8"/>
  <c r="Q30" i="8"/>
  <c r="C33" i="8"/>
  <c r="O33" i="8"/>
  <c r="I42" i="8"/>
  <c r="U42" i="8"/>
  <c r="J51" i="8"/>
  <c r="J153" i="8" s="1"/>
  <c r="K2" i="7"/>
  <c r="V51" i="8"/>
  <c r="W2" i="7"/>
  <c r="D130" i="8"/>
  <c r="P130" i="8"/>
  <c r="F131" i="8"/>
  <c r="G3" i="7"/>
  <c r="R131" i="8"/>
  <c r="S3" i="7"/>
  <c r="H132" i="8"/>
  <c r="I4" i="7"/>
  <c r="T132" i="8"/>
  <c r="U4" i="7"/>
  <c r="B133" i="8"/>
  <c r="N133" i="8"/>
  <c r="O5" i="7"/>
  <c r="D134" i="8"/>
  <c r="P134" i="8"/>
  <c r="F135" i="8"/>
  <c r="G6" i="7" a="1"/>
  <c r="G6" i="7" s="1"/>
  <c r="R135" i="8"/>
  <c r="S6" i="7" a="1"/>
  <c r="S6" i="7" s="1"/>
  <c r="H136" i="8"/>
  <c r="T136" i="8"/>
  <c r="J137" i="8"/>
  <c r="V137" i="8"/>
  <c r="L138" i="8"/>
  <c r="B139" i="8"/>
  <c r="N139" i="8"/>
  <c r="O9" i="7"/>
  <c r="D140" i="8"/>
  <c r="E10" i="7"/>
  <c r="P140" i="8"/>
  <c r="Q10" i="7"/>
  <c r="F141" i="8"/>
  <c r="G11" i="7"/>
  <c r="R141" i="8"/>
  <c r="S11" i="7"/>
  <c r="H142" i="8"/>
  <c r="T142" i="8"/>
  <c r="J143" i="8"/>
  <c r="K12" i="7"/>
  <c r="V143" i="8"/>
  <c r="W12" i="7"/>
  <c r="L144" i="8"/>
  <c r="M13" i="7"/>
  <c r="B145" i="8"/>
  <c r="N145" i="8"/>
  <c r="O14" i="7"/>
  <c r="D146" i="8"/>
  <c r="E15" i="7" a="1"/>
  <c r="E15" i="7" s="1"/>
  <c r="P146" i="8"/>
  <c r="Q15" i="7" a="1"/>
  <c r="Q15" i="7" s="1"/>
  <c r="F147" i="8"/>
  <c r="R147" i="8"/>
  <c r="H148" i="8"/>
  <c r="T148" i="8"/>
  <c r="J149" i="8"/>
  <c r="V149" i="8"/>
  <c r="L150" i="8"/>
  <c r="B151" i="8"/>
  <c r="N151" i="8"/>
  <c r="G131" i="8"/>
  <c r="C141" i="8"/>
  <c r="I144" i="8"/>
  <c r="C15" i="7" a="1"/>
  <c r="C15" i="7" s="1"/>
  <c r="H153" i="8"/>
  <c r="G153" i="8"/>
  <c r="N153" i="8"/>
  <c r="Q153" i="8"/>
  <c r="F51" i="8"/>
  <c r="F153" i="8" s="1"/>
  <c r="R51" i="8"/>
  <c r="R153" i="8" s="1"/>
  <c r="I129" i="8"/>
  <c r="U129" i="8"/>
  <c r="S51" i="8"/>
  <c r="S153" i="8" s="1"/>
  <c r="J129" i="8"/>
  <c r="V129" i="8"/>
  <c r="K51" i="8"/>
  <c r="W51" i="8"/>
  <c r="W153" i="8" s="1"/>
  <c r="L51" i="8"/>
  <c r="B129" i="8"/>
  <c r="N129" i="8"/>
  <c r="M51" i="8"/>
  <c r="M153" i="8" s="1"/>
  <c r="C129" i="8"/>
  <c r="O129" i="8"/>
  <c r="D129" i="8"/>
  <c r="P129" i="8"/>
  <c r="E129" i="8"/>
  <c r="Q129" i="8"/>
  <c r="T153" i="8" l="1"/>
  <c r="L153" i="8"/>
  <c r="K153" i="8"/>
  <c r="V153" i="8"/>
  <c r="E153" i="8"/>
  <c r="O153" i="8"/>
  <c r="P153" i="8"/>
  <c r="D153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<sst xmlns="http://schemas.openxmlformats.org/spreadsheetml/2006/main" count="488" uniqueCount="299">
  <si>
    <t>Value added (M€2015)</t>
  </si>
  <si>
    <t>Iron and steel</t>
  </si>
  <si>
    <t>Non-ferrous metals</t>
  </si>
  <si>
    <t>Alumina production</t>
  </si>
  <si>
    <t>Aluminium production</t>
  </si>
  <si>
    <t>Other non-ferrous metals</t>
  </si>
  <si>
    <t>Chemical industry</t>
  </si>
  <si>
    <t xml:space="preserve">Basic chemicals </t>
  </si>
  <si>
    <t>Other chemicals</t>
  </si>
  <si>
    <t>Pharmaceutical products etc.</t>
  </si>
  <si>
    <t>Non-metallic mineral products</t>
  </si>
  <si>
    <t>Cement</t>
  </si>
  <si>
    <t>Ceramics &amp; other NMM</t>
  </si>
  <si>
    <t xml:space="preserve">Glass production </t>
  </si>
  <si>
    <t>Pulp, paper and printing</t>
  </si>
  <si>
    <t>Pulp production</t>
  </si>
  <si>
    <t xml:space="preserve">Paper production </t>
  </si>
  <si>
    <t>Printing and media reproduction</t>
  </si>
  <si>
    <t xml:space="preserve"> Food, beverages and tobacco</t>
  </si>
  <si>
    <t xml:space="preserve"> Transport equipment</t>
  </si>
  <si>
    <t xml:space="preserve"> Machinery equipment</t>
  </si>
  <si>
    <t xml:space="preserve"> Textiles and leather</t>
  </si>
  <si>
    <t xml:space="preserve"> Wood and wood products</t>
  </si>
  <si>
    <t xml:space="preserve"> Other industrial sectors</t>
  </si>
  <si>
    <t>Energy consumption (ktoe)</t>
  </si>
  <si>
    <t>by fuel (EUROSTAT DATA)</t>
  </si>
  <si>
    <t>Solids</t>
  </si>
  <si>
    <t>Hard coal and others</t>
  </si>
  <si>
    <t>Coke</t>
  </si>
  <si>
    <t>Liquids</t>
  </si>
  <si>
    <t>Refinery gas</t>
  </si>
  <si>
    <t>LPG</t>
  </si>
  <si>
    <t>Diesel oil (without biofuels)</t>
  </si>
  <si>
    <t>Fuel oil</t>
  </si>
  <si>
    <t>Other liquids</t>
  </si>
  <si>
    <t>Gases</t>
  </si>
  <si>
    <t>Natural gas</t>
  </si>
  <si>
    <t>Derived gases</t>
  </si>
  <si>
    <t>RES and wastes</t>
  </si>
  <si>
    <t>Biomass and waste</t>
  </si>
  <si>
    <t>Biogas</t>
  </si>
  <si>
    <t>Liquid biofuels</t>
  </si>
  <si>
    <t>Solar</t>
  </si>
  <si>
    <t>Geothermal</t>
  </si>
  <si>
    <t>Ambient heat</t>
  </si>
  <si>
    <t>Distributed steam</t>
  </si>
  <si>
    <t>Electricity</t>
  </si>
  <si>
    <t>by sector</t>
  </si>
  <si>
    <t>Integrated steelworks</t>
  </si>
  <si>
    <t>Electric arc</t>
  </si>
  <si>
    <t>Aluminium - primary production</t>
  </si>
  <si>
    <t>Aluminium - secondary production</t>
  </si>
  <si>
    <t>Non-energy use (ktoe)</t>
  </si>
  <si>
    <t>Diesel oil</t>
  </si>
  <si>
    <t>Naphtha</t>
  </si>
  <si>
    <t>Gas</t>
  </si>
  <si>
    <t>Basic chemicals</t>
  </si>
  <si>
    <t>Other industrial sectors</t>
  </si>
  <si>
    <t>CO2 emissions (kt CO2)</t>
  </si>
  <si>
    <t>Solvent use and other process emissions</t>
  </si>
  <si>
    <t>Value added intensity (toe / M€2015)</t>
  </si>
  <si>
    <t>Emission intensity (kt of CO2 / ktoe)</t>
  </si>
  <si>
    <t>Basic chemicals  (kt of CO2 / ktoe energy)</t>
  </si>
  <si>
    <t>Code</t>
  </si>
  <si>
    <t>Transport activity</t>
  </si>
  <si>
    <t>Passenger transport (mio pkm)</t>
  </si>
  <si>
    <t>Road transport</t>
  </si>
  <si>
    <t>Rail, metro and tram</t>
  </si>
  <si>
    <t>Aviation</t>
  </si>
  <si>
    <t>Domestic</t>
  </si>
  <si>
    <t>International - Intra-EEAwUK</t>
  </si>
  <si>
    <t>International - Extra-EEAwUK</t>
  </si>
  <si>
    <t>Freight transport (mio tkm)</t>
  </si>
  <si>
    <t>Rail transport</t>
  </si>
  <si>
    <t>Domestic navigation</t>
  </si>
  <si>
    <t>International maritime bunkers (mio tkm)</t>
  </si>
  <si>
    <t>Intra-EEA</t>
  </si>
  <si>
    <t>Extra-EEA</t>
  </si>
  <si>
    <t>Passenger transport</t>
  </si>
  <si>
    <t>Freight transport</t>
  </si>
  <si>
    <t>International maritime bunkers</t>
  </si>
  <si>
    <t>CO2 emissions (kt of CO2)</t>
  </si>
  <si>
    <t>Indicators</t>
  </si>
  <si>
    <t>Market shares of activity</t>
  </si>
  <si>
    <t>Passenger transport (% of pkm)</t>
  </si>
  <si>
    <t>Freight transport (% of tkm)</t>
  </si>
  <si>
    <t>International maritime bunkers (% of international tkm)</t>
  </si>
  <si>
    <t>Shares of total energy consumption (%)</t>
  </si>
  <si>
    <t>Shares of CO2 emissions (%)</t>
  </si>
  <si>
    <t>Energy consumption per activity</t>
  </si>
  <si>
    <t>Passenger transport (kgoe / kpkm)</t>
  </si>
  <si>
    <t>Freight transport (kgoe / ktkm)</t>
  </si>
  <si>
    <t>International maritime bunkers (kgoe / ktkm)</t>
  </si>
  <si>
    <t>Emission intensity</t>
  </si>
  <si>
    <t>Passenger transport (g of CO2 / pkm)</t>
  </si>
  <si>
    <t>Freight transport (g of CO2 / tkm)</t>
  </si>
  <si>
    <t>Pharmaceutical products</t>
  </si>
  <si>
    <t>Ceramics &amp; other non metallic minerals</t>
  </si>
  <si>
    <t>Glass production</t>
  </si>
  <si>
    <t>Pulp</t>
  </si>
  <si>
    <t>Paper</t>
  </si>
  <si>
    <t>Printing</t>
  </si>
  <si>
    <t>Food, beverages and tobacco</t>
  </si>
  <si>
    <t xml:space="preserve">Transport </t>
  </si>
  <si>
    <t>Machinery</t>
  </si>
  <si>
    <t>Textiles and leather</t>
  </si>
  <si>
    <t>Wood and wood products</t>
  </si>
  <si>
    <t>Powered two-wheelers</t>
  </si>
  <si>
    <t>Passenger cars</t>
  </si>
  <si>
    <t>Motor coaches, buses and trolley buses</t>
  </si>
  <si>
    <t>Metro and tram, urban light rail</t>
  </si>
  <si>
    <t>Conventional passenger trains</t>
  </si>
  <si>
    <t>Light commercial vehicles</t>
  </si>
  <si>
    <t>Heavy goods vehicles</t>
  </si>
  <si>
    <t>pkm</t>
  </si>
  <si>
    <t>tkm</t>
  </si>
  <si>
    <t>ktoe</t>
  </si>
  <si>
    <t>Shipping-Domestic coastal shipping</t>
  </si>
  <si>
    <t>Industry</t>
  </si>
  <si>
    <t>Transport</t>
  </si>
  <si>
    <t>Unit</t>
  </si>
  <si>
    <t>Subsector</t>
  </si>
  <si>
    <t>Aviation-Domestic-pass</t>
  </si>
  <si>
    <t>Aviation-Domestic-goods</t>
  </si>
  <si>
    <t>Aviation -International - Intra-EEAwUK - pass</t>
  </si>
  <si>
    <t>Aviation-International - Extra-EEAwUK - pass</t>
  </si>
  <si>
    <t>Aviation-International - Intra-EEAwUK - goods</t>
  </si>
  <si>
    <t>Aviation-International - Extra-EEAwUK - goods</t>
  </si>
  <si>
    <t>Other non-ferrous metals (kt lead eq.)</t>
  </si>
  <si>
    <t>Basic chemicals (kt ethylene eq.)</t>
  </si>
  <si>
    <t>Other chemicals (kt ethylene eq.)</t>
  </si>
  <si>
    <t>Pharmaceutical products etc. (kt ethylene eq.)</t>
  </si>
  <si>
    <t>Ceramics &amp; other NMM (kt bricks eq.)</t>
  </si>
  <si>
    <t>Printing and media reproduction (kt paper eq.)</t>
  </si>
  <si>
    <t>Electric arc (kt steel)</t>
  </si>
  <si>
    <t>Integrated steelworks (kt steel)</t>
  </si>
  <si>
    <t>Physical output</t>
  </si>
  <si>
    <t xml:space="preserve">Iron and Steel </t>
  </si>
  <si>
    <t>High speed passenger trains</t>
  </si>
  <si>
    <t>Inland waterways</t>
  </si>
  <si>
    <t>Maritime - Intra -EEA</t>
  </si>
  <si>
    <t>Maritime - Extra -EEA</t>
  </si>
  <si>
    <t>kt steel</t>
  </si>
  <si>
    <t>kt alumina</t>
  </si>
  <si>
    <t>kt aluminium</t>
  </si>
  <si>
    <t>kt lead eq</t>
  </si>
  <si>
    <t>kt ethylene eq</t>
  </si>
  <si>
    <t>kt bricks eq</t>
  </si>
  <si>
    <t>kt paper eq</t>
  </si>
  <si>
    <t>kt glass</t>
  </si>
  <si>
    <t>kt pulp</t>
  </si>
  <si>
    <t>kt paper</t>
  </si>
  <si>
    <t>kt cement</t>
  </si>
  <si>
    <t>Physical output (kt steel)</t>
  </si>
  <si>
    <t>Alumina production (kt alumina)</t>
  </si>
  <si>
    <t>Aluminium production (kt aluminium)</t>
  </si>
  <si>
    <t>Aluminium - primary production (kt aluminium)</t>
  </si>
  <si>
    <t>Aluminium - secondary production (kt aluminium)</t>
  </si>
  <si>
    <t>Cement (kt Cement)</t>
  </si>
  <si>
    <t>Glass production  (kt glass)</t>
  </si>
  <si>
    <t>Pulp production (kt pulp)</t>
  </si>
  <si>
    <t>Paper production  (kt paper)</t>
  </si>
  <si>
    <t>Transport overview - EU27 - European Union - 27 countries (from 2020)</t>
  </si>
  <si>
    <t>Activity.Mpkm.EU27.Tr</t>
  </si>
  <si>
    <t>Activity.Mpkm.EU27.Tr.Road.Passenger</t>
  </si>
  <si>
    <t>Activity.Mpkm.EU27.Tr.Road.Passenger.P2W</t>
  </si>
  <si>
    <t>Activity.Mpkm.EU27.Tr.Road.Passenger.Car</t>
  </si>
  <si>
    <t>Activity.Mpkm.EU27.Tr.Road.Passenger.Bus</t>
  </si>
  <si>
    <t>Activity.Mpkm.EU27.Tr.Rail.Passenger</t>
  </si>
  <si>
    <t>Activity.Mpkm.EU27.Tr.Rail.Passenger.MTU</t>
  </si>
  <si>
    <t>Activity.Mpkm.EU27.Tr.Rail.Passenger.CPT</t>
  </si>
  <si>
    <t>Activity.Mpkm.EU27.Tr.Rail.Passenger.HST</t>
  </si>
  <si>
    <t>Activity.Mpkm.EU27.Tr.Avia.Passenger</t>
  </si>
  <si>
    <t>Activity.Mpkm.EU27.Tr.Avia.Passenger.Domestic</t>
  </si>
  <si>
    <t>Activity.Mpkm.EU27.Tr.Avia.Passenger.IntraEEAwUK</t>
  </si>
  <si>
    <t>Activity.Mpkm.EU27.Tr.Avia.Passenger.ExtraEEAwUK</t>
  </si>
  <si>
    <t>Activity.Mtkm.EU27.Tr</t>
  </si>
  <si>
    <t>Activity.Mtkm.EU27.Tr.Road.Freight</t>
  </si>
  <si>
    <t>Activity.Mtkm.EU27.Tr.Road.Freight.LCV</t>
  </si>
  <si>
    <t>Activity.Mtkm.EU27.Tr.Road.Freight.HGV</t>
  </si>
  <si>
    <t>Activity.Mtkm.EU27.Tr.Rail.Freight</t>
  </si>
  <si>
    <t>Activity.Mtkm.EU27.Tr.Avia.Freight</t>
  </si>
  <si>
    <t>Activity.Mtkm.EU27.Tr.Avia.Freight.Domestic</t>
  </si>
  <si>
    <t>Activity.Mtkm.EU27.Tr.Avia.Freight.IntraEEAwUK</t>
  </si>
  <si>
    <t>Activity.Mtkm.EU27.Tr.Avia.Freight.ExtraEEAwUK</t>
  </si>
  <si>
    <t>Activity.Mtkm.EU27.Tr.DNavi.Freight</t>
  </si>
  <si>
    <t>Activity.Mtkm.EU27.Tr.DNavi.Freight.DCS</t>
  </si>
  <si>
    <t>Activity.Mtkm.EU27.Tr.DNavi.Freight.IWW</t>
  </si>
  <si>
    <t>Activity.Mtkm.EU27.MBunk.Freight</t>
  </si>
  <si>
    <t>Activity.Mtkm.EU27.MBunk.Freight.IntraEEA</t>
  </si>
  <si>
    <t>Activity.Mtkm.EU27.MBunk.Freight.ExtraEEA</t>
  </si>
  <si>
    <t>FEC.ktoe.EU27.Tr.Road.Passenger</t>
  </si>
  <si>
    <t>FEC.ktoe.EU27.Tr.Road.Passenger.P2W</t>
  </si>
  <si>
    <t>FEC.ktoe.EU27.Tr.Road.Passenger.Car</t>
  </si>
  <si>
    <t>FEC.ktoe.EU27.Tr.Road.Passenger.Bus</t>
  </si>
  <si>
    <t>FEC.ktoe.EU27.Tr.Rail.Passenger</t>
  </si>
  <si>
    <t>FEC.ktoe.EU27.Tr.Rail.Passenger.MTU</t>
  </si>
  <si>
    <t>FEC.ktoe.EU27.Tr.Rail.Passenger.CPT</t>
  </si>
  <si>
    <t>FEC.ktoe.EU27.Tr.Rail.Passenger.HST</t>
  </si>
  <si>
    <t>FEC.ktoe.EU27.Tr.Avia.Passenger</t>
  </si>
  <si>
    <t>FEC.ktoe.EU27.Tr.Avia.Passenger.Domestic</t>
  </si>
  <si>
    <t>FEC.ktoe.EU27.Tr.Avia.Passenger.IntraEEAwUK</t>
  </si>
  <si>
    <t>FEC.ktoe.EU27.Tr.Avia.Passenger.ExtraEEAwUK</t>
  </si>
  <si>
    <t>FEC.ktoe.EU27.Tr.Road.Freight</t>
  </si>
  <si>
    <t>FEC.ktoe.EU27.Tr.Road.Freight.LCV</t>
  </si>
  <si>
    <t>FEC.ktoe.EU27.Tr.Road.Freight.HGV</t>
  </si>
  <si>
    <t>FEC.ktoe.EU27.Tr.Rail.Freight</t>
  </si>
  <si>
    <t>FEC.ktoe.EU27.Tr.Avia.Freight</t>
  </si>
  <si>
    <t>FEC.ktoe.EU27.Tr.Avia.Freight.Domestic</t>
  </si>
  <si>
    <t>FEC.ktoe.EU27.Tr.Avia.Freight.IntraEEAwUK</t>
  </si>
  <si>
    <t>FEC.ktoe.EU27.Tr.Avia.Freight.ExtraEEAwUK</t>
  </si>
  <si>
    <t>FEC.ktoe.EU27.Tr.DNavi</t>
  </si>
  <si>
    <t>FEC.ktoe.EU27.Tr.Dnavi.DCS</t>
  </si>
  <si>
    <t>FEC.ktoe.EU27.Tr.Dnavi.IWW</t>
  </si>
  <si>
    <t>FEC.ktoe.EU27.MBunk</t>
  </si>
  <si>
    <t>FEC.ktoe.EU27.MBunk.IntraEEA</t>
  </si>
  <si>
    <t>FEC.ktoe.EU27.MBunk.ExtraEEA</t>
  </si>
  <si>
    <t>EMI.ktCO2.EU27.Tr.Road.Passenger</t>
  </si>
  <si>
    <t>EMI.ktCO2.EU27.Tr.Road.Passenger.P2W</t>
  </si>
  <si>
    <t>EMI.ktCO2.EU27.Tr.Road.Passenger.Car</t>
  </si>
  <si>
    <t>EMI.ktCO2.EU27.Tr.Road.Passenger.Bus</t>
  </si>
  <si>
    <t>EMI.ktCO2.EU27.Tr.Rail.Passenger</t>
  </si>
  <si>
    <t>EMI.ktCO2.EU27.Tr.Rail.Passenger.MTU</t>
  </si>
  <si>
    <t>EMI.ktCO2.EU27.Tr.Rail.Passenger.CPT</t>
  </si>
  <si>
    <t>EMI.ktCO2.EU27.Tr.Rail.Passenger.HST</t>
  </si>
  <si>
    <t>EMI.ktCO2.EU27.Tr.Avia.Passenger</t>
  </si>
  <si>
    <t>EMI.ktCO2.EU27.Tr.Avia.Passenger.Domestic</t>
  </si>
  <si>
    <t>EMI.ktCO2.EU27.Tr.Avia.Passenger.IntraEEAwUK</t>
  </si>
  <si>
    <t>EMI.ktCO2.EU27.Tr.Avia.Passenger.ExtraEEAwUK</t>
  </si>
  <si>
    <t>EMI.ktCO2.EU27.Tr.Road.Freight</t>
  </si>
  <si>
    <t>EMI.ktCO2.EU27.Tr.Road.Freight.LCV</t>
  </si>
  <si>
    <t>EMI.ktCO2.EU27.Tr.Road.Freight.HGV</t>
  </si>
  <si>
    <t>EMI.ktCO2.EU27.Tr.Rail.Freight</t>
  </si>
  <si>
    <t>EMI.ktCO2.EU27.Tr.Avia.Freight</t>
  </si>
  <si>
    <t>EMI.ktCO2.EU27.Tr.Avia.Freight.Domestic</t>
  </si>
  <si>
    <t>EMI.ktCO2.EU27.Tr.Avia.Freight.IntraEEAwUK</t>
  </si>
  <si>
    <t>EMI.ktCO2.EU27.Tr.Avia.Freight.ExtraEEAwUK</t>
  </si>
  <si>
    <t>EMI.ktCO2.EU27.Tr.DNavi</t>
  </si>
  <si>
    <t>EMI.ktCO2.EU27.Tr.Dnavi.DCS</t>
  </si>
  <si>
    <t>EMI.ktCO2.EU27.Tr.Dnavi.IWW</t>
  </si>
  <si>
    <t>EMI.ktCO2.EU27.MBunk</t>
  </si>
  <si>
    <t>EMI.ktCO2.EU27.MBunk.IntraEEA</t>
  </si>
  <si>
    <t>EMI.ktCO2.EU27.MBunk.ExtraEEA</t>
  </si>
  <si>
    <t>Eff.kgoe_per_kpkm.EU27.Tr</t>
  </si>
  <si>
    <t>Eff.kgoe_per_kpkm.EU27.Tr.Road.Passenger</t>
  </si>
  <si>
    <t>Eff.kgoe_per_kpkm.EU27.Tr.Road.Passenger.P2W</t>
  </si>
  <si>
    <t>Eff.kgoe_per_kpkm.EU27.Tr.Road.Passenger.Car</t>
  </si>
  <si>
    <t>Eff.kgoe_per_kpkm.EU27.Tr.Road.Passenger.Bus</t>
  </si>
  <si>
    <t>Eff.kgoe_per_kpkm.EU27.Tr.Rail.Passenger</t>
  </si>
  <si>
    <t>Eff.kgoe_per_kpkm.EU27.Tr.Rail.Passenger.MTU</t>
  </si>
  <si>
    <t>Eff.kgoe_per_kpkm.EU27.Tr.Rail.Passenger.CPT</t>
  </si>
  <si>
    <t>Eff.kgoe_per_kpkm.EU27.Tr.Rail.Passenger.HST</t>
  </si>
  <si>
    <t>Eff.kgoe_per_kpkm.EU27.Tr.Avia.Passenger</t>
  </si>
  <si>
    <t>Eff.kgoe_per_kpkm.EU27.Tr.Avia.Passenger.Domestic</t>
  </si>
  <si>
    <t>Eff.kgoe_per_kpkm.EU27.Tr.Avia.Passenger.IntraEEAwUK</t>
  </si>
  <si>
    <t>Eff.kgoe_per_kpkm.EU27.Tr.Avia.Passenger.ExtraEEAwUK</t>
  </si>
  <si>
    <t>Eff.kgoe_per_ktkm.EU27.Tr</t>
  </si>
  <si>
    <t>Eff.kgoe_per_ktkm.EU27.Tr.Road.Freight</t>
  </si>
  <si>
    <t>Eff.kgoe_per_ktkm.EU27.Tr.Road.Freight.LCV</t>
  </si>
  <si>
    <t>Eff.kgoe_per_ktkm.EU27.Tr.Road.Freight.HGV</t>
  </si>
  <si>
    <t>Eff.kgoe_per_ktkm.EU27.Tr.Rail.Freight</t>
  </si>
  <si>
    <t>Eff.kgoe_per_ktkm.EU27.Tr.Avia.Freight</t>
  </si>
  <si>
    <t>Eff.kgoe_per_ktkm.EU27.Tr.Avia.Freight.Domestic</t>
  </si>
  <si>
    <t>Eff.kgoe_per_ktkm.EU27.Tr.Avia.Freight.IntraEEAwUK</t>
  </si>
  <si>
    <t>Eff.kgoe_per_ktkm.EU27.Tr.Avia.Freight.ExtraEEAwUK</t>
  </si>
  <si>
    <t>Eff.kgoe_per_ktkm.EU27.Tr.DNavi.Freight</t>
  </si>
  <si>
    <t>Eff.kgoe_per_ktkm.EU27.Tr.DNavi.Freight.DCS</t>
  </si>
  <si>
    <t>Eff.kgoe_per_ktkm.EU27.Tr.DNavi.Freight.IWW</t>
  </si>
  <si>
    <t>Eff.kgoe_per_ktkm.EU27.MBunk.Freight</t>
  </si>
  <si>
    <t>Eff.kgoe_per_ktkm.EU27.MBunk.Freight.IntraEEA</t>
  </si>
  <si>
    <t>Eff.kgoe_per_ktkm.EU27.MBunk.Freight.ExtraEEA</t>
  </si>
  <si>
    <t>EMIint.gCO2_per_pkm.EU27.Tr</t>
  </si>
  <si>
    <t>EMIint.gCO2_per_pkm.EU27.Tr.Road.Passenger</t>
  </si>
  <si>
    <t>EMIint.gCO2_per_pkm.EU27.Tr.Road.Passenger.P2W</t>
  </si>
  <si>
    <t>EMIint.gCO2_per_pkm.EU27.Tr.Road.Passenger.Car</t>
  </si>
  <si>
    <t>EMIint.gCO2_per_pkm.EU27.Tr.Road.Passenger.Bus</t>
  </si>
  <si>
    <t>EMIint.gCO2_per_pkm.EU27.Tr.Rail.Passenger</t>
  </si>
  <si>
    <t>EMIint.gCO2_per_pkm.EU27.Tr.Rail.Passenger.MTU</t>
  </si>
  <si>
    <t>EMIint.gCO2_per_pkm.EU27.Tr.Rail.Passenger.CPT</t>
  </si>
  <si>
    <t>EMIint.gCO2_per_pkm.EU27.Tr.Rail.Passenger.HST</t>
  </si>
  <si>
    <t>EMIint.gCO2_per_pkm.EU27.Tr.Avia.Passenger</t>
  </si>
  <si>
    <t>EMIint.gCO2_per_pkm.EU27.Tr.Avia.Passenger.Domestic</t>
  </si>
  <si>
    <t>EMIint.gCO2_per_pkm.EU27.Tr.Avia.Passenger.IntraEEAwUK</t>
  </si>
  <si>
    <t>EMIint.gCO2_per_pkm.EU27.Tr.Avia.Passenger.ExtraEEAwUK</t>
  </si>
  <si>
    <t>EMIint.gCO2_per_tkm.EU27.Tr</t>
  </si>
  <si>
    <t>EMIint.gCO2_per_tkm.EU27.Tr.Road.Freight</t>
  </si>
  <si>
    <t>EMIint.gCO2_per_tkm.EU27.Tr.Road.Freight.LCV</t>
  </si>
  <si>
    <t>EMIint.gCO2_per_tkm.EU27.Tr.Road.Freight.HGV</t>
  </si>
  <si>
    <t>EMIint.gCO2_per_tkm.EU27.Tr.Rail.Freight</t>
  </si>
  <si>
    <t>EMIint.gCO2_per_tkm.EU27.Tr.Avia.Freight</t>
  </si>
  <si>
    <t>EMIint.gCO2_per_tkm.EU27.Tr.Avia.Freight.Domestic</t>
  </si>
  <si>
    <t>EMIint.gCO2_per_tkm.EU27.Tr.Avia.Freight.IntraEEAwUK</t>
  </si>
  <si>
    <t>EMIint.gCO2_per_tkm.EU27.Tr.Avia.Freight.ExtraEEAwUK</t>
  </si>
  <si>
    <t>EMIint.gCO2_per_tkm.EU27.Tr.DNavi.Freight</t>
  </si>
  <si>
    <t>EMIint.gCO2_per_tkm.EU27.Tr.DNavi.Freight.DCS</t>
  </si>
  <si>
    <t>EMIint.gCO2_per_tkm.EU27.Tr.DNavi.Freight.IWW</t>
  </si>
  <si>
    <t>EMIint.gCO2_per_tkm.EU27.MBunk.Freight</t>
  </si>
  <si>
    <t>EMIint.gCO2_per_tkm.EU27.MBunk.Freight.IntraEEA</t>
  </si>
  <si>
    <t>EMIint.gCO2_per_tkm.EU27.MBunk.Freight.ExtraEEA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</si>
</sst>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#,##0.00;\-#,##0.00;&quot;-&quot;"/>
    <numFmt numFmtId="165" formatCode="#,##0.0"/>
    <numFmt numFmtId="166" formatCode="#,##0;\-#,##0;&quot;-&quot;"/>
    <numFmt numFmtId="167" formatCode="#,##0.000;\-#,##0.000;&quot;-&quot;"/>
    <numFmt numFmtId="168" formatCode="#,##0.0;\-#,##0.0;&quot;-&quot;"/>
    <numFmt numFmtId="169" formatCode="0.00%;\-0.00%;&quot;-&quot;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color theme="3" tint="-0.499984740745262"/>
      <name val="Aptos Narrow"/>
      <family val="2"/>
      <scheme val="minor"/>
    </font>
    <font>
      <sz val="8"/>
      <name val="Aptos Narrow"/>
      <family val="2"/>
      <scheme val="minor"/>
    </font>
    <font>
      <b/>
      <sz val="10"/>
      <color rgb="FF050505"/>
      <name val="Aptos Narrow"/>
      <family val="2"/>
      <scheme val="minor"/>
    </font>
    <font>
      <b/>
      <sz val="8"/>
      <color rgb="FF050505"/>
      <name val="Aptos Narrow"/>
      <family val="2"/>
      <scheme val="minor"/>
    </font>
    <font>
      <sz val="8"/>
      <color rgb="FF050505"/>
      <name val="Aptos Narrow"/>
      <family val="2"/>
      <scheme val="minor"/>
    </font>
    <font>
      <i/>
      <sz val="8"/>
      <color rgb="FF050505"/>
      <name val="Aptos Narrow"/>
      <family val="2"/>
      <scheme val="minor"/>
    </font>
    <font>
      <b/>
      <sz val="8"/>
      <color rgb="FF00143C"/>
      <name val="Aptos Narrow"/>
      <family val="2"/>
      <scheme val="minor"/>
    </font>
    <font>
      <sz val="8"/>
      <color rgb="FF00143C"/>
      <name val="Aptos Narrow"/>
      <family val="2"/>
      <scheme val="minor"/>
    </font>
    <font>
      <i/>
      <sz val="8"/>
      <color rgb="FF00143C"/>
      <name val="Aptos Narrow"/>
      <family val="2"/>
      <scheme val="minor"/>
    </font>
    <font>
      <b/>
      <sz val="10"/>
      <color rgb="FF00143C"/>
      <name val="Aptos Narrow"/>
      <family val="2"/>
      <scheme val="minor"/>
    </font>
    <font>
      <sz val="10"/>
      <color rgb="FF00143C"/>
      <name val="Aptos Narrow"/>
      <family val="2"/>
      <scheme val="minor"/>
    </font>
    <font>
      <sz val="8"/>
      <color rgb="FFBE0000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BEBEBE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dotted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auto="1"/>
      </bottom>
      <diagonal/>
    </border>
  </borders>
  <cellStyleXfs count="8">
    <xf numFmtId="0" fontId="0" fillId="0" borderId="0"/>
    <xf numFmtId="9" fontId="1" fillId="0" borderId="0"/>
    <xf numFmtId="43" fontId="1" fillId="0" borderId="0"/>
    <xf numFmtId="0" fontId="2" fillId="0" borderId="0"/>
    <xf numFmtId="0" fontId="3" fillId="0" borderId="0"/>
    <xf numFmtId="9" fontId="2" fillId="0" borderId="0"/>
    <xf numFmtId="9" fontId="3" fillId="0" borderId="0"/>
    <xf numFmtId="0" fontId="1" fillId="0" borderId="0"/>
  </cellStyleXfs>
  <cellXfs count="89">
    <xf numFmtId="0" fontId="0" fillId="0" borderId="0" xfId="0"/>
    <xf numFmtId="0" fontId="6" fillId="3" borderId="2" xfId="7" applyFont="1" applyFill="1" applyBorder="1" applyAlignment="1">
      <alignment horizontal="left" vertical="center"/>
    </xf>
    <xf numFmtId="0" fontId="6" fillId="3" borderId="2" xfId="3" applyFont="1" applyFill="1" applyBorder="1" applyAlignment="1">
      <alignment horizontal="left" vertical="center"/>
    </xf>
    <xf numFmtId="1" fontId="7" fillId="3" borderId="2" xfId="3" applyNumberFormat="1" applyFont="1" applyFill="1" applyBorder="1" applyAlignment="1">
      <alignment horizontal="center" vertical="center"/>
    </xf>
    <xf numFmtId="0" fontId="4" fillId="2" borderId="0" xfId="3" applyFont="1" applyFill="1" applyAlignment="1">
      <alignment horizontal="left" vertical="center" indent="4"/>
    </xf>
    <xf numFmtId="0" fontId="8" fillId="2" borderId="0" xfId="3" applyFont="1" applyFill="1" applyAlignment="1">
      <alignment horizontal="left" vertical="center" indent="1"/>
    </xf>
    <xf numFmtId="0" fontId="8" fillId="2" borderId="4" xfId="3" applyFont="1" applyFill="1" applyBorder="1" applyAlignment="1">
      <alignment horizontal="left" vertical="center" indent="1"/>
    </xf>
    <xf numFmtId="0" fontId="8" fillId="2" borderId="0" xfId="3" applyFont="1" applyFill="1" applyAlignment="1">
      <alignment horizontal="left" vertical="center" indent="2"/>
    </xf>
    <xf numFmtId="0" fontId="8" fillId="2" borderId="3" xfId="3" applyFont="1" applyFill="1" applyBorder="1" applyAlignment="1">
      <alignment horizontal="left" vertical="center" indent="1"/>
    </xf>
    <xf numFmtId="0" fontId="8" fillId="2" borderId="1" xfId="3" applyFont="1" applyFill="1" applyBorder="1" applyAlignment="1">
      <alignment horizontal="left" vertical="center" indent="1"/>
    </xf>
    <xf numFmtId="0" fontId="8" fillId="2" borderId="7" xfId="3" applyFont="1" applyFill="1" applyBorder="1" applyAlignment="1">
      <alignment horizontal="left" vertical="center" indent="2"/>
    </xf>
    <xf numFmtId="0" fontId="8" fillId="2" borderId="0" xfId="3" applyFont="1" applyFill="1" applyAlignment="1">
      <alignment horizontal="left" vertical="center" indent="3"/>
    </xf>
    <xf numFmtId="0" fontId="8" fillId="2" borderId="4" xfId="3" applyFont="1" applyFill="1" applyBorder="1" applyAlignment="1">
      <alignment horizontal="left" vertical="center" indent="2"/>
    </xf>
    <xf numFmtId="0" fontId="8" fillId="2" borderId="3" xfId="3" applyFont="1" applyFill="1" applyBorder="1" applyAlignment="1">
      <alignment horizontal="left" vertical="center" indent="2"/>
    </xf>
    <xf numFmtId="0" fontId="8" fillId="2" borderId="1" xfId="3" applyFont="1" applyFill="1" applyBorder="1" applyAlignment="1">
      <alignment horizontal="left" vertical="center" indent="2"/>
    </xf>
    <xf numFmtId="0" fontId="9" fillId="2" borderId="6" xfId="3" applyFont="1" applyFill="1" applyBorder="1" applyAlignment="1">
      <alignment horizontal="left" vertical="center" indent="4"/>
    </xf>
    <xf numFmtId="0" fontId="9" fillId="2" borderId="5" xfId="3" applyFont="1" applyFill="1" applyBorder="1" applyAlignment="1">
      <alignment horizontal="left" vertical="center" indent="4"/>
    </xf>
    <xf numFmtId="0" fontId="8" fillId="2" borderId="9" xfId="3" applyFont="1" applyFill="1" applyBorder="1" applyAlignment="1">
      <alignment horizontal="left" vertical="center" indent="2"/>
    </xf>
    <xf numFmtId="0" fontId="8" fillId="2" borderId="7" xfId="3" applyFont="1" applyFill="1" applyBorder="1" applyAlignment="1">
      <alignment horizontal="left" vertical="center" indent="1"/>
    </xf>
    <xf numFmtId="0" fontId="9" fillId="2" borderId="6" xfId="3" applyFont="1" applyFill="1" applyBorder="1" applyAlignment="1">
      <alignment horizontal="left" vertical="center" indent="3"/>
    </xf>
    <xf numFmtId="0" fontId="9" fillId="2" borderId="5" xfId="3" applyFont="1" applyFill="1" applyBorder="1" applyAlignment="1">
      <alignment horizontal="left" vertical="center" indent="3"/>
    </xf>
    <xf numFmtId="0" fontId="8" fillId="2" borderId="8" xfId="3" applyFont="1" applyFill="1" applyBorder="1" applyAlignment="1">
      <alignment horizontal="left" vertical="center" indent="1"/>
    </xf>
    <xf numFmtId="0" fontId="12" fillId="2" borderId="2" xfId="3" applyFont="1" applyFill="1" applyBorder="1" applyAlignment="1">
      <alignment horizontal="left" vertical="center" indent="1"/>
    </xf>
    <xf numFmtId="0" fontId="10" fillId="4" borderId="2" xfId="3" applyFont="1" applyFill="1" applyBorder="1" applyAlignment="1">
      <alignment horizontal="left" vertical="center"/>
    </xf>
    <xf numFmtId="0" fontId="12" fillId="5" borderId="2" xfId="3" applyFont="1" applyFill="1" applyBorder="1" applyAlignment="1">
      <alignment horizontal="left" vertical="center" indent="1"/>
    </xf>
    <xf numFmtId="168" fontId="11" fillId="4" borderId="2" xfId="3" applyNumberFormat="1" applyFont="1" applyFill="1" applyBorder="1" applyAlignment="1">
      <alignment vertical="center"/>
    </xf>
    <xf numFmtId="168" fontId="8" fillId="2" borderId="0" xfId="3" applyNumberFormat="1" applyFont="1" applyFill="1" applyAlignment="1">
      <alignment vertical="center"/>
    </xf>
    <xf numFmtId="168" fontId="8" fillId="2" borderId="4" xfId="3" applyNumberFormat="1" applyFont="1" applyFill="1" applyBorder="1" applyAlignment="1">
      <alignment vertical="center"/>
    </xf>
    <xf numFmtId="168" fontId="8" fillId="2" borderId="3" xfId="3" applyNumberFormat="1" applyFont="1" applyFill="1" applyBorder="1" applyAlignment="1">
      <alignment vertical="center"/>
    </xf>
    <xf numFmtId="168" fontId="8" fillId="2" borderId="1" xfId="3" applyNumberFormat="1" applyFont="1" applyFill="1" applyBorder="1" applyAlignment="1">
      <alignment vertical="center"/>
    </xf>
    <xf numFmtId="168" fontId="11" fillId="2" borderId="2" xfId="3" applyNumberFormat="1" applyFont="1" applyFill="1" applyBorder="1" applyAlignment="1">
      <alignment vertical="center"/>
    </xf>
    <xf numFmtId="168" fontId="8" fillId="2" borderId="7" xfId="3" applyNumberFormat="1" applyFont="1" applyFill="1" applyBorder="1" applyAlignment="1">
      <alignment vertical="center"/>
    </xf>
    <xf numFmtId="168" fontId="11" fillId="5" borderId="2" xfId="3" applyNumberFormat="1" applyFont="1" applyFill="1" applyBorder="1" applyAlignment="1">
      <alignment vertical="center"/>
    </xf>
    <xf numFmtId="168" fontId="9" fillId="2" borderId="6" xfId="3" applyNumberFormat="1" applyFont="1" applyFill="1" applyBorder="1" applyAlignment="1">
      <alignment vertical="center"/>
    </xf>
    <xf numFmtId="168" fontId="9" fillId="2" borderId="5" xfId="3" applyNumberFormat="1" applyFont="1" applyFill="1" applyBorder="1" applyAlignment="1">
      <alignment vertical="center"/>
    </xf>
    <xf numFmtId="168" fontId="8" fillId="2" borderId="9" xfId="3" applyNumberFormat="1" applyFont="1" applyFill="1" applyBorder="1" applyAlignment="1">
      <alignment vertical="center"/>
    </xf>
    <xf numFmtId="168" fontId="8" fillId="2" borderId="8" xfId="3" applyNumberFormat="1" applyFont="1" applyFill="1" applyBorder="1" applyAlignment="1">
      <alignment vertical="center"/>
    </xf>
    <xf numFmtId="164" fontId="11" fillId="4" borderId="2" xfId="3" applyNumberFormat="1" applyFont="1" applyFill="1" applyBorder="1" applyAlignment="1">
      <alignment vertical="center"/>
    </xf>
    <xf numFmtId="164" fontId="8" fillId="2" borderId="7" xfId="3" applyNumberFormat="1" applyFont="1" applyFill="1" applyBorder="1" applyAlignment="1">
      <alignment vertical="center"/>
    </xf>
    <xf numFmtId="164" fontId="8" fillId="2" borderId="0" xfId="3" applyNumberFormat="1" applyFont="1" applyFill="1" applyAlignment="1">
      <alignment vertical="center"/>
    </xf>
    <xf numFmtId="164" fontId="8" fillId="2" borderId="4" xfId="3" applyNumberFormat="1" applyFont="1" applyFill="1" applyBorder="1" applyAlignment="1">
      <alignment vertical="center"/>
    </xf>
    <xf numFmtId="164" fontId="9" fillId="2" borderId="6" xfId="3" applyNumberFormat="1" applyFont="1" applyFill="1" applyBorder="1" applyAlignment="1">
      <alignment vertical="center"/>
    </xf>
    <xf numFmtId="164" fontId="9" fillId="2" borderId="5" xfId="3" applyNumberFormat="1" applyFont="1" applyFill="1" applyBorder="1" applyAlignment="1">
      <alignment vertical="center"/>
    </xf>
    <xf numFmtId="164" fontId="8" fillId="2" borderId="3" xfId="3" applyNumberFormat="1" applyFont="1" applyFill="1" applyBorder="1" applyAlignment="1">
      <alignment vertical="center"/>
    </xf>
    <xf numFmtId="164" fontId="8" fillId="2" borderId="1" xfId="3" applyNumberFormat="1" applyFont="1" applyFill="1" applyBorder="1" applyAlignment="1">
      <alignment vertical="center"/>
    </xf>
    <xf numFmtId="1" fontId="7" fillId="3" borderId="2" xfId="7" applyNumberFormat="1" applyFont="1" applyFill="1" applyBorder="1" applyAlignment="1">
      <alignment horizontal="center" vertical="center"/>
    </xf>
    <xf numFmtId="0" fontId="5" fillId="0" borderId="0" xfId="7" applyFont="1" applyAlignment="1">
      <alignment vertical="center"/>
    </xf>
    <xf numFmtId="1" fontId="7" fillId="3" borderId="2" xfId="7" applyNumberFormat="1" applyFont="1" applyFill="1" applyBorder="1" applyAlignment="1">
      <alignment horizontal="center" vertical="center" shrinkToFit="1"/>
    </xf>
    <xf numFmtId="0" fontId="8" fillId="2" borderId="0" xfId="7" applyFont="1" applyFill="1" applyAlignment="1">
      <alignment vertical="center"/>
    </xf>
    <xf numFmtId="0" fontId="8" fillId="2" borderId="0" xfId="7" applyFont="1" applyFill="1" applyAlignment="1">
      <alignment vertical="center" shrinkToFit="1"/>
    </xf>
    <xf numFmtId="0" fontId="10" fillId="4" borderId="2" xfId="7" applyFont="1" applyFill="1" applyBorder="1" applyAlignment="1">
      <alignment horizontal="left" vertical="center"/>
    </xf>
    <xf numFmtId="165" fontId="11" fillId="4" borderId="2" xfId="7" applyNumberFormat="1" applyFont="1" applyFill="1" applyBorder="1" applyAlignment="1">
      <alignment vertical="center"/>
    </xf>
    <xf numFmtId="0" fontId="11" fillId="4" borderId="2" xfId="7" applyFont="1" applyFill="1" applyBorder="1" applyAlignment="1">
      <alignment vertical="center" shrinkToFit="1"/>
    </xf>
    <xf numFmtId="0" fontId="15" fillId="5" borderId="2" xfId="7" applyFont="1" applyFill="1" applyBorder="1" applyAlignment="1">
      <alignment horizontal="left" vertical="center" indent="1"/>
    </xf>
    <xf numFmtId="166" fontId="15" fillId="5" borderId="2" xfId="7" applyNumberFormat="1" applyFont="1" applyFill="1" applyBorder="1" applyAlignment="1">
      <alignment vertical="center"/>
    </xf>
    <xf numFmtId="0" fontId="15" fillId="5" borderId="2" xfId="7" applyFont="1" applyFill="1" applyBorder="1" applyAlignment="1">
      <alignment vertical="center" shrinkToFit="1"/>
    </xf>
    <xf numFmtId="0" fontId="8" fillId="2" borderId="7" xfId="7" applyFont="1" applyFill="1" applyBorder="1" applyAlignment="1">
      <alignment horizontal="left" vertical="center" indent="2"/>
    </xf>
    <xf numFmtId="166" fontId="8" fillId="2" borderId="7" xfId="7" applyNumberFormat="1" applyFont="1" applyFill="1" applyBorder="1" applyAlignment="1">
      <alignment vertical="center"/>
    </xf>
    <xf numFmtId="0" fontId="8" fillId="2" borderId="7" xfId="7" applyFont="1" applyFill="1" applyBorder="1" applyAlignment="1">
      <alignment vertical="center" shrinkToFit="1"/>
    </xf>
    <xf numFmtId="0" fontId="8" fillId="2" borderId="0" xfId="7" applyFont="1" applyFill="1" applyAlignment="1">
      <alignment horizontal="left" vertical="center" indent="3"/>
    </xf>
    <xf numFmtId="166" fontId="8" fillId="2" borderId="0" xfId="7" applyNumberFormat="1" applyFont="1" applyFill="1" applyAlignment="1">
      <alignment vertical="center"/>
    </xf>
    <xf numFmtId="0" fontId="8" fillId="2" borderId="4" xfId="7" applyFont="1" applyFill="1" applyBorder="1" applyAlignment="1">
      <alignment horizontal="left" vertical="center" indent="2"/>
    </xf>
    <xf numFmtId="166" fontId="8" fillId="2" borderId="4" xfId="7" applyNumberFormat="1" applyFont="1" applyFill="1" applyBorder="1" applyAlignment="1">
      <alignment vertical="center"/>
    </xf>
    <xf numFmtId="0" fontId="8" fillId="2" borderId="4" xfId="7" applyFont="1" applyFill="1" applyBorder="1" applyAlignment="1">
      <alignment vertical="center" shrinkToFit="1"/>
    </xf>
    <xf numFmtId="0" fontId="8" fillId="2" borderId="10" xfId="7" applyFont="1" applyFill="1" applyBorder="1" applyAlignment="1">
      <alignment horizontal="left" vertical="center" indent="3"/>
    </xf>
    <xf numFmtId="166" fontId="8" fillId="2" borderId="10" xfId="7" applyNumberFormat="1" applyFont="1" applyFill="1" applyBorder="1" applyAlignment="1">
      <alignment vertical="center"/>
    </xf>
    <xf numFmtId="0" fontId="8" fillId="2" borderId="10" xfId="7" applyFont="1" applyFill="1" applyBorder="1" applyAlignment="1">
      <alignment vertical="center" shrinkToFit="1"/>
    </xf>
    <xf numFmtId="0" fontId="8" fillId="2" borderId="1" xfId="7" applyFont="1" applyFill="1" applyBorder="1" applyAlignment="1">
      <alignment horizontal="left" vertical="center" indent="3"/>
    </xf>
    <xf numFmtId="166" fontId="8" fillId="2" borderId="1" xfId="7" applyNumberFormat="1" applyFont="1" applyFill="1" applyBorder="1" applyAlignment="1">
      <alignment vertical="center"/>
    </xf>
    <xf numFmtId="0" fontId="8" fillId="2" borderId="1" xfId="7" applyFont="1" applyFill="1" applyBorder="1" applyAlignment="1">
      <alignment vertical="center" shrinkToFit="1"/>
    </xf>
    <xf numFmtId="166" fontId="11" fillId="4" borderId="2" xfId="7" applyNumberFormat="1" applyFont="1" applyFill="1" applyBorder="1" applyAlignment="1">
      <alignment vertical="center"/>
    </xf>
    <xf numFmtId="0" fontId="13" fillId="6" borderId="2" xfId="7" applyFont="1" applyFill="1" applyBorder="1" applyAlignment="1">
      <alignment horizontal="left" vertical="center"/>
    </xf>
    <xf numFmtId="167" fontId="14" fillId="6" borderId="2" xfId="7" applyNumberFormat="1" applyFont="1" applyFill="1" applyBorder="1" applyAlignment="1">
      <alignment vertical="center"/>
    </xf>
    <xf numFmtId="0" fontId="14" fillId="6" borderId="2" xfId="7" applyFont="1" applyFill="1" applyBorder="1" applyAlignment="1">
      <alignment vertical="center" shrinkToFit="1"/>
    </xf>
    <xf numFmtId="169" fontId="11" fillId="4" borderId="2" xfId="7" applyNumberFormat="1" applyFont="1" applyFill="1" applyBorder="1" applyAlignment="1">
      <alignment vertical="center"/>
    </xf>
    <xf numFmtId="169" fontId="15" fillId="5" borderId="2" xfId="7" applyNumberFormat="1" applyFont="1" applyFill="1" applyBorder="1" applyAlignment="1">
      <alignment vertical="center"/>
    </xf>
    <xf numFmtId="169" fontId="8" fillId="2" borderId="7" xfId="7" applyNumberFormat="1" applyFont="1" applyFill="1" applyBorder="1" applyAlignment="1">
      <alignment vertical="center"/>
    </xf>
    <xf numFmtId="169" fontId="8" fillId="2" borderId="0" xfId="7" applyNumberFormat="1" applyFont="1" applyFill="1" applyAlignment="1">
      <alignment vertical="center"/>
    </xf>
    <xf numFmtId="169" fontId="8" fillId="2" borderId="4" xfId="7" applyNumberFormat="1" applyFont="1" applyFill="1" applyBorder="1" applyAlignment="1">
      <alignment vertical="center"/>
    </xf>
    <xf numFmtId="169" fontId="8" fillId="2" borderId="1" xfId="7" applyNumberFormat="1" applyFont="1" applyFill="1" applyBorder="1" applyAlignment="1">
      <alignment vertical="center"/>
    </xf>
    <xf numFmtId="167" fontId="11" fillId="4" borderId="2" xfId="7" applyNumberFormat="1" applyFont="1" applyFill="1" applyBorder="1" applyAlignment="1">
      <alignment vertical="center"/>
    </xf>
    <xf numFmtId="164" fontId="15" fillId="5" borderId="2" xfId="7" applyNumberFormat="1" applyFont="1" applyFill="1" applyBorder="1" applyAlignment="1">
      <alignment vertical="center"/>
    </xf>
    <xf numFmtId="164" fontId="8" fillId="2" borderId="7" xfId="7" applyNumberFormat="1" applyFont="1" applyFill="1" applyBorder="1" applyAlignment="1">
      <alignment vertical="center"/>
    </xf>
    <xf numFmtId="164" fontId="8" fillId="2" borderId="0" xfId="7" applyNumberFormat="1" applyFont="1" applyFill="1" applyAlignment="1">
      <alignment vertical="center"/>
    </xf>
    <xf numFmtId="164" fontId="8" fillId="2" borderId="4" xfId="7" applyNumberFormat="1" applyFont="1" applyFill="1" applyBorder="1" applyAlignment="1">
      <alignment vertical="center"/>
    </xf>
    <xf numFmtId="164" fontId="8" fillId="2" borderId="1" xfId="7" applyNumberFormat="1" applyFont="1" applyFill="1" applyBorder="1" applyAlignment="1">
      <alignment vertical="center"/>
    </xf>
    <xf numFmtId="0" fontId="5" fillId="0" borderId="0" xfId="7" applyFont="1" applyAlignment="1">
      <alignment vertical="center" shrinkToFit="1"/>
    </xf>
    <xf numFmtId="0" fontId="16" fillId="0" borderId="0" xfId="0" applyFont="1"/>
    <xf numFmtId="0" fontId="4" fillId="2" borderId="0" xfId="3" applyFont="1" applyFill="1" applyAlignment="1">
      <alignment vertical="center"/>
    </xf>
  </cellXfs>
  <cellStyles count="8">
    <cellStyle name="Comma 2" xfId="2" xr:uid="{8289F802-F7E6-491B-938E-3D31ACD066AC}"/>
    <cellStyle name="Normal" xfId="0" builtinId="0"/>
    <cellStyle name="Normal 2" xfId="3" xr:uid="{B7397CA7-7CE6-4CAE-95C8-963442C5D117}"/>
    <cellStyle name="Normal 2 2" xfId="7" xr:uid="{3966770F-31CA-43CA-89EA-BE8144B18942}"/>
    <cellStyle name="Normal 3" xfId="4" xr:uid="{17C24F6D-BCEA-46E4-B01C-25A0CBDE272D}"/>
    <cellStyle name="Percent 2" xfId="5" xr:uid="{9B34FC25-D173-4EEC-A624-8846F44F87F2}"/>
    <cellStyle name="Percent 3" xfId="6" xr:uid="{03F6088D-8D47-4642-8747-585F3FA90E25}"/>
    <cellStyle name="Prozent 2" xfId="1" xr:uid="{DDA6A629-BB6A-4CE7-9F43-815002D1AB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5953</xdr:colOff>
      <xdr:row>1</xdr:row>
      <xdr:rowOff>132556</xdr:rowOff>
    </xdr:from>
    <xdr:to>
      <xdr:col>7</xdr:col>
      <xdr:colOff>82640</xdr:colOff>
      <xdr:row>32</xdr:row>
      <xdr:rowOff>133069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2E9B8714-4803-9517-B45D-8E07B00B186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4247"/>
        <a:stretch/>
      </xdr:blipFill>
      <xdr:spPr>
        <a:xfrm>
          <a:off x="5953" y="400447"/>
          <a:ext cx="5410687" cy="5536919"/>
        </a:xfrm>
        <a:prstGeom prst="rect">
          <a:avLst/>
        </a:prstGeom>
      </xdr:spPr>
    </xdr:pic>
    <xdr:clientData/>
  </xdr:twoCellAnchor>
  <xdr:twoCellAnchor editAs="oneCell">
    <xdr:from>
      <xdr:col>7</xdr:col>
      <xdr:colOff>144780</xdr:colOff>
      <xdr:row>1</xdr:row>
      <xdr:rowOff>175260</xdr:rowOff>
    </xdr:from>
    <xdr:to>
      <xdr:col>14</xdr:col>
      <xdr:colOff>282433</xdr:colOff>
      <xdr:row>25</xdr:row>
      <xdr:rowOff>30848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F08DEBA8-2AE5-03B8-2010-76BEC81D6A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92140" y="358140"/>
          <a:ext cx="5685013" cy="424470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udentcbs-my.sharepoint.com/personal/flv_eco_cbs_dk/Documents/Documents/01_PtX_Markets/JRC_DATA/JRC-IDEES-2021/EU27/JRC-IDEES-2021_Industry_EU27.xlsx" TargetMode="External"/><Relationship Id="rId1" Type="http://schemas.openxmlformats.org/officeDocument/2006/relationships/externalLinkPath" Target="/personal/flv_eco_cbs_dk/Documents/Documents/01_PtX_Markets/JRC_DATA/JRC-IDEES-2021/EU27/JRC-IDEES-2021_Industry_EU27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udentcbs-my.sharepoint.com/personal/flv_eco_cbs_dk/Documents/Documents/01_PtX_Markets/JRC_DATA/JRC-IDEES-2021/EU27/JRC-IDEES-2021_Transport_EU27.xlsx" TargetMode="External"/><Relationship Id="rId1" Type="http://schemas.openxmlformats.org/officeDocument/2006/relationships/externalLinkPath" Target="/personal/flv_eco_cbs_dk/Documents/Documents/01_PtX_Markets/JRC_DATA/JRC-IDEES-2021/EU27/JRC-IDEES-2021_Transport_EU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"/>
      <sheetName val="index"/>
      <sheetName val="Ind_Summary"/>
      <sheetName val="Ind_Summary_fec"/>
      <sheetName val="Ind_Summary_ued"/>
      <sheetName val="Ind_Summary_emi"/>
      <sheetName val="ISI"/>
      <sheetName val="ISI_fec"/>
      <sheetName val="ISI_ued"/>
      <sheetName val="ISI_emi"/>
      <sheetName val="NFM"/>
      <sheetName val="NFM_fec"/>
      <sheetName val="NFM_ued"/>
      <sheetName val="NFM_emi"/>
      <sheetName val="CHI"/>
      <sheetName val="CHI_fec"/>
      <sheetName val="CHI_ued"/>
      <sheetName val="CHI_emi"/>
      <sheetName val="NMM"/>
      <sheetName val="NMM_fec"/>
      <sheetName val="NMM_ued"/>
      <sheetName val="NMM_emi"/>
      <sheetName val="PPA"/>
      <sheetName val="PPA_fec"/>
      <sheetName val="PPA_ued"/>
      <sheetName val="PPA_emi"/>
      <sheetName val="FBT"/>
      <sheetName val="FBT_fec"/>
      <sheetName val="FBT_ued"/>
      <sheetName val="FBT_emi"/>
      <sheetName val="TRE"/>
      <sheetName val="TRE_fec"/>
      <sheetName val="TRE_ued"/>
      <sheetName val="TRE_emi"/>
      <sheetName val="MAE"/>
      <sheetName val="MAE_fec"/>
      <sheetName val="MAE_ued"/>
      <sheetName val="MAE_emi"/>
      <sheetName val="TEL"/>
      <sheetName val="TEL_fec"/>
      <sheetName val="TEL_ued"/>
      <sheetName val="TEL_emi"/>
      <sheetName val="WWP"/>
      <sheetName val="WWP_fec"/>
      <sheetName val="WWP_ued"/>
      <sheetName val="WWP_emi"/>
      <sheetName val="OIS"/>
      <sheetName val="OIS_fec"/>
      <sheetName val="OIS_ued"/>
      <sheetName val="OIS_emi"/>
    </sheetNames>
    <sheetDataSet>
      <sheetData sheetId="0"/>
      <sheetData sheetId="1">
        <row r="1">
          <cell r="A1" t="str">
            <v>EU27</v>
          </cell>
        </row>
      </sheetData>
      <sheetData sheetId="2"/>
      <sheetData sheetId="3"/>
      <sheetData sheetId="4"/>
      <sheetData sheetId="5">
        <row r="43">
          <cell r="B43">
            <v>8900.4853575953202</v>
          </cell>
          <cell r="C43">
            <v>8669.4584223406</v>
          </cell>
          <cell r="D43">
            <v>8291.469963855985</v>
          </cell>
          <cell r="E43">
            <v>8128.7586455749106</v>
          </cell>
          <cell r="F43">
            <v>8713.8859265072824</v>
          </cell>
          <cell r="G43">
            <v>9146.7709404753168</v>
          </cell>
          <cell r="H43">
            <v>9064.7190604818079</v>
          </cell>
          <cell r="I43">
            <v>9257.1241929291464</v>
          </cell>
          <cell r="J43">
            <v>9069.3725331174155</v>
          </cell>
          <cell r="K43">
            <v>7731.8510358280364</v>
          </cell>
          <cell r="L43">
            <v>8308.804099918787</v>
          </cell>
          <cell r="M43">
            <v>8164.7015433177021</v>
          </cell>
          <cell r="N43">
            <v>8038.1978849297784</v>
          </cell>
          <cell r="O43">
            <v>7931.7304912019599</v>
          </cell>
          <cell r="P43">
            <v>7871.314841374392</v>
          </cell>
          <cell r="Q43">
            <v>7622.3878638458373</v>
          </cell>
          <cell r="R43">
            <v>7801.9083295320452</v>
          </cell>
          <cell r="S43">
            <v>7930.0071936687746</v>
          </cell>
          <cell r="T43">
            <v>7744.953676283556</v>
          </cell>
          <cell r="U43">
            <v>7465.6619106182543</v>
          </cell>
          <cell r="V43">
            <v>7170.6758223905426</v>
          </cell>
          <cell r="W43">
            <v>7955.7449932153277</v>
          </cell>
        </row>
      </sheetData>
      <sheetData sheetId="6">
        <row r="3">
          <cell r="B3">
            <v>53100.41965659945</v>
          </cell>
          <cell r="C3">
            <v>50746.225506592222</v>
          </cell>
          <cell r="D3">
            <v>47887.083446499491</v>
          </cell>
          <cell r="E3">
            <v>47437.72077067892</v>
          </cell>
          <cell r="F3">
            <v>53122.137257005881</v>
          </cell>
          <cell r="G3">
            <v>55745.288087968176</v>
          </cell>
          <cell r="H3">
            <v>59782.02479756697</v>
          </cell>
          <cell r="I3">
            <v>66292.465976633845</v>
          </cell>
          <cell r="J3">
            <v>60374.619647317268</v>
          </cell>
          <cell r="K3">
            <v>35516.382412286468</v>
          </cell>
          <cell r="L3">
            <v>40666.649467418436</v>
          </cell>
          <cell r="M3">
            <v>45327.562040446282</v>
          </cell>
          <cell r="N3">
            <v>41404.429230928072</v>
          </cell>
          <cell r="O3">
            <v>40039.803512912062</v>
          </cell>
          <cell r="P3">
            <v>41160.173718232531</v>
          </cell>
          <cell r="Q3">
            <v>41367.781277122202</v>
          </cell>
          <cell r="R3">
            <v>41197.912183258217</v>
          </cell>
          <cell r="S3">
            <v>43500.388391352884</v>
          </cell>
          <cell r="T3">
            <v>46474.803984483879</v>
          </cell>
          <cell r="U3">
            <v>39226.3703284191</v>
          </cell>
          <cell r="V3">
            <v>32459.21958988301</v>
          </cell>
          <cell r="W3">
            <v>42717.513105451661</v>
          </cell>
        </row>
        <row r="25">
          <cell r="B25">
            <v>34962.26409818478</v>
          </cell>
          <cell r="C25">
            <v>33652.877643078064</v>
          </cell>
          <cell r="D25">
            <v>33212.353056093518</v>
          </cell>
          <cell r="E25">
            <v>34789.524364637553</v>
          </cell>
          <cell r="F25">
            <v>35078.789582569902</v>
          </cell>
          <cell r="G25">
            <v>33523.186013506107</v>
          </cell>
          <cell r="H25">
            <v>34387.137753815987</v>
          </cell>
          <cell r="I25">
            <v>33041.719737974287</v>
          </cell>
          <cell r="J25">
            <v>30966.52337702033</v>
          </cell>
          <cell r="K25">
            <v>23100.01132696111</v>
          </cell>
          <cell r="L25">
            <v>26441.361501312778</v>
          </cell>
          <cell r="M25">
            <v>27812.68371096587</v>
          </cell>
          <cell r="N25">
            <v>26665.897282985828</v>
          </cell>
          <cell r="O25">
            <v>25519.467655170691</v>
          </cell>
          <cell r="P25">
            <v>25235.147851638681</v>
          </cell>
          <cell r="Q25">
            <v>25786.541193339261</v>
          </cell>
          <cell r="R25">
            <v>25840.48405447714</v>
          </cell>
          <cell r="S25">
            <v>26251.87981911864</v>
          </cell>
          <cell r="T25">
            <v>26180.73829611612</v>
          </cell>
          <cell r="U25">
            <v>24586.48961865668</v>
          </cell>
          <cell r="V25">
            <v>22361.425337517459</v>
          </cell>
          <cell r="W25">
            <v>24254.125065189091</v>
          </cell>
        </row>
        <row r="27">
          <cell r="B27">
            <v>1438.1479019776441</v>
          </cell>
          <cell r="C27">
            <v>1394.1642304385209</v>
          </cell>
          <cell r="D27">
            <v>1386.32301805675</v>
          </cell>
          <cell r="E27">
            <v>1739.119432502149</v>
          </cell>
          <cell r="F27">
            <v>2198.2063370593291</v>
          </cell>
          <cell r="G27">
            <v>2218.3741874462589</v>
          </cell>
          <cell r="H27">
            <v>2046.409303525365</v>
          </cell>
          <cell r="I27">
            <v>1964.4738950988819</v>
          </cell>
          <cell r="J27">
            <v>1550.547764402407</v>
          </cell>
          <cell r="K27">
            <v>1363.652631126397</v>
          </cell>
          <cell r="L27">
            <v>1061.4422527944971</v>
          </cell>
          <cell r="M27">
            <v>1716.8262553740319</v>
          </cell>
          <cell r="N27">
            <v>1535.6760490111781</v>
          </cell>
          <cell r="O27">
            <v>1596.4834178847809</v>
          </cell>
          <cell r="P27">
            <v>1382.0975107480649</v>
          </cell>
          <cell r="Q27">
            <v>1529.334767841789</v>
          </cell>
          <cell r="R27">
            <v>1631.965288048151</v>
          </cell>
          <cell r="S27">
            <v>1602.7123774720551</v>
          </cell>
          <cell r="T27">
            <v>1380.399819432502</v>
          </cell>
          <cell r="U27">
            <v>1348.080528804815</v>
          </cell>
          <cell r="V27">
            <v>1135.099441100602</v>
          </cell>
          <cell r="W27">
            <v>1395.7152321582109</v>
          </cell>
        </row>
        <row r="28">
          <cell r="B28">
            <v>3902.243336199484</v>
          </cell>
          <cell r="C28">
            <v>3224.0046001719688</v>
          </cell>
          <cell r="D28">
            <v>3577.5015477214101</v>
          </cell>
          <cell r="E28">
            <v>4120.6840928632846</v>
          </cell>
          <cell r="F28">
            <v>2963.544711951849</v>
          </cell>
          <cell r="G28">
            <v>2903.1874462596729</v>
          </cell>
          <cell r="H28">
            <v>3467.377214101461</v>
          </cell>
          <cell r="I28">
            <v>2816.3981083404979</v>
          </cell>
          <cell r="J28">
            <v>2320.1328460877039</v>
          </cell>
          <cell r="K28">
            <v>1698.3812553740329</v>
          </cell>
          <cell r="L28">
            <v>1869.157351676698</v>
          </cell>
          <cell r="M28">
            <v>2238.424419604471</v>
          </cell>
          <cell r="N28">
            <v>1777.763542562338</v>
          </cell>
          <cell r="O28">
            <v>1645.4858125537401</v>
          </cell>
          <cell r="P28">
            <v>1494.825365434222</v>
          </cell>
          <cell r="Q28">
            <v>1652.723903697334</v>
          </cell>
          <cell r="R28">
            <v>1643.995528804815</v>
          </cell>
          <cell r="S28">
            <v>1682.103611349957</v>
          </cell>
          <cell r="T28">
            <v>1564.205503009458</v>
          </cell>
          <cell r="U28">
            <v>1378.3694754944111</v>
          </cell>
          <cell r="V28">
            <v>1155.40834049871</v>
          </cell>
          <cell r="W28">
            <v>1213.662510748065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0.20610490111779881</v>
          </cell>
          <cell r="W30">
            <v>0.32029234737747198</v>
          </cell>
        </row>
        <row r="31">
          <cell r="B31">
            <v>397.08529664660358</v>
          </cell>
          <cell r="C31">
            <v>483.95219260533099</v>
          </cell>
          <cell r="D31">
            <v>466.68314703353388</v>
          </cell>
          <cell r="E31">
            <v>430.27153912295779</v>
          </cell>
          <cell r="F31">
            <v>435.53533963886503</v>
          </cell>
          <cell r="G31">
            <v>406.95451418744619</v>
          </cell>
          <cell r="H31">
            <v>421.04858125537402</v>
          </cell>
          <cell r="I31">
            <v>407.63877901977639</v>
          </cell>
          <cell r="J31">
            <v>440.24860275150468</v>
          </cell>
          <cell r="K31">
            <v>340.67343078245909</v>
          </cell>
          <cell r="L31">
            <v>406.0071367153912</v>
          </cell>
          <cell r="M31">
            <v>395.46199484092853</v>
          </cell>
          <cell r="N31">
            <v>384.67110920034389</v>
          </cell>
          <cell r="O31">
            <v>308.72304385210663</v>
          </cell>
          <cell r="P31">
            <v>296.88460877042132</v>
          </cell>
          <cell r="Q31">
            <v>302.63714531384352</v>
          </cell>
          <cell r="R31">
            <v>313.73998280309542</v>
          </cell>
          <cell r="S31">
            <v>326.28976784178838</v>
          </cell>
          <cell r="T31">
            <v>319.11743336199481</v>
          </cell>
          <cell r="U31">
            <v>214.73404987102319</v>
          </cell>
          <cell r="V31">
            <v>202.24555030094581</v>
          </cell>
          <cell r="W31">
            <v>218.31072656921751</v>
          </cell>
        </row>
        <row r="32">
          <cell r="B32">
            <v>268.09924763542563</v>
          </cell>
          <cell r="C32">
            <v>321.77994411006023</v>
          </cell>
          <cell r="D32">
            <v>256.40393379191738</v>
          </cell>
          <cell r="E32">
            <v>226.6603181427343</v>
          </cell>
          <cell r="F32">
            <v>202.02233447979361</v>
          </cell>
          <cell r="G32">
            <v>200.95429922613931</v>
          </cell>
          <cell r="H32">
            <v>159.01182287188311</v>
          </cell>
          <cell r="I32">
            <v>152.60315993121239</v>
          </cell>
          <cell r="J32">
            <v>147.1506448839209</v>
          </cell>
          <cell r="K32">
            <v>125.8279449699054</v>
          </cell>
          <cell r="L32">
            <v>161.92725709372311</v>
          </cell>
          <cell r="M32">
            <v>145.61554170249349</v>
          </cell>
          <cell r="N32">
            <v>133.82699914015481</v>
          </cell>
          <cell r="O32">
            <v>126.0195399828031</v>
          </cell>
          <cell r="P32">
            <v>115.94509888220119</v>
          </cell>
          <cell r="Q32">
            <v>173.26036113499569</v>
          </cell>
          <cell r="R32">
            <v>125.848581255374</v>
          </cell>
          <cell r="S32">
            <v>135.25733018056749</v>
          </cell>
          <cell r="T32">
            <v>102.1759243336199</v>
          </cell>
          <cell r="U32">
            <v>100.459415305245</v>
          </cell>
          <cell r="V32">
            <v>84.257760103181425</v>
          </cell>
          <cell r="W32">
            <v>117.3691745485813</v>
          </cell>
        </row>
        <row r="33">
          <cell r="B33">
            <v>790.79557179707649</v>
          </cell>
          <cell r="C33">
            <v>659.44309974204634</v>
          </cell>
          <cell r="D33">
            <v>637.37669819432494</v>
          </cell>
          <cell r="E33">
            <v>586.54314273430782</v>
          </cell>
          <cell r="F33">
            <v>618.81893809114354</v>
          </cell>
          <cell r="G33">
            <v>571.6796216680998</v>
          </cell>
          <cell r="H33">
            <v>631.07145313843512</v>
          </cell>
          <cell r="I33">
            <v>414.13172828890788</v>
          </cell>
          <cell r="J33">
            <v>360.52762252794503</v>
          </cell>
          <cell r="K33">
            <v>337.10068787618218</v>
          </cell>
          <cell r="L33">
            <v>227.73645743766119</v>
          </cell>
          <cell r="M33">
            <v>216.06053310404121</v>
          </cell>
          <cell r="N33">
            <v>184.0370593293207</v>
          </cell>
          <cell r="O33">
            <v>180.12583834909719</v>
          </cell>
          <cell r="P33">
            <v>200.9796216680997</v>
          </cell>
          <cell r="Q33">
            <v>141.9701633705933</v>
          </cell>
          <cell r="R33">
            <v>130.5292347377472</v>
          </cell>
          <cell r="S33">
            <v>119.60120378331899</v>
          </cell>
          <cell r="T33">
            <v>132.05520206362851</v>
          </cell>
          <cell r="U33">
            <v>117.1656921754084</v>
          </cell>
          <cell r="V33">
            <v>85.956749785038696</v>
          </cell>
          <cell r="W33">
            <v>109.6368013757524</v>
          </cell>
        </row>
        <row r="34">
          <cell r="B34">
            <v>479.70614789337912</v>
          </cell>
          <cell r="C34">
            <v>279.80799656061907</v>
          </cell>
          <cell r="D34">
            <v>256.88693035253652</v>
          </cell>
          <cell r="E34">
            <v>276.86500429922609</v>
          </cell>
          <cell r="F34">
            <v>277.32098022355967</v>
          </cell>
          <cell r="G34">
            <v>276.72966466036121</v>
          </cell>
          <cell r="H34">
            <v>312.14969905417018</v>
          </cell>
          <cell r="I34">
            <v>260.63125537403272</v>
          </cell>
          <cell r="J34">
            <v>243.57730008598449</v>
          </cell>
          <cell r="K34">
            <v>203.84830180567491</v>
          </cell>
          <cell r="L34">
            <v>332.02091573516759</v>
          </cell>
          <cell r="M34">
            <v>187.5915950128977</v>
          </cell>
          <cell r="N34">
            <v>174.17912725709371</v>
          </cell>
          <cell r="O34">
            <v>18.469561478933791</v>
          </cell>
          <cell r="P34">
            <v>22.799054170249359</v>
          </cell>
          <cell r="Q34">
            <v>17.60806104901118</v>
          </cell>
          <cell r="R34">
            <v>18.324828030954421</v>
          </cell>
          <cell r="S34">
            <v>15.40083834909716</v>
          </cell>
          <cell r="T34">
            <v>18.656964746345661</v>
          </cell>
          <cell r="U34">
            <v>18.736006018916591</v>
          </cell>
          <cell r="V34">
            <v>11.98020206362855</v>
          </cell>
          <cell r="W34">
            <v>54.63162080825451</v>
          </cell>
        </row>
        <row r="36">
          <cell r="B36">
            <v>9689.1409286328453</v>
          </cell>
          <cell r="C36">
            <v>9795.6891659501271</v>
          </cell>
          <cell r="D36">
            <v>9569.9951848667224</v>
          </cell>
          <cell r="E36">
            <v>10041.16693895099</v>
          </cell>
          <cell r="F36">
            <v>10536.552794496991</v>
          </cell>
          <cell r="G36">
            <v>9728.0966466036098</v>
          </cell>
          <cell r="H36">
            <v>9712.4339208942383</v>
          </cell>
          <cell r="I36">
            <v>9785.7076956147885</v>
          </cell>
          <cell r="J36">
            <v>9450.3375752364573</v>
          </cell>
          <cell r="K36">
            <v>6507.8256663800503</v>
          </cell>
          <cell r="L36">
            <v>7797.2333619948386</v>
          </cell>
          <cell r="M36">
            <v>7691.8508168529661</v>
          </cell>
          <cell r="N36">
            <v>7300.9873602751504</v>
          </cell>
          <cell r="O36">
            <v>7236.3594582975074</v>
          </cell>
          <cell r="P36">
            <v>7184.1497850386932</v>
          </cell>
          <cell r="Q36">
            <v>7451.5267411865852</v>
          </cell>
          <cell r="R36">
            <v>7363.0007308684426</v>
          </cell>
          <cell r="S36">
            <v>7781.8842510748054</v>
          </cell>
          <cell r="T36">
            <v>7764.7335391229581</v>
          </cell>
          <cell r="U36">
            <v>7405.3470558899389</v>
          </cell>
          <cell r="V36">
            <v>7136.6341831470336</v>
          </cell>
          <cell r="W36">
            <v>7388.4423207222699</v>
          </cell>
        </row>
        <row r="37">
          <cell r="B37">
            <v>7386.778159931212</v>
          </cell>
          <cell r="C37">
            <v>6718.104729148753</v>
          </cell>
          <cell r="D37">
            <v>6443.5024075666379</v>
          </cell>
          <cell r="E37">
            <v>6440.1406706792768</v>
          </cell>
          <cell r="F37">
            <v>6614.7746345657779</v>
          </cell>
          <cell r="G37">
            <v>6167.0621668099739</v>
          </cell>
          <cell r="H37">
            <v>6243.2413585554596</v>
          </cell>
          <cell r="I37">
            <v>5941.5451418744624</v>
          </cell>
          <cell r="J37">
            <v>5636.4419604471186</v>
          </cell>
          <cell r="K37">
            <v>3997.0060189165952</v>
          </cell>
          <cell r="L37">
            <v>4825.8351676698194</v>
          </cell>
          <cell r="M37">
            <v>4754.3815993121234</v>
          </cell>
          <cell r="N37">
            <v>4942.1210662080821</v>
          </cell>
          <cell r="O37">
            <v>4659.4020636285468</v>
          </cell>
          <cell r="P37">
            <v>4733.5891659501276</v>
          </cell>
          <cell r="Q37">
            <v>4669.3529664660346</v>
          </cell>
          <cell r="R37">
            <v>4492.9484952708508</v>
          </cell>
          <cell r="S37">
            <v>4414.8706792777293</v>
          </cell>
          <cell r="T37">
            <v>4646.5994840928633</v>
          </cell>
          <cell r="U37">
            <v>4264.7243336199481</v>
          </cell>
          <cell r="V37">
            <v>3899.1018056749781</v>
          </cell>
          <cell r="W37">
            <v>4246.0901977644016</v>
          </cell>
        </row>
        <row r="39">
          <cell r="B39">
            <v>6.747377472055029</v>
          </cell>
          <cell r="C39">
            <v>13.85311693895099</v>
          </cell>
          <cell r="D39">
            <v>7.0699054170249349</v>
          </cell>
          <cell r="E39">
            <v>8.9567927773000857</v>
          </cell>
          <cell r="F39">
            <v>23.78912295786758</v>
          </cell>
          <cell r="G39">
            <v>20.83349097162511</v>
          </cell>
          <cell r="H39">
            <v>41.810060189165952</v>
          </cell>
          <cell r="I39">
            <v>29.527235597592441</v>
          </cell>
          <cell r="J39">
            <v>42.669368013757527</v>
          </cell>
          <cell r="K39">
            <v>47.465133276010313</v>
          </cell>
          <cell r="L39">
            <v>57.940262252794497</v>
          </cell>
          <cell r="M39">
            <v>47.002429062768691</v>
          </cell>
          <cell r="N39">
            <v>46.716809974204651</v>
          </cell>
          <cell r="O39">
            <v>44.411414445399821</v>
          </cell>
          <cell r="P39">
            <v>39.503998280309531</v>
          </cell>
          <cell r="Q39">
            <v>25.22581685296646</v>
          </cell>
          <cell r="R39">
            <v>6.4821582115219254</v>
          </cell>
          <cell r="S39">
            <v>7.9009243336199484</v>
          </cell>
          <cell r="T39">
            <v>10.735920034393811</v>
          </cell>
          <cell r="U39">
            <v>9.33493121238177</v>
          </cell>
          <cell r="V39">
            <v>16.88916595012898</v>
          </cell>
          <cell r="W39">
            <v>12.983340498710231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3.7833190025795349E-3</v>
          </cell>
          <cell r="K40">
            <v>6.1049011177987953E-3</v>
          </cell>
          <cell r="L40">
            <v>3.0610490111779881E-2</v>
          </cell>
          <cell r="M40">
            <v>0.25004299226139293</v>
          </cell>
          <cell r="N40">
            <v>0.32433361994840931</v>
          </cell>
          <cell r="O40">
            <v>0.43705932932072222</v>
          </cell>
          <cell r="P40">
            <v>0.65064488392089426</v>
          </cell>
          <cell r="Q40">
            <v>0.597506448839209</v>
          </cell>
          <cell r="R40">
            <v>0.61719690455717979</v>
          </cell>
          <cell r="S40">
            <v>0.5702493551160791</v>
          </cell>
          <cell r="T40">
            <v>1.1942390369733451</v>
          </cell>
          <cell r="U40">
            <v>0</v>
          </cell>
          <cell r="V40">
            <v>0</v>
          </cell>
          <cell r="W40">
            <v>0.42992261392949271</v>
          </cell>
        </row>
        <row r="41"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1.719690455717971E-3</v>
          </cell>
          <cell r="H41">
            <v>3.5253654342218398E-3</v>
          </cell>
          <cell r="I41">
            <v>4.2132416165090291E-3</v>
          </cell>
          <cell r="J41">
            <v>2.983662940670679E-2</v>
          </cell>
          <cell r="K41">
            <v>3.6801375752364578E-2</v>
          </cell>
          <cell r="L41">
            <v>3.304471195184866</v>
          </cell>
          <cell r="M41">
            <v>3.6184866723989679</v>
          </cell>
          <cell r="N41">
            <v>2.32158211521926E-2</v>
          </cell>
          <cell r="O41">
            <v>2.3817712811693901E-2</v>
          </cell>
          <cell r="P41">
            <v>0.13207222699914009</v>
          </cell>
          <cell r="Q41">
            <v>0.21659501289767849</v>
          </cell>
          <cell r="R41">
            <v>1.683319002579535</v>
          </cell>
          <cell r="S41">
            <v>3.011006018916595</v>
          </cell>
          <cell r="T41">
            <v>2.7822871883061042</v>
          </cell>
          <cell r="U41">
            <v>2.748753224419604</v>
          </cell>
          <cell r="V41">
            <v>1.5822012037833191</v>
          </cell>
          <cell r="W41">
            <v>2.0199484092863291</v>
          </cell>
        </row>
        <row r="42">
          <cell r="B42">
            <v>0</v>
          </cell>
          <cell r="C42">
            <v>0</v>
          </cell>
          <cell r="D42">
            <v>0</v>
          </cell>
          <cell r="E42">
            <v>6.878761822871883E-4</v>
          </cell>
          <cell r="F42">
            <v>6.878761822871883E-4</v>
          </cell>
          <cell r="G42">
            <v>6.878761822871883E-4</v>
          </cell>
          <cell r="H42">
            <v>6.878761822871883E-4</v>
          </cell>
          <cell r="I42">
            <v>6.878761822871883E-4</v>
          </cell>
          <cell r="J42">
            <v>6.878761822871883E-4</v>
          </cell>
          <cell r="K42">
            <v>2.2355975924333621E-3</v>
          </cell>
          <cell r="L42">
            <v>2.2355975924333621E-3</v>
          </cell>
          <cell r="M42">
            <v>2.2355975924333621E-3</v>
          </cell>
          <cell r="N42">
            <v>2.2355975924333621E-3</v>
          </cell>
          <cell r="O42">
            <v>2.2355975924333621E-3</v>
          </cell>
          <cell r="P42">
            <v>2.2355975924333621E-3</v>
          </cell>
          <cell r="Q42">
            <v>2.2355975924333621E-3</v>
          </cell>
          <cell r="R42">
            <v>2.2355975924333621E-3</v>
          </cell>
          <cell r="S42">
            <v>2.2355975924333621E-3</v>
          </cell>
          <cell r="T42">
            <v>2.2355975924333621E-3</v>
          </cell>
          <cell r="U42">
            <v>7.3946689595872743E-3</v>
          </cell>
          <cell r="V42">
            <v>7.3946689595872743E-3</v>
          </cell>
          <cell r="W42">
            <v>7.3946689595872743E-3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</row>
        <row r="44">
          <cell r="B44">
            <v>1.174592342892099</v>
          </cell>
          <cell r="C44">
            <v>1.2422604469424039</v>
          </cell>
          <cell r="D44">
            <v>0.99254878483367626</v>
          </cell>
          <cell r="E44">
            <v>1.0028470107285949</v>
          </cell>
          <cell r="F44">
            <v>1.0602876429871939</v>
          </cell>
          <cell r="G44">
            <v>1.499874211186232</v>
          </cell>
          <cell r="H44">
            <v>1.6880160687886701</v>
          </cell>
          <cell r="I44">
            <v>1.4440801926873399</v>
          </cell>
          <cell r="J44">
            <v>1.3947656703726661</v>
          </cell>
          <cell r="K44">
            <v>1.244787838151094</v>
          </cell>
          <cell r="L44">
            <v>1.590400710892756</v>
          </cell>
          <cell r="M44">
            <v>2.1712776038727721</v>
          </cell>
          <cell r="N44">
            <v>2.8157309651952391</v>
          </cell>
          <cell r="O44">
            <v>3.361343906715347</v>
          </cell>
          <cell r="P44">
            <v>15.047739858801121</v>
          </cell>
          <cell r="Q44">
            <v>18.750729022841568</v>
          </cell>
          <cell r="R44">
            <v>20.564144760892091</v>
          </cell>
          <cell r="S44">
            <v>23.690636831459891</v>
          </cell>
          <cell r="T44">
            <v>27.73732363117422</v>
          </cell>
          <cell r="U44">
            <v>28.321573944732268</v>
          </cell>
          <cell r="V44">
            <v>29.66517844609027</v>
          </cell>
          <cell r="W44">
            <v>33.680569058397623</v>
          </cell>
        </row>
        <row r="45">
          <cell r="B45">
            <v>339.96880911435937</v>
          </cell>
          <cell r="C45">
            <v>357.34860275150459</v>
          </cell>
          <cell r="D45">
            <v>342.74009028374888</v>
          </cell>
          <cell r="E45">
            <v>362.87050730868441</v>
          </cell>
          <cell r="F45">
            <v>248.69840928632851</v>
          </cell>
          <cell r="G45">
            <v>227.87712811693891</v>
          </cell>
          <cell r="H45">
            <v>193.60733018056749</v>
          </cell>
          <cell r="I45">
            <v>178.76233877901981</v>
          </cell>
          <cell r="J45">
            <v>166.57248495270849</v>
          </cell>
          <cell r="K45">
            <v>450.4352536543422</v>
          </cell>
          <cell r="L45">
            <v>293.63860705073091</v>
          </cell>
          <cell r="M45">
            <v>354.72992261392938</v>
          </cell>
          <cell r="N45">
            <v>468.14180997420459</v>
          </cell>
          <cell r="O45">
            <v>364.52839638865009</v>
          </cell>
          <cell r="P45">
            <v>395.42598882201202</v>
          </cell>
          <cell r="Q45">
            <v>502.68484522785889</v>
          </cell>
          <cell r="R45">
            <v>520.51388650042986</v>
          </cell>
          <cell r="S45">
            <v>516.3164015477214</v>
          </cell>
          <cell r="T45">
            <v>422.98295356835769</v>
          </cell>
          <cell r="U45">
            <v>495.09443250214957</v>
          </cell>
          <cell r="V45">
            <v>464.70371883061051</v>
          </cell>
          <cell r="W45">
            <v>423.61969045571789</v>
          </cell>
        </row>
        <row r="46">
          <cell r="B46">
            <v>10262.3767285418</v>
          </cell>
          <cell r="C46">
            <v>10403.487704213239</v>
          </cell>
          <cell r="D46">
            <v>10266.877644024071</v>
          </cell>
          <cell r="E46">
            <v>10555.242390369731</v>
          </cell>
          <cell r="F46">
            <v>10958.465004299231</v>
          </cell>
          <cell r="G46">
            <v>10799.93456577816</v>
          </cell>
          <cell r="H46">
            <v>11157.28478073947</v>
          </cell>
          <cell r="I46">
            <v>11088.851418744631</v>
          </cell>
          <cell r="J46">
            <v>10606.888134135859</v>
          </cell>
          <cell r="K46">
            <v>8026.5050730868443</v>
          </cell>
          <cell r="L46">
            <v>9403.495012897678</v>
          </cell>
          <cell r="M46">
            <v>10058.69656061909</v>
          </cell>
          <cell r="N46">
            <v>9714.6108340498704</v>
          </cell>
          <cell r="O46">
            <v>9335.6346517626807</v>
          </cell>
          <cell r="P46">
            <v>9353.1149613069647</v>
          </cell>
          <cell r="Q46">
            <v>9300.6493551160802</v>
          </cell>
          <cell r="R46">
            <v>9570.2684436801355</v>
          </cell>
          <cell r="S46">
            <v>9622.2683061048992</v>
          </cell>
          <cell r="T46">
            <v>9787.3594668959577</v>
          </cell>
          <cell r="U46">
            <v>9203.3659759243328</v>
          </cell>
          <cell r="V46">
            <v>8137.6875408426486</v>
          </cell>
          <cell r="W46">
            <v>9037.2053224419597</v>
          </cell>
        </row>
        <row r="47">
          <cell r="B47">
            <v>34962.264098184787</v>
          </cell>
          <cell r="C47">
            <v>33652.877643078064</v>
          </cell>
          <cell r="D47">
            <v>33212.353056093525</v>
          </cell>
          <cell r="E47">
            <v>34789.524364637553</v>
          </cell>
          <cell r="F47">
            <v>35078.789582569894</v>
          </cell>
          <cell r="G47">
            <v>33523.186013506114</v>
          </cell>
          <cell r="H47">
            <v>34387.137753815987</v>
          </cell>
          <cell r="I47">
            <v>33041.719737974279</v>
          </cell>
          <cell r="J47">
            <v>30966.52337702033</v>
          </cell>
          <cell r="K47">
            <v>23100.011326961103</v>
          </cell>
          <cell r="L47">
            <v>26441.361501312786</v>
          </cell>
          <cell r="M47">
            <v>27812.683710965866</v>
          </cell>
          <cell r="N47">
            <v>26665.897282985832</v>
          </cell>
          <cell r="O47">
            <v>25519.467655170691</v>
          </cell>
          <cell r="P47">
            <v>25235.147851638674</v>
          </cell>
          <cell r="Q47">
            <v>25786.541193339261</v>
          </cell>
          <cell r="R47">
            <v>25840.484054477129</v>
          </cell>
          <cell r="S47">
            <v>26251.879819118643</v>
          </cell>
          <cell r="T47">
            <v>26180.738296116127</v>
          </cell>
          <cell r="U47">
            <v>24586.48961865668</v>
          </cell>
          <cell r="V47">
            <v>22361.425337517456</v>
          </cell>
          <cell r="W47">
            <v>24254.125065189088</v>
          </cell>
        </row>
        <row r="48">
          <cell r="B48">
            <v>26202.16866086343</v>
          </cell>
          <cell r="C48">
            <v>24768.911051159372</v>
          </cell>
          <cell r="D48">
            <v>24553.494458050529</v>
          </cell>
          <cell r="E48">
            <v>25724.244758257249</v>
          </cell>
          <cell r="F48">
            <v>25703.50755222109</v>
          </cell>
          <cell r="G48">
            <v>24470.214407690841</v>
          </cell>
          <cell r="H48">
            <v>24803.043508241331</v>
          </cell>
          <cell r="I48">
            <v>23652.606699539901</v>
          </cell>
          <cell r="J48">
            <v>21774.052545313669</v>
          </cell>
          <cell r="K48">
            <v>15873.52828091403</v>
          </cell>
          <cell r="L48">
            <v>18701.27085781801</v>
          </cell>
          <cell r="M48">
            <v>19676.640032110019</v>
          </cell>
          <cell r="N48">
            <v>18812.09005750747</v>
          </cell>
          <cell r="O48">
            <v>18277.990026701162</v>
          </cell>
          <cell r="P48">
            <v>18085.02732126417</v>
          </cell>
          <cell r="Q48">
            <v>18424.39544016746</v>
          </cell>
          <cell r="R48">
            <v>18558.41986408853</v>
          </cell>
          <cell r="S48">
            <v>18634.942917662662</v>
          </cell>
          <cell r="T48">
            <v>18311.688058822499</v>
          </cell>
          <cell r="U48">
            <v>17100.231708107491</v>
          </cell>
          <cell r="V48">
            <v>15346.921489489599</v>
          </cell>
          <cell r="W48">
            <v>16627.144498676509</v>
          </cell>
        </row>
        <row r="49">
          <cell r="B49">
            <v>8760.0954373213553</v>
          </cell>
          <cell r="C49">
            <v>8883.9665919186937</v>
          </cell>
          <cell r="D49">
            <v>8658.8585980429943</v>
          </cell>
          <cell r="E49">
            <v>9065.2796063803016</v>
          </cell>
          <cell r="F49">
            <v>9375.2820303488024</v>
          </cell>
          <cell r="G49">
            <v>9052.9716058152699</v>
          </cell>
          <cell r="H49">
            <v>9584.0942455746535</v>
          </cell>
          <cell r="I49">
            <v>9389.1130384343778</v>
          </cell>
          <cell r="J49">
            <v>9192.4708317066616</v>
          </cell>
          <cell r="K49">
            <v>7226.4830460470748</v>
          </cell>
          <cell r="L49">
            <v>7740.0906434947756</v>
          </cell>
          <cell r="M49">
            <v>8136.0436788558463</v>
          </cell>
          <cell r="N49">
            <v>7853.807225478361</v>
          </cell>
          <cell r="O49">
            <v>7241.4776284695281</v>
          </cell>
          <cell r="P49">
            <v>7150.1205303745037</v>
          </cell>
          <cell r="Q49">
            <v>7362.1457531718024</v>
          </cell>
          <cell r="R49">
            <v>7282.0641903886008</v>
          </cell>
          <cell r="S49">
            <v>7616.9369014559807</v>
          </cell>
          <cell r="T49">
            <v>7869.0502372936271</v>
          </cell>
          <cell r="U49">
            <v>7486.2579105491895</v>
          </cell>
          <cell r="V49">
            <v>7014.5038480278563</v>
          </cell>
          <cell r="W49">
            <v>7626.9805665125796</v>
          </cell>
        </row>
        <row r="54">
          <cell r="B54">
            <v>198253.14049203691</v>
          </cell>
          <cell r="C54">
            <v>184175.61370219517</v>
          </cell>
          <cell r="D54">
            <v>186699.92372565568</v>
          </cell>
          <cell r="E54">
            <v>194865.66479002615</v>
          </cell>
          <cell r="F54">
            <v>197380.47067142732</v>
          </cell>
          <cell r="G54">
            <v>187468.98353737709</v>
          </cell>
          <cell r="H54">
            <v>194278.81724577601</v>
          </cell>
          <cell r="I54">
            <v>183934.91275341841</v>
          </cell>
          <cell r="J54">
            <v>168561.98986308847</v>
          </cell>
          <cell r="K54">
            <v>118000.25480074986</v>
          </cell>
          <cell r="L54">
            <v>141753.99110884569</v>
          </cell>
          <cell r="M54">
            <v>141337.52770225093</v>
          </cell>
          <cell r="N54">
            <v>133267.27307949972</v>
          </cell>
          <cell r="O54">
            <v>132822.67859320019</v>
          </cell>
          <cell r="P54">
            <v>134252.86983016238</v>
          </cell>
          <cell r="Q54">
            <v>136945.86381820971</v>
          </cell>
          <cell r="R54">
            <v>137387.93846057518</v>
          </cell>
          <cell r="S54">
            <v>141464.52228466855</v>
          </cell>
          <cell r="T54">
            <v>140638.46337307105</v>
          </cell>
          <cell r="U54">
            <v>131404.64796454986</v>
          </cell>
          <cell r="V54">
            <v>115139.35519985994</v>
          </cell>
          <cell r="W54">
            <v>129825.40064676685</v>
          </cell>
        </row>
        <row r="55">
          <cell r="B55">
            <v>182634.02105303592</v>
          </cell>
          <cell r="C55">
            <v>168771.41313959853</v>
          </cell>
          <cell r="D55">
            <v>171899.13880042182</v>
          </cell>
          <cell r="E55">
            <v>179615.13085425223</v>
          </cell>
          <cell r="F55">
            <v>181734.59229865484</v>
          </cell>
          <cell r="G55">
            <v>172407.13114713068</v>
          </cell>
          <cell r="H55">
            <v>178106.97282757206</v>
          </cell>
          <cell r="I55">
            <v>168390.61322966331</v>
          </cell>
          <cell r="J55">
            <v>153793.96567103712</v>
          </cell>
          <cell r="K55">
            <v>107012.50461188685</v>
          </cell>
          <cell r="L55">
            <v>129734.79386590546</v>
          </cell>
          <cell r="M55">
            <v>128894.28770486405</v>
          </cell>
          <cell r="N55">
            <v>121499.46496001723</v>
          </cell>
          <cell r="O55">
            <v>122159.7460646632</v>
          </cell>
          <cell r="P55">
            <v>123420.76810489045</v>
          </cell>
          <cell r="Q55">
            <v>125822.33565943224</v>
          </cell>
          <cell r="R55">
            <v>126648.87399878122</v>
          </cell>
          <cell r="S55">
            <v>130391.72984265158</v>
          </cell>
          <cell r="T55">
            <v>129106.09892345199</v>
          </cell>
          <cell r="U55">
            <v>120775.32250860441</v>
          </cell>
          <cell r="V55">
            <v>105319.61353520393</v>
          </cell>
          <cell r="W55">
            <v>119180.90942825683</v>
          </cell>
        </row>
        <row r="56">
          <cell r="B56">
            <v>15619.119439000982</v>
          </cell>
          <cell r="C56">
            <v>15404.200562596649</v>
          </cell>
          <cell r="D56">
            <v>14800.784925233866</v>
          </cell>
          <cell r="E56">
            <v>15250.533935773921</v>
          </cell>
          <cell r="F56">
            <v>15645.878372772469</v>
          </cell>
          <cell r="G56">
            <v>15061.852390246404</v>
          </cell>
          <cell r="H56">
            <v>16171.844418203951</v>
          </cell>
          <cell r="I56">
            <v>15544.2995237551</v>
          </cell>
          <cell r="J56">
            <v>14768.02419205134</v>
          </cell>
          <cell r="K56">
            <v>10987.750188863012</v>
          </cell>
          <cell r="L56">
            <v>12019.197242940227</v>
          </cell>
          <cell r="M56">
            <v>12443.239997386881</v>
          </cell>
          <cell r="N56">
            <v>11767.808119482503</v>
          </cell>
          <cell r="O56">
            <v>10662.932528537003</v>
          </cell>
          <cell r="P56">
            <v>10832.101725271947</v>
          </cell>
          <cell r="Q56">
            <v>11123.528158777477</v>
          </cell>
          <cell r="R56">
            <v>10739.064461793962</v>
          </cell>
          <cell r="S56">
            <v>11072.792442016984</v>
          </cell>
          <cell r="T56">
            <v>11532.364449619059</v>
          </cell>
          <cell r="U56">
            <v>10629.325455945449</v>
          </cell>
          <cell r="V56">
            <v>9819.7416646560177</v>
          </cell>
          <cell r="W56">
            <v>10644.491218510033</v>
          </cell>
        </row>
        <row r="65">
          <cell r="B65">
            <v>5.6704891861488473</v>
          </cell>
          <cell r="C65">
            <v>5.4728043068280545</v>
          </cell>
          <cell r="D65">
            <v>5.6214000679304936</v>
          </cell>
          <cell r="E65">
            <v>5.601274186665826</v>
          </cell>
          <cell r="F65">
            <v>5.6267754110165367</v>
          </cell>
          <cell r="G65">
            <v>5.5922185755807323</v>
          </cell>
          <cell r="H65">
            <v>5.6497524928260896</v>
          </cell>
          <cell r="I65">
            <v>5.5667475607217014</v>
          </cell>
          <cell r="J65">
            <v>5.44336178171603</v>
          </cell>
          <cell r="K65">
            <v>5.1082336337656358</v>
          </cell>
          <cell r="L65">
            <v>5.3610700455726441</v>
          </cell>
          <cell r="M65">
            <v>5.0817651820678122</v>
          </cell>
          <cell r="N65">
            <v>4.9976669326079968</v>
          </cell>
          <cell r="O65">
            <v>5.2047589858829992</v>
          </cell>
          <cell r="P65">
            <v>5.3200746284291931</v>
          </cell>
          <cell r="Q65">
            <v>5.3107496190137828</v>
          </cell>
          <cell r="R65">
            <v>5.3167710856705614</v>
          </cell>
          <cell r="S65">
            <v>5.3887387592580387</v>
          </cell>
          <cell r="T65">
            <v>5.3718295405723735</v>
          </cell>
          <cell r="U65">
            <v>5.344587617129271</v>
          </cell>
          <cell r="V65">
            <v>5.1490168207963887</v>
          </cell>
          <cell r="W65">
            <v>5.3527142413023885</v>
          </cell>
        </row>
        <row r="66">
          <cell r="B66">
            <v>6.9701872168247334</v>
          </cell>
          <cell r="C66">
            <v>6.8138406565798038</v>
          </cell>
          <cell r="D66">
            <v>7.0010050542545086</v>
          </cell>
          <cell r="E66">
            <v>6.9823286375238443</v>
          </cell>
          <cell r="F66">
            <v>7.0704199389686329</v>
          </cell>
          <cell r="G66">
            <v>7.0455913575053986</v>
          </cell>
          <cell r="H66">
            <v>7.1808515260795422</v>
          </cell>
          <cell r="I66">
            <v>7.119325804920221</v>
          </cell>
          <cell r="J66">
            <v>7.0631760142480919</v>
          </cell>
          <cell r="K66">
            <v>6.7415701612196868</v>
          </cell>
          <cell r="L66">
            <v>6.9372180560483256</v>
          </cell>
          <cell r="M66">
            <v>6.5506248777496241</v>
          </cell>
          <cell r="N66">
            <v>6.4585840589004411</v>
          </cell>
          <cell r="O66">
            <v>6.6834343320139542</v>
          </cell>
          <cell r="P66">
            <v>6.8244723058711507</v>
          </cell>
          <cell r="Q66">
            <v>6.8291161068505941</v>
          </cell>
          <cell r="R66">
            <v>6.824334987907732</v>
          </cell>
          <cell r="S66">
            <v>6.9971628257075613</v>
          </cell>
          <cell r="T66">
            <v>7.0504750031086942</v>
          </cell>
          <cell r="U66">
            <v>7.0627886551585686</v>
          </cell>
          <cell r="V66">
            <v>6.8625889307723691</v>
          </cell>
          <cell r="W66">
            <v>7.167851908530861</v>
          </cell>
        </row>
        <row r="67">
          <cell r="B67">
            <v>1.7829850771325575</v>
          </cell>
          <cell r="C67">
            <v>1.7339327431295262</v>
          </cell>
          <cell r="D67">
            <v>1.7093228579317625</v>
          </cell>
          <cell r="E67">
            <v>1.6823015503063281</v>
          </cell>
          <cell r="F67">
            <v>1.6688434888811952</v>
          </cell>
          <cell r="G67">
            <v>1.6637467834949651</v>
          </cell>
          <cell r="H67">
            <v>1.6873628330263046</v>
          </cell>
          <cell r="I67">
            <v>1.655566341583538</v>
          </cell>
          <cell r="J67">
            <v>1.6065347894402324</v>
          </cell>
          <cell r="K67">
            <v>1.5204837704384253</v>
          </cell>
          <cell r="L67">
            <v>1.5528496753512651</v>
          </cell>
          <cell r="M67">
            <v>1.5293969020501554</v>
          </cell>
          <cell r="N67">
            <v>1.4983571383451861</v>
          </cell>
          <cell r="O67">
            <v>1.4724802140679392</v>
          </cell>
          <cell r="P67">
            <v>1.5149537241024091</v>
          </cell>
          <cell r="Q67">
            <v>1.5109084405161599</v>
          </cell>
          <cell r="R67">
            <v>1.4747280689956237</v>
          </cell>
          <cell r="S67">
            <v>1.4537067308382736</v>
          </cell>
          <cell r="T67">
            <v>1.4655344802558208</v>
          </cell>
          <cell r="U67">
            <v>1.4198449456259363</v>
          </cell>
          <cell r="V67">
            <v>1.3999196347175518</v>
          </cell>
          <cell r="W67">
            <v>1.3956363367760884</v>
          </cell>
        </row>
      </sheetData>
      <sheetData sheetId="7"/>
      <sheetData sheetId="8"/>
      <sheetData sheetId="9"/>
      <sheetData sheetId="10">
        <row r="3">
          <cell r="B3">
            <v>18642.886337720098</v>
          </cell>
          <cell r="C3">
            <v>17729.881783475641</v>
          </cell>
          <cell r="D3">
            <v>16843.148213152297</v>
          </cell>
          <cell r="E3">
            <v>16684.733319917788</v>
          </cell>
          <cell r="F3">
            <v>18498.374612133848</v>
          </cell>
          <cell r="G3">
            <v>19343.216784106258</v>
          </cell>
          <cell r="H3">
            <v>20896.191755040491</v>
          </cell>
          <cell r="I3">
            <v>23094.301360499976</v>
          </cell>
          <cell r="J3">
            <v>21418.74229558972</v>
          </cell>
          <cell r="K3">
            <v>17576.145834970208</v>
          </cell>
          <cell r="L3">
            <v>20824.806091489118</v>
          </cell>
          <cell r="M3">
            <v>21744.353991756267</v>
          </cell>
          <cell r="N3">
            <v>21704.292416355456</v>
          </cell>
          <cell r="O3">
            <v>20444.177287894061</v>
          </cell>
          <cell r="P3">
            <v>20852.395881619472</v>
          </cell>
          <cell r="Q3">
            <v>22522.718722877798</v>
          </cell>
          <cell r="R3">
            <v>22719.050075335086</v>
          </cell>
          <cell r="S3">
            <v>23179.09466293233</v>
          </cell>
          <cell r="T3">
            <v>23008.516125822396</v>
          </cell>
          <cell r="U3">
            <v>22382.543832245654</v>
          </cell>
          <cell r="V3">
            <v>19712.922927116851</v>
          </cell>
          <cell r="W3">
            <v>24635.930309618001</v>
          </cell>
        </row>
        <row r="4">
          <cell r="B4">
            <v>1878.141839195383</v>
          </cell>
          <cell r="C4">
            <v>1841.05868473386</v>
          </cell>
          <cell r="D4">
            <v>1717.3534337489709</v>
          </cell>
          <cell r="E4">
            <v>1758.1091515460871</v>
          </cell>
          <cell r="F4">
            <v>1862.1894104493649</v>
          </cell>
          <cell r="G4">
            <v>1930.9328777978001</v>
          </cell>
          <cell r="H4">
            <v>2143.4983872839362</v>
          </cell>
          <cell r="I4">
            <v>2141.8636741707292</v>
          </cell>
          <cell r="J4">
            <v>2020.098379427815</v>
          </cell>
          <cell r="K4">
            <v>1247.308353811537</v>
          </cell>
          <cell r="L4">
            <v>1537.6138191449959</v>
          </cell>
          <cell r="M4">
            <v>1559.124880843706</v>
          </cell>
          <cell r="N4">
            <v>1383.697141175169</v>
          </cell>
          <cell r="O4">
            <v>1372.314121723105</v>
          </cell>
          <cell r="P4">
            <v>1418.1431038974599</v>
          </cell>
          <cell r="Q4">
            <v>1343.1855668065559</v>
          </cell>
          <cell r="R4">
            <v>1305.26556987973</v>
          </cell>
          <cell r="S4">
            <v>1650.5154022559429</v>
          </cell>
          <cell r="T4">
            <v>1684.4722789676121</v>
          </cell>
          <cell r="U4">
            <v>1549.356505714326</v>
          </cell>
          <cell r="V4">
            <v>1398.4916867192931</v>
          </cell>
          <cell r="W4">
            <v>1611.217754624591</v>
          </cell>
        </row>
        <row r="5">
          <cell r="B5">
            <v>8075.7262174621901</v>
          </cell>
          <cell r="C5">
            <v>7673.7919043596157</v>
          </cell>
          <cell r="D5">
            <v>7211.7122920148595</v>
          </cell>
          <cell r="E5">
            <v>7087.1667312934223</v>
          </cell>
          <cell r="F5">
            <v>7802.7863183109857</v>
          </cell>
          <cell r="G5">
            <v>8172.9446666553131</v>
          </cell>
          <cell r="H5">
            <v>8775.4439632610593</v>
          </cell>
          <cell r="I5">
            <v>9672.3500817757467</v>
          </cell>
          <cell r="J5">
            <v>9115.9531785493346</v>
          </cell>
          <cell r="K5">
            <v>7153.1209411680693</v>
          </cell>
          <cell r="L5">
            <v>9544.2524205248719</v>
          </cell>
          <cell r="M5">
            <v>10072.351091591732</v>
          </cell>
          <cell r="N5">
            <v>9345.2876903794167</v>
          </cell>
          <cell r="O5">
            <v>9205.2546789200132</v>
          </cell>
          <cell r="P5">
            <v>8600.5356874988138</v>
          </cell>
          <cell r="Q5">
            <v>9041.8774577705444</v>
          </cell>
          <cell r="R5">
            <v>9305.5918321321551</v>
          </cell>
          <cell r="S5">
            <v>9807.1644785746266</v>
          </cell>
          <cell r="T5">
            <v>9806.874922962761</v>
          </cell>
          <cell r="U5">
            <v>9434.9940224867078</v>
          </cell>
          <cell r="V5">
            <v>8263.2264068386794</v>
          </cell>
          <cell r="W5">
            <v>9630.8992073587815</v>
          </cell>
        </row>
        <row r="8">
          <cell r="B8">
            <v>8689.0182810625229</v>
          </cell>
          <cell r="C8">
            <v>8215.0311943821671</v>
          </cell>
          <cell r="D8">
            <v>7914.0824873884658</v>
          </cell>
          <cell r="E8">
            <v>7839.4574370782793</v>
          </cell>
          <cell r="F8">
            <v>8833.3988833734984</v>
          </cell>
          <cell r="G8">
            <v>9239.3392396531453</v>
          </cell>
          <cell r="H8">
            <v>9977.2494044954947</v>
          </cell>
          <cell r="I8">
            <v>11280.087604553501</v>
          </cell>
          <cell r="J8">
            <v>10282.690737612569</v>
          </cell>
          <cell r="K8">
            <v>9175.7165399905989</v>
          </cell>
          <cell r="L8">
            <v>9742.9398518192502</v>
          </cell>
          <cell r="M8">
            <v>10112.878019320829</v>
          </cell>
          <cell r="N8">
            <v>10975.30758480087</v>
          </cell>
          <cell r="O8">
            <v>9866.6084872509437</v>
          </cell>
          <cell r="P8">
            <v>10833.717090223199</v>
          </cell>
          <cell r="Q8">
            <v>12137.655698300699</v>
          </cell>
          <cell r="R8">
            <v>12108.192673323199</v>
          </cell>
          <cell r="S8">
            <v>11721.41478210176</v>
          </cell>
          <cell r="T8">
            <v>11517.168923892021</v>
          </cell>
          <cell r="U8">
            <v>11398.19330404462</v>
          </cell>
          <cell r="V8">
            <v>10051.204833558881</v>
          </cell>
          <cell r="W8">
            <v>13393.81334763463</v>
          </cell>
        </row>
        <row r="43">
          <cell r="B43">
            <v>11105.870302876559</v>
          </cell>
          <cell r="C43">
            <v>11130.396272180151</v>
          </cell>
          <cell r="D43">
            <v>11288.319766475641</v>
          </cell>
          <cell r="E43">
            <v>11083.68097761364</v>
          </cell>
          <cell r="F43">
            <v>11541.52337626404</v>
          </cell>
          <cell r="G43">
            <v>11272.434606931631</v>
          </cell>
          <cell r="H43">
            <v>10805.98575932418</v>
          </cell>
          <cell r="I43">
            <v>10876.383432142229</v>
          </cell>
          <cell r="J43">
            <v>10447.05211425266</v>
          </cell>
          <cell r="K43">
            <v>8619.8743556194095</v>
          </cell>
          <cell r="L43">
            <v>9441.7221252830113</v>
          </cell>
          <cell r="M43">
            <v>9816.5569498235982</v>
          </cell>
          <cell r="N43">
            <v>9025.0935388435446</v>
          </cell>
          <cell r="O43">
            <v>8860.37638635025</v>
          </cell>
          <cell r="P43">
            <v>8730.4657211224712</v>
          </cell>
          <cell r="Q43">
            <v>9247.041387362382</v>
          </cell>
          <cell r="R43">
            <v>9414.6104572423574</v>
          </cell>
          <cell r="S43">
            <v>9511.2345680311537</v>
          </cell>
          <cell r="T43">
            <v>9710.8916211729993</v>
          </cell>
          <cell r="U43">
            <v>9440.8298287057059</v>
          </cell>
          <cell r="V43">
            <v>9042.2427071057737</v>
          </cell>
          <cell r="W43">
            <v>9497.2515663914673</v>
          </cell>
        </row>
        <row r="44">
          <cell r="B44">
            <v>579.66430782459156</v>
          </cell>
          <cell r="C44">
            <v>557.63817712811692</v>
          </cell>
          <cell r="D44">
            <v>607.93949269131554</v>
          </cell>
          <cell r="E44">
            <v>489.51100601891648</v>
          </cell>
          <cell r="F44">
            <v>438.1639982803095</v>
          </cell>
          <cell r="G44">
            <v>570.00672398968186</v>
          </cell>
          <cell r="H44">
            <v>427.21631986242471</v>
          </cell>
          <cell r="I44">
            <v>464.73754084264829</v>
          </cell>
          <cell r="J44">
            <v>371.34733447979357</v>
          </cell>
          <cell r="K44">
            <v>235.10858985382629</v>
          </cell>
          <cell r="L44">
            <v>294.188271711092</v>
          </cell>
          <cell r="M44">
            <v>342.19953998280312</v>
          </cell>
          <cell r="N44">
            <v>336.55628116938948</v>
          </cell>
          <cell r="O44">
            <v>305.13360705073092</v>
          </cell>
          <cell r="P44">
            <v>278.29432072227002</v>
          </cell>
          <cell r="Q44">
            <v>306.3517325881341</v>
          </cell>
          <cell r="R44">
            <v>318.7628288907996</v>
          </cell>
          <cell r="S44">
            <v>157.77068357695609</v>
          </cell>
          <cell r="T44">
            <v>195.9148839208942</v>
          </cell>
          <cell r="U44">
            <v>199.70141444539979</v>
          </cell>
          <cell r="V44">
            <v>173.88172828890799</v>
          </cell>
          <cell r="W44">
            <v>183.4739337919174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</row>
        <row r="47">
          <cell r="B47">
            <v>380.58288907996558</v>
          </cell>
          <cell r="C47">
            <v>160.16895958727429</v>
          </cell>
          <cell r="D47">
            <v>148.48538263112641</v>
          </cell>
          <cell r="E47">
            <v>134.79750644883919</v>
          </cell>
          <cell r="F47">
            <v>126.13172828890799</v>
          </cell>
          <cell r="G47">
            <v>132.27360275150471</v>
          </cell>
          <cell r="H47">
            <v>135.42863284608771</v>
          </cell>
          <cell r="I47">
            <v>136.5609630266552</v>
          </cell>
          <cell r="J47">
            <v>129.534630266552</v>
          </cell>
          <cell r="K47">
            <v>108.8708512467756</v>
          </cell>
          <cell r="L47">
            <v>119.7189165950129</v>
          </cell>
          <cell r="M47">
            <v>105.9687876182287</v>
          </cell>
          <cell r="N47">
            <v>88.204041272570933</v>
          </cell>
          <cell r="O47">
            <v>77.580137575236449</v>
          </cell>
          <cell r="P47">
            <v>79.306190885640575</v>
          </cell>
          <cell r="Q47">
            <v>78.01960447119518</v>
          </cell>
          <cell r="R47">
            <v>82.214187446259658</v>
          </cell>
          <cell r="S47">
            <v>85.284264832330166</v>
          </cell>
          <cell r="T47">
            <v>88.826160791057603</v>
          </cell>
          <cell r="U47">
            <v>73.796388650042985</v>
          </cell>
          <cell r="V47">
            <v>71.948688736027506</v>
          </cell>
          <cell r="W47">
            <v>76.77130266552021</v>
          </cell>
        </row>
        <row r="48">
          <cell r="B48">
            <v>206.57203353396389</v>
          </cell>
          <cell r="C48">
            <v>177.17654772141009</v>
          </cell>
          <cell r="D48">
            <v>150.69847377472061</v>
          </cell>
          <cell r="E48">
            <v>161.51706792777301</v>
          </cell>
          <cell r="F48">
            <v>136.0033748925193</v>
          </cell>
          <cell r="G48">
            <v>134.54535683576961</v>
          </cell>
          <cell r="H48">
            <v>117.4712381771281</v>
          </cell>
          <cell r="I48">
            <v>161.49116509028369</v>
          </cell>
          <cell r="J48">
            <v>158.42330180567501</v>
          </cell>
          <cell r="K48">
            <v>127.3564058469476</v>
          </cell>
          <cell r="L48">
            <v>132.97102321582119</v>
          </cell>
          <cell r="M48">
            <v>121.4608125537403</v>
          </cell>
          <cell r="N48">
            <v>116.14402407566639</v>
          </cell>
          <cell r="O48">
            <v>101.3150257953568</v>
          </cell>
          <cell r="P48">
            <v>61.895141874462603</v>
          </cell>
          <cell r="Q48">
            <v>61.564316423043842</v>
          </cell>
          <cell r="R48">
            <v>70.752622527944965</v>
          </cell>
          <cell r="S48">
            <v>74.70414875322443</v>
          </cell>
          <cell r="T48">
            <v>76.295442820292351</v>
          </cell>
          <cell r="U48">
            <v>76.704643164230433</v>
          </cell>
          <cell r="V48">
            <v>77.757631126397243</v>
          </cell>
          <cell r="W48">
            <v>85.752665520206349</v>
          </cell>
        </row>
        <row r="49">
          <cell r="B49">
            <v>977.81431642304381</v>
          </cell>
          <cell r="C49">
            <v>941.95062338779007</v>
          </cell>
          <cell r="D49">
            <v>917.2723129836628</v>
          </cell>
          <cell r="E49">
            <v>860.71360705073073</v>
          </cell>
          <cell r="F49">
            <v>879.41992691315568</v>
          </cell>
          <cell r="G49">
            <v>813.90825451418732</v>
          </cell>
          <cell r="H49">
            <v>876.13800515907133</v>
          </cell>
          <cell r="I49">
            <v>638.48907996560615</v>
          </cell>
          <cell r="J49">
            <v>597.81528374892514</v>
          </cell>
          <cell r="K49">
            <v>416.13508168529671</v>
          </cell>
          <cell r="L49">
            <v>431.66165090283738</v>
          </cell>
          <cell r="M49">
            <v>333.9829750644883</v>
          </cell>
          <cell r="N49">
            <v>178.77901977644021</v>
          </cell>
          <cell r="O49">
            <v>188.98826311263969</v>
          </cell>
          <cell r="P49">
            <v>149.2818572656922</v>
          </cell>
          <cell r="Q49">
            <v>107.9009458297506</v>
          </cell>
          <cell r="R49">
            <v>125.4783319002579</v>
          </cell>
          <cell r="S49">
            <v>124.1677558039553</v>
          </cell>
          <cell r="T49">
            <v>131.5699054170249</v>
          </cell>
          <cell r="U49">
            <v>135.10713671539119</v>
          </cell>
          <cell r="V49">
            <v>99.121754084264822</v>
          </cell>
          <cell r="W49">
            <v>113.70928632846091</v>
          </cell>
        </row>
        <row r="50">
          <cell r="B50">
            <v>28.582072226999131</v>
          </cell>
          <cell r="C50">
            <v>29.774204643164229</v>
          </cell>
          <cell r="D50">
            <v>29.394153052450552</v>
          </cell>
          <cell r="E50">
            <v>137.89750644883921</v>
          </cell>
          <cell r="F50">
            <v>133.96397248495279</v>
          </cell>
          <cell r="G50">
            <v>114.5332760103181</v>
          </cell>
          <cell r="H50">
            <v>20.098194325021488</v>
          </cell>
          <cell r="I50">
            <v>19.6945399828031</v>
          </cell>
          <cell r="J50">
            <v>88.617110920034392</v>
          </cell>
          <cell r="K50">
            <v>66.120055889939806</v>
          </cell>
          <cell r="L50">
            <v>41.82577386070507</v>
          </cell>
          <cell r="M50">
            <v>39.157932072226998</v>
          </cell>
          <cell r="N50">
            <v>14.470571797076531</v>
          </cell>
          <cell r="O50">
            <v>12.458469475494409</v>
          </cell>
          <cell r="P50">
            <v>15.978675838349099</v>
          </cell>
          <cell r="Q50">
            <v>36.059264832330179</v>
          </cell>
          <cell r="R50">
            <v>34.89589423903697</v>
          </cell>
          <cell r="S50">
            <v>25.189789337919169</v>
          </cell>
          <cell r="T50">
            <v>14.550343938091141</v>
          </cell>
          <cell r="U50">
            <v>15.797269991401549</v>
          </cell>
          <cell r="V50">
            <v>52.94155202063628</v>
          </cell>
          <cell r="W50">
            <v>18.686435941530519</v>
          </cell>
        </row>
        <row r="52">
          <cell r="B52">
            <v>2576.582459157351</v>
          </cell>
          <cell r="C52">
            <v>2682.845829750645</v>
          </cell>
          <cell r="D52">
            <v>2810.5578675838351</v>
          </cell>
          <cell r="E52">
            <v>2651.2133705932929</v>
          </cell>
          <cell r="F52">
            <v>2854.949355116079</v>
          </cell>
          <cell r="G52">
            <v>2614.9889939810828</v>
          </cell>
          <cell r="H52">
            <v>2730.517239896818</v>
          </cell>
          <cell r="I52">
            <v>2749.6468185726571</v>
          </cell>
          <cell r="J52">
            <v>2665.5166809974198</v>
          </cell>
          <cell r="K52">
            <v>2566.1836199484092</v>
          </cell>
          <cell r="L52">
            <v>2787.2448839208942</v>
          </cell>
          <cell r="M52">
            <v>2931.6551160791059</v>
          </cell>
          <cell r="N52">
            <v>2734.6116938950991</v>
          </cell>
          <cell r="O52">
            <v>2917.61388650043</v>
          </cell>
          <cell r="P52">
            <v>2896.7305245055891</v>
          </cell>
          <cell r="Q52">
            <v>3108.635081685296</v>
          </cell>
          <cell r="R52">
            <v>3238.696345657781</v>
          </cell>
          <cell r="S52">
            <v>3228.122799656061</v>
          </cell>
          <cell r="T52">
            <v>3483.9397196904561</v>
          </cell>
          <cell r="U52">
            <v>3502.3076302665522</v>
          </cell>
          <cell r="V52">
            <v>3308.9535210662079</v>
          </cell>
          <cell r="W52">
            <v>3712.0303361994838</v>
          </cell>
        </row>
        <row r="53">
          <cell r="B53">
            <v>56.061908856405843</v>
          </cell>
          <cell r="C53">
            <v>62.584780739466893</v>
          </cell>
          <cell r="D53">
            <v>66.98907996560618</v>
          </cell>
          <cell r="E53">
            <v>60.642992261392948</v>
          </cell>
          <cell r="F53">
            <v>42.108512467755801</v>
          </cell>
          <cell r="G53">
            <v>22.9530524505589</v>
          </cell>
          <cell r="H53">
            <v>22.714273430782459</v>
          </cell>
          <cell r="I53">
            <v>22.666466036113501</v>
          </cell>
          <cell r="J53">
            <v>29.139208942390368</v>
          </cell>
          <cell r="K53">
            <v>25.93869303525365</v>
          </cell>
          <cell r="L53">
            <v>22.929234737747201</v>
          </cell>
          <cell r="M53">
            <v>24.020722269991399</v>
          </cell>
          <cell r="N53">
            <v>23.196732588134129</v>
          </cell>
          <cell r="O53">
            <v>26.38529664660361</v>
          </cell>
          <cell r="P53">
            <v>31.67815993121237</v>
          </cell>
          <cell r="Q53">
            <v>32.549957007738598</v>
          </cell>
          <cell r="R53">
            <v>29.977558039552878</v>
          </cell>
          <cell r="S53">
            <v>33.981427343078238</v>
          </cell>
          <cell r="T53">
            <v>35.004643164230437</v>
          </cell>
          <cell r="U53">
            <v>31.620894239036971</v>
          </cell>
          <cell r="V53">
            <v>32.911006018916588</v>
          </cell>
          <cell r="W53">
            <v>29.735511607910571</v>
          </cell>
        </row>
        <row r="55">
          <cell r="B55">
            <v>7.3207222699914007</v>
          </cell>
          <cell r="C55">
            <v>7.2609845227858978</v>
          </cell>
          <cell r="D55">
            <v>7.260963026655201</v>
          </cell>
          <cell r="E55">
            <v>11.536242476354261</v>
          </cell>
          <cell r="F55">
            <v>11.321281169389509</v>
          </cell>
          <cell r="G55">
            <v>70.095227858985382</v>
          </cell>
          <cell r="H55">
            <v>11.16612209802236</v>
          </cell>
          <cell r="I55">
            <v>12.28875752364574</v>
          </cell>
          <cell r="J55">
            <v>17.220743766122101</v>
          </cell>
          <cell r="K55">
            <v>13.972527944969899</v>
          </cell>
          <cell r="L55">
            <v>16.796883061049009</v>
          </cell>
          <cell r="M55">
            <v>16.420700773860698</v>
          </cell>
          <cell r="N55">
            <v>8.9978933791917441</v>
          </cell>
          <cell r="O55">
            <v>23.855223559759239</v>
          </cell>
          <cell r="P55">
            <v>13.343035253654341</v>
          </cell>
          <cell r="Q55">
            <v>11.692067927773</v>
          </cell>
          <cell r="R55">
            <v>12.12188306104901</v>
          </cell>
          <cell r="S55">
            <v>12.069067067927771</v>
          </cell>
          <cell r="T55">
            <v>9.7307179707652622</v>
          </cell>
          <cell r="U55">
            <v>7.7403912295786768</v>
          </cell>
          <cell r="V55">
            <v>22.306190885640589</v>
          </cell>
          <cell r="W55">
            <v>8.8661865864144449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0.45382631126397238</v>
          </cell>
          <cell r="F56">
            <v>0.45382631126397238</v>
          </cell>
          <cell r="G56">
            <v>9.5528804815133275E-2</v>
          </cell>
          <cell r="H56">
            <v>0.47773000859845233</v>
          </cell>
          <cell r="I56">
            <v>0.45382631126397238</v>
          </cell>
          <cell r="J56">
            <v>7.7300085984522773E-2</v>
          </cell>
          <cell r="K56">
            <v>0.17867583834909709</v>
          </cell>
          <cell r="L56">
            <v>0.41891659501289769</v>
          </cell>
          <cell r="M56">
            <v>1.038607050730868</v>
          </cell>
          <cell r="N56">
            <v>1.1311263972484951</v>
          </cell>
          <cell r="O56">
            <v>2.4625107480653492</v>
          </cell>
          <cell r="P56">
            <v>1.995356835769561</v>
          </cell>
          <cell r="Q56">
            <v>0.48529664660361133</v>
          </cell>
          <cell r="R56">
            <v>0.38211521926053299</v>
          </cell>
          <cell r="S56">
            <v>0.46423043852106621</v>
          </cell>
          <cell r="T56">
            <v>0.47007738607050731</v>
          </cell>
          <cell r="U56">
            <v>0.33301805674978502</v>
          </cell>
          <cell r="V56">
            <v>0.14333619948409279</v>
          </cell>
          <cell r="W56">
            <v>0.20808254514187441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</v>
          </cell>
          <cell r="F57">
            <v>0.76388650042992257</v>
          </cell>
          <cell r="G57">
            <v>8.5984522785898529E-4</v>
          </cell>
          <cell r="H57">
            <v>6.1049011177987961E-3</v>
          </cell>
          <cell r="I57">
            <v>6.1049011177987953E-3</v>
          </cell>
          <cell r="J57">
            <v>6.964746345657781E-3</v>
          </cell>
          <cell r="K57">
            <v>1.1435941530524499E-2</v>
          </cell>
          <cell r="L57">
            <v>1.298366294067068E-2</v>
          </cell>
          <cell r="M57">
            <v>9.630266552020636E-3</v>
          </cell>
          <cell r="N57">
            <v>8.7704213241616494E-3</v>
          </cell>
          <cell r="O57">
            <v>8.856405846947548E-3</v>
          </cell>
          <cell r="P57">
            <v>1.066208082545142E-2</v>
          </cell>
          <cell r="Q57">
            <v>6.2768701633705926E-3</v>
          </cell>
          <cell r="R57">
            <v>0.21126397248495271</v>
          </cell>
          <cell r="S57">
            <v>0.33310404127257093</v>
          </cell>
          <cell r="T57">
            <v>0.43834909716251069</v>
          </cell>
          <cell r="U57">
            <v>0.53215821152192588</v>
          </cell>
          <cell r="V57">
            <v>0.48822012037833179</v>
          </cell>
          <cell r="W57">
            <v>0.81453138435081684</v>
          </cell>
        </row>
        <row r="58">
          <cell r="B58">
            <v>9.888220120378332E-3</v>
          </cell>
          <cell r="C58">
            <v>1.255374032674119E-2</v>
          </cell>
          <cell r="D58">
            <v>1.6079105760963028E-2</v>
          </cell>
          <cell r="E58">
            <v>1.788478073946689E-2</v>
          </cell>
          <cell r="F58">
            <v>2.0808254514187441E-2</v>
          </cell>
          <cell r="G58">
            <v>0.21315563198624249</v>
          </cell>
          <cell r="H58">
            <v>0.2149613069647463</v>
          </cell>
          <cell r="I58">
            <v>0.2149613069647463</v>
          </cell>
          <cell r="J58">
            <v>0.226225279449699</v>
          </cell>
          <cell r="K58">
            <v>0.23000859845227861</v>
          </cell>
          <cell r="L58">
            <v>0.23465176268271709</v>
          </cell>
          <cell r="M58">
            <v>0.23465176268271709</v>
          </cell>
          <cell r="N58">
            <v>0.23465176268271709</v>
          </cell>
          <cell r="O58">
            <v>0.23465176268271709</v>
          </cell>
          <cell r="P58">
            <v>0.23490971625107479</v>
          </cell>
          <cell r="Q58">
            <v>0.23490971625107479</v>
          </cell>
          <cell r="R58">
            <v>0.23490971625107479</v>
          </cell>
          <cell r="S58">
            <v>0.23490971625107479</v>
          </cell>
          <cell r="T58">
            <v>0.37394668959587268</v>
          </cell>
          <cell r="U58">
            <v>0.2312123817712812</v>
          </cell>
          <cell r="V58">
            <v>0.2256233877901978</v>
          </cell>
          <cell r="W58">
            <v>0.2255374032674119</v>
          </cell>
        </row>
        <row r="59"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</row>
        <row r="60">
          <cell r="B60">
            <v>1.2532584363458251E-3</v>
          </cell>
          <cell r="C60">
            <v>2.3770812676243468E-3</v>
          </cell>
          <cell r="D60">
            <v>4.3494507083674206E-3</v>
          </cell>
          <cell r="E60">
            <v>7.9982499277393218E-3</v>
          </cell>
          <cell r="F60">
            <v>1.01948366979363E-2</v>
          </cell>
          <cell r="G60">
            <v>7.3110800934600817E-2</v>
          </cell>
          <cell r="H60">
            <v>7.9349178009402804E-2</v>
          </cell>
          <cell r="I60">
            <v>7.5942890300538482E-2</v>
          </cell>
          <cell r="J60">
            <v>4.0484845956324539E-2</v>
          </cell>
          <cell r="K60">
            <v>6.3594656383937326E-2</v>
          </cell>
          <cell r="L60">
            <v>0.1139481548950087</v>
          </cell>
          <cell r="M60">
            <v>0.16181654758818079</v>
          </cell>
          <cell r="N60">
            <v>0.1977047936734225</v>
          </cell>
          <cell r="O60">
            <v>0.26266322041389428</v>
          </cell>
          <cell r="P60">
            <v>6.5626514750076446</v>
          </cell>
          <cell r="Q60">
            <v>8.2974578696899979</v>
          </cell>
          <cell r="R60">
            <v>9.2583119285139102</v>
          </cell>
          <cell r="S60">
            <v>10.757542235796491</v>
          </cell>
          <cell r="T60">
            <v>12.70033226500261</v>
          </cell>
          <cell r="U60">
            <v>13.725560433996071</v>
          </cell>
          <cell r="V60">
            <v>14.552307277742621</v>
          </cell>
          <cell r="W60">
            <v>15.74722331322114</v>
          </cell>
        </row>
        <row r="61">
          <cell r="B61">
            <v>88.474527085124663</v>
          </cell>
          <cell r="C61">
            <v>97.556814273430774</v>
          </cell>
          <cell r="D61">
            <v>90.021044711951845</v>
          </cell>
          <cell r="E61">
            <v>101.47979363714531</v>
          </cell>
          <cell r="F61">
            <v>111.0573946689596</v>
          </cell>
          <cell r="G61">
            <v>127.1619088564058</v>
          </cell>
          <cell r="H61">
            <v>120.36360705073091</v>
          </cell>
          <cell r="I61">
            <v>177.2104901117799</v>
          </cell>
          <cell r="J61">
            <v>158.10197764402409</v>
          </cell>
          <cell r="K61">
            <v>170.55030094582969</v>
          </cell>
          <cell r="L61">
            <v>223.32330180567499</v>
          </cell>
          <cell r="M61">
            <v>195.98847807394671</v>
          </cell>
          <cell r="N61">
            <v>197.6344582975064</v>
          </cell>
          <cell r="O61">
            <v>168.5898323301806</v>
          </cell>
          <cell r="P61">
            <v>134.5987747205503</v>
          </cell>
          <cell r="Q61">
            <v>141.158920894239</v>
          </cell>
          <cell r="R61">
            <v>152.63847807394669</v>
          </cell>
          <cell r="S61">
            <v>132.31893809114359</v>
          </cell>
          <cell r="T61">
            <v>131.49537833190021</v>
          </cell>
          <cell r="U61">
            <v>142.24967755803951</v>
          </cell>
          <cell r="V61">
            <v>145.1196689595873</v>
          </cell>
          <cell r="W61">
            <v>139.4652622527945</v>
          </cell>
        </row>
        <row r="62">
          <cell r="B62">
            <v>6204.2039249405698</v>
          </cell>
          <cell r="C62">
            <v>6413.424419604471</v>
          </cell>
          <cell r="D62">
            <v>6459.6805674978496</v>
          </cell>
          <cell r="E62">
            <v>6473.8921754084258</v>
          </cell>
          <cell r="F62">
            <v>6807.155116079105</v>
          </cell>
          <cell r="G62">
            <v>6671.5855546001712</v>
          </cell>
          <cell r="H62">
            <v>6344.0939810834052</v>
          </cell>
          <cell r="I62">
            <v>6492.8467755803949</v>
          </cell>
          <cell r="J62">
            <v>6230.9848667239894</v>
          </cell>
          <cell r="K62">
            <v>4889.1545141874458</v>
          </cell>
          <cell r="L62">
            <v>5370.2816852966471</v>
          </cell>
          <cell r="M62">
            <v>5704.2571797076534</v>
          </cell>
          <cell r="N62">
            <v>5324.9265692175404</v>
          </cell>
          <cell r="O62">
            <v>5035.4879621668106</v>
          </cell>
          <cell r="P62">
            <v>5060.5554600171963</v>
          </cell>
          <cell r="Q62">
            <v>5354.0855546001721</v>
          </cell>
          <cell r="R62">
            <v>5338.9857265692181</v>
          </cell>
          <cell r="S62">
            <v>5625.8359071367158</v>
          </cell>
          <cell r="T62">
            <v>5529.5817196904554</v>
          </cell>
          <cell r="U62">
            <v>5240.9824333619936</v>
          </cell>
          <cell r="V62">
            <v>5041.8914789337923</v>
          </cell>
          <cell r="W62">
            <v>5111.7652708512469</v>
          </cell>
        </row>
        <row r="63">
          <cell r="B63">
            <v>11105.870302876563</v>
          </cell>
          <cell r="C63">
            <v>11130.396272180147</v>
          </cell>
          <cell r="D63">
            <v>11288.319766475644</v>
          </cell>
          <cell r="E63">
            <v>11083.68097761364</v>
          </cell>
          <cell r="F63">
            <v>11541.523376264042</v>
          </cell>
          <cell r="G63">
            <v>11272.434606931631</v>
          </cell>
          <cell r="H63">
            <v>10805.985759324183</v>
          </cell>
          <cell r="I63">
            <v>10876.383432142233</v>
          </cell>
          <cell r="J63">
            <v>10447.052114252663</v>
          </cell>
          <cell r="K63">
            <v>8619.8743556194095</v>
          </cell>
          <cell r="L63">
            <v>9441.7221252830113</v>
          </cell>
          <cell r="M63">
            <v>9816.5569498236</v>
          </cell>
          <cell r="N63">
            <v>9025.0935388435428</v>
          </cell>
          <cell r="O63">
            <v>8860.37638635025</v>
          </cell>
          <cell r="P63">
            <v>8730.4657211224712</v>
          </cell>
          <cell r="Q63">
            <v>9247.0413873623802</v>
          </cell>
          <cell r="R63">
            <v>9414.6104572423574</v>
          </cell>
          <cell r="S63">
            <v>9511.2345680311537</v>
          </cell>
          <cell r="T63">
            <v>9710.8916211729975</v>
          </cell>
          <cell r="U63">
            <v>9440.8298287057059</v>
          </cell>
          <cell r="V63">
            <v>9042.2427071057737</v>
          </cell>
          <cell r="W63">
            <v>9497.2515663914673</v>
          </cell>
        </row>
        <row r="64">
          <cell r="B64">
            <v>2096.8087617897331</v>
          </cell>
          <cell r="C64">
            <v>1865.7610703477931</v>
          </cell>
          <cell r="D64">
            <v>2186.8933276796802</v>
          </cell>
          <cell r="E64">
            <v>2244.3132319062329</v>
          </cell>
          <cell r="F64">
            <v>2441.3270845567831</v>
          </cell>
          <cell r="G64">
            <v>2327.7644789246792</v>
          </cell>
          <cell r="H64">
            <v>2394.5086250941131</v>
          </cell>
          <cell r="I64">
            <v>2170.0964898249149</v>
          </cell>
          <cell r="J64">
            <v>2112.7068844813411</v>
          </cell>
          <cell r="K64">
            <v>1631.1027716288991</v>
          </cell>
          <cell r="L64">
            <v>1983.323479457131</v>
          </cell>
          <cell r="M64">
            <v>2111.7717261541079</v>
          </cell>
          <cell r="N64">
            <v>1902.3250051865971</v>
          </cell>
          <cell r="O64">
            <v>1982.9434566547379</v>
          </cell>
          <cell r="P64">
            <v>1887.2809909901709</v>
          </cell>
          <cell r="Q64">
            <v>1984.1873469239349</v>
          </cell>
          <cell r="R64">
            <v>1975.8061820152529</v>
          </cell>
          <cell r="S64">
            <v>1945.2773188408221</v>
          </cell>
          <cell r="T64">
            <v>2090.219450578064</v>
          </cell>
          <cell r="U64">
            <v>2053.7991241953991</v>
          </cell>
          <cell r="V64">
            <v>1952.5073657914329</v>
          </cell>
          <cell r="W64">
            <v>2038.608167666652</v>
          </cell>
        </row>
        <row r="65">
          <cell r="B65">
            <v>4069.9499704778445</v>
          </cell>
          <cell r="C65">
            <v>4151.2972873232884</v>
          </cell>
          <cell r="D65">
            <v>4158.13196928054</v>
          </cell>
          <cell r="E65">
            <v>4135.7527311775184</v>
          </cell>
          <cell r="F65">
            <v>4305.9417109600954</v>
          </cell>
          <cell r="G65">
            <v>4313.473850823324</v>
          </cell>
          <cell r="H65">
            <v>4032.1733756065187</v>
          </cell>
          <cell r="I65">
            <v>4209.7439503248852</v>
          </cell>
          <cell r="J65">
            <v>4138.6511001061745</v>
          </cell>
          <cell r="K65">
            <v>3064.960890421949</v>
          </cell>
          <cell r="L65">
            <v>3332.8190473854811</v>
          </cell>
          <cell r="M65">
            <v>3573.0229781682597</v>
          </cell>
          <cell r="N65">
            <v>3101.2307864935688</v>
          </cell>
          <cell r="O65">
            <v>2866.8417123816171</v>
          </cell>
          <cell r="P65">
            <v>2721.5017657986455</v>
          </cell>
          <cell r="Q65">
            <v>2915.6498208585376</v>
          </cell>
          <cell r="R65">
            <v>2959.4451330811767</v>
          </cell>
          <cell r="S65">
            <v>3240.028084202007</v>
          </cell>
          <cell r="T65">
            <v>3277.2425179745455</v>
          </cell>
          <cell r="U65">
            <v>3093.5788687811628</v>
          </cell>
          <cell r="V65">
            <v>2918.3459404938417</v>
          </cell>
          <cell r="W65">
            <v>2998.8014013515285</v>
          </cell>
        </row>
        <row r="66">
          <cell r="B66">
            <v>3650.2451818409472</v>
          </cell>
          <cell r="C66">
            <v>3728.0313704324749</v>
          </cell>
          <cell r="D66">
            <v>3722.2949623018881</v>
          </cell>
          <cell r="E66">
            <v>3726.938165766006</v>
          </cell>
          <cell r="F66">
            <v>3884.499367883127</v>
          </cell>
          <cell r="G66">
            <v>3850.5063446888048</v>
          </cell>
          <cell r="H66">
            <v>3530.804679415025</v>
          </cell>
          <cell r="I66">
            <v>3685.4669226128349</v>
          </cell>
          <cell r="J66">
            <v>3648.2210848411842</v>
          </cell>
          <cell r="K66">
            <v>2679.0053636819998</v>
          </cell>
          <cell r="L66">
            <v>2855.436195941084</v>
          </cell>
          <cell r="M66">
            <v>3111.876943270941</v>
          </cell>
          <cell r="N66">
            <v>2636.2585436301429</v>
          </cell>
          <cell r="O66">
            <v>2410.9881818308131</v>
          </cell>
          <cell r="P66">
            <v>2315.2157619958771</v>
          </cell>
          <cell r="Q66">
            <v>2513.0540182116488</v>
          </cell>
          <cell r="R66">
            <v>2529.7023875213431</v>
          </cell>
          <cell r="S66">
            <v>2777.7821048270798</v>
          </cell>
          <cell r="T66">
            <v>2796.5048943972929</v>
          </cell>
          <cell r="U66">
            <v>2638.1758994258162</v>
          </cell>
          <cell r="V66">
            <v>2530.9960379665731</v>
          </cell>
          <cell r="W66">
            <v>2572.7921147009029</v>
          </cell>
        </row>
        <row r="67">
          <cell r="B67">
            <v>419.70478863689749</v>
          </cell>
          <cell r="C67">
            <v>423.26591689081391</v>
          </cell>
          <cell r="D67">
            <v>435.83700697865208</v>
          </cell>
          <cell r="E67">
            <v>408.81456541151238</v>
          </cell>
          <cell r="F67">
            <v>421.44234307696843</v>
          </cell>
          <cell r="G67">
            <v>462.96750613451911</v>
          </cell>
          <cell r="H67">
            <v>501.36869619149343</v>
          </cell>
          <cell r="I67">
            <v>524.27702771205009</v>
          </cell>
          <cell r="J67">
            <v>490.43001526498989</v>
          </cell>
          <cell r="K67">
            <v>385.95552673994928</v>
          </cell>
          <cell r="L67">
            <v>477.38285144439698</v>
          </cell>
          <cell r="M67">
            <v>461.14603489731888</v>
          </cell>
          <cell r="N67">
            <v>464.97224286342589</v>
          </cell>
          <cell r="O67">
            <v>455.85353055080373</v>
          </cell>
          <cell r="P67">
            <v>406.28600380276822</v>
          </cell>
          <cell r="Q67">
            <v>402.59580264688901</v>
          </cell>
          <cell r="R67">
            <v>429.74274555983351</v>
          </cell>
          <cell r="S67">
            <v>462.245979374927</v>
          </cell>
          <cell r="T67">
            <v>480.73762357725252</v>
          </cell>
          <cell r="U67">
            <v>455.40296935534678</v>
          </cell>
          <cell r="V67">
            <v>387.34990252726863</v>
          </cell>
          <cell r="W67">
            <v>426.00928665062543</v>
          </cell>
        </row>
        <row r="68">
          <cell r="B68">
            <v>4939.1115706089849</v>
          </cell>
          <cell r="C68">
            <v>5113.3379145090666</v>
          </cell>
          <cell r="D68">
            <v>4943.2944695154247</v>
          </cell>
          <cell r="E68">
            <v>4703.6150145298898</v>
          </cell>
          <cell r="F68">
            <v>4794.2545807471633</v>
          </cell>
          <cell r="G68">
            <v>4631.196277183627</v>
          </cell>
          <cell r="H68">
            <v>4379.3037586235514</v>
          </cell>
          <cell r="I68">
            <v>4496.5429919924327</v>
          </cell>
          <cell r="J68">
            <v>4195.6941296651476</v>
          </cell>
          <cell r="K68">
            <v>3923.810693568561</v>
          </cell>
          <cell r="L68">
            <v>4125.5795984403994</v>
          </cell>
          <cell r="M68">
            <v>4131.7622455012324</v>
          </cell>
          <cell r="N68">
            <v>4021.5377471633769</v>
          </cell>
          <cell r="O68">
            <v>4010.591217313895</v>
          </cell>
          <cell r="P68">
            <v>4121.682964333655</v>
          </cell>
          <cell r="Q68">
            <v>4347.2042195799086</v>
          </cell>
          <cell r="R68">
            <v>4479.3591421459278</v>
          </cell>
          <cell r="S68">
            <v>4325.9291649883244</v>
          </cell>
          <cell r="T68">
            <v>4343.429652620388</v>
          </cell>
          <cell r="U68">
            <v>4293.4518357291436</v>
          </cell>
          <cell r="V68">
            <v>4171.3894008204988</v>
          </cell>
          <cell r="W68">
            <v>4459.8419973732862</v>
          </cell>
        </row>
        <row r="73">
          <cell r="B73">
            <v>20611.024775386642</v>
          </cell>
          <cell r="C73">
            <v>19970.782402724926</v>
          </cell>
          <cell r="D73">
            <v>20443.21484750809</v>
          </cell>
          <cell r="E73">
            <v>19745.806166343555</v>
          </cell>
          <cell r="F73">
            <v>19856.605721693784</v>
          </cell>
          <cell r="G73">
            <v>19374.185928774608</v>
          </cell>
          <cell r="H73">
            <v>18461.435397791283</v>
          </cell>
          <cell r="I73">
            <v>18292.54733203974</v>
          </cell>
          <cell r="J73">
            <v>17879.582370992663</v>
          </cell>
          <cell r="K73">
            <v>14249.564981989895</v>
          </cell>
          <cell r="L73">
            <v>15435.962509986392</v>
          </cell>
          <cell r="M73">
            <v>15944.00094219327</v>
          </cell>
          <cell r="N73">
            <v>14432.070140831242</v>
          </cell>
          <cell r="O73">
            <v>14555.366319243389</v>
          </cell>
          <cell r="P73">
            <v>14167.453384139193</v>
          </cell>
          <cell r="Q73">
            <v>14843.636495121867</v>
          </cell>
          <cell r="R73">
            <v>15267.911934006315</v>
          </cell>
          <cell r="S73">
            <v>14667.481421998449</v>
          </cell>
          <cell r="T73">
            <v>15398.56456538213</v>
          </cell>
          <cell r="U73">
            <v>15129.315763434874</v>
          </cell>
          <cell r="V73">
            <v>14453.915004023098</v>
          </cell>
          <cell r="W73">
            <v>15326.585699089224</v>
          </cell>
        </row>
        <row r="74">
          <cell r="B74">
            <v>4844.4856110727706</v>
          </cell>
          <cell r="C74">
            <v>4302.4248903074522</v>
          </cell>
          <cell r="D74">
            <v>4896.2194264571499</v>
          </cell>
          <cell r="E74">
            <v>5005.1438499904152</v>
          </cell>
          <cell r="F74">
            <v>5291.4924224040224</v>
          </cell>
          <cell r="G74">
            <v>5106.9963493495379</v>
          </cell>
          <cell r="H74">
            <v>5320.1863020163964</v>
          </cell>
          <cell r="I74">
            <v>4551.3567069075816</v>
          </cell>
          <cell r="J74">
            <v>4398.49804207956</v>
          </cell>
          <cell r="K74">
            <v>3317.641390550898</v>
          </cell>
          <cell r="L74">
            <v>4031.380169554262</v>
          </cell>
          <cell r="M74">
            <v>4201.0137186628644</v>
          </cell>
          <cell r="N74">
            <v>3526.8584755607212</v>
          </cell>
          <cell r="O74">
            <v>3723.1896440866162</v>
          </cell>
          <cell r="P74">
            <v>3466.984829350105</v>
          </cell>
          <cell r="Q74">
            <v>3669.4226698111679</v>
          </cell>
          <cell r="R74">
            <v>3731.3061943327589</v>
          </cell>
          <cell r="S74">
            <v>3400.0794958910892</v>
          </cell>
          <cell r="T74">
            <v>3733.0989753994199</v>
          </cell>
          <cell r="U74">
            <v>3735.5048539923132</v>
          </cell>
          <cell r="V74">
            <v>3648.0870124094431</v>
          </cell>
          <cell r="W74">
            <v>3848.9191349567909</v>
          </cell>
        </row>
        <row r="75">
          <cell r="B75">
            <v>5631.0389591956991</v>
          </cell>
          <cell r="C75">
            <v>5603.4277517689789</v>
          </cell>
          <cell r="D75">
            <v>5713.6522553364539</v>
          </cell>
          <cell r="E75">
            <v>5712.6205352790166</v>
          </cell>
          <cell r="F75">
            <v>5804.6071852513332</v>
          </cell>
          <cell r="G75">
            <v>5813.8356653668488</v>
          </cell>
          <cell r="H75">
            <v>5507.2035635980528</v>
          </cell>
          <cell r="I75">
            <v>5800.8614162462809</v>
          </cell>
          <cell r="J75">
            <v>5822.6375997030655</v>
          </cell>
          <cell r="K75">
            <v>4328.8078762364648</v>
          </cell>
          <cell r="L75">
            <v>4602.3309436359023</v>
          </cell>
          <cell r="M75">
            <v>4958.4685478614765</v>
          </cell>
          <cell r="N75">
            <v>4434.7917583280851</v>
          </cell>
          <cell r="O75">
            <v>4367.4286215333914</v>
          </cell>
          <cell r="P75">
            <v>4273.5021786200787</v>
          </cell>
          <cell r="Q75">
            <v>4474.867667286554</v>
          </cell>
          <cell r="R75">
            <v>4544.9413936481778</v>
          </cell>
          <cell r="S75">
            <v>4512.1896536754493</v>
          </cell>
          <cell r="T75">
            <v>4560.1798846335141</v>
          </cell>
          <cell r="U75">
            <v>4322.1542524587267</v>
          </cell>
          <cell r="V75">
            <v>4104.7335104012272</v>
          </cell>
          <cell r="W75">
            <v>4224.316202336262</v>
          </cell>
        </row>
        <row r="76">
          <cell r="B76">
            <v>5022.6873301584883</v>
          </cell>
          <cell r="C76">
            <v>4986.0153134703723</v>
          </cell>
          <cell r="D76">
            <v>5098.3497583132876</v>
          </cell>
          <cell r="E76">
            <v>5139.5694809484521</v>
          </cell>
          <cell r="F76">
            <v>5228.8013541287346</v>
          </cell>
          <cell r="G76">
            <v>5197.824922700227</v>
          </cell>
          <cell r="H76">
            <v>4854.1328664188259</v>
          </cell>
          <cell r="I76">
            <v>5136.240134052121</v>
          </cell>
          <cell r="J76">
            <v>5175.1758000516938</v>
          </cell>
          <cell r="K76">
            <v>3748.8592241044817</v>
          </cell>
          <cell r="L76">
            <v>3886.8993028613831</v>
          </cell>
          <cell r="M76">
            <v>4277.8842268658673</v>
          </cell>
          <cell r="N76">
            <v>3769.726775858634</v>
          </cell>
          <cell r="O76">
            <v>3702.4747188884689</v>
          </cell>
          <cell r="P76">
            <v>3672.2695744747371</v>
          </cell>
          <cell r="Q76">
            <v>3878.2437400661333</v>
          </cell>
          <cell r="R76">
            <v>3903.8348909512083</v>
          </cell>
          <cell r="S76">
            <v>3822.8022532890718</v>
          </cell>
          <cell r="T76">
            <v>3840.7707778389977</v>
          </cell>
          <cell r="U76">
            <v>3640.1127257683588</v>
          </cell>
          <cell r="V76">
            <v>3537.8525886962093</v>
          </cell>
          <cell r="W76">
            <v>3592.8064370567695</v>
          </cell>
        </row>
        <row r="77">
          <cell r="B77">
            <v>608.35162903721096</v>
          </cell>
          <cell r="C77">
            <v>617.41243829860628</v>
          </cell>
          <cell r="D77">
            <v>615.3024970231661</v>
          </cell>
          <cell r="E77">
            <v>573.05105433056485</v>
          </cell>
          <cell r="F77">
            <v>575.80583112259831</v>
          </cell>
          <cell r="G77">
            <v>616.01074266662158</v>
          </cell>
          <cell r="H77">
            <v>653.07069717922684</v>
          </cell>
          <cell r="I77">
            <v>664.62128219416024</v>
          </cell>
          <cell r="J77">
            <v>647.46179965137128</v>
          </cell>
          <cell r="K77">
            <v>579.94865213198295</v>
          </cell>
          <cell r="L77">
            <v>715.43164077451911</v>
          </cell>
          <cell r="M77">
            <v>680.58432099560957</v>
          </cell>
          <cell r="N77">
            <v>665.06498246945114</v>
          </cell>
          <cell r="O77">
            <v>664.9539026449221</v>
          </cell>
          <cell r="P77">
            <v>601.23260414534161</v>
          </cell>
          <cell r="Q77">
            <v>596.62392722042057</v>
          </cell>
          <cell r="R77">
            <v>641.10650269696976</v>
          </cell>
          <cell r="S77">
            <v>689.38740038637764</v>
          </cell>
          <cell r="T77">
            <v>719.40910679451679</v>
          </cell>
          <cell r="U77">
            <v>682.04152669036773</v>
          </cell>
          <cell r="V77">
            <v>566.88092170501841</v>
          </cell>
          <cell r="W77">
            <v>631.50976527949263</v>
          </cell>
        </row>
        <row r="78">
          <cell r="B78">
            <v>10135.500205118173</v>
          </cell>
          <cell r="C78">
            <v>10064.929760648494</v>
          </cell>
          <cell r="D78">
            <v>9833.3431657144884</v>
          </cell>
          <cell r="E78">
            <v>9028.0417810741237</v>
          </cell>
          <cell r="F78">
            <v>8760.5061140384278</v>
          </cell>
          <cell r="G78">
            <v>8453.3539140582216</v>
          </cell>
          <cell r="H78">
            <v>7634.0455321768331</v>
          </cell>
          <cell r="I78">
            <v>7940.3292088858761</v>
          </cell>
          <cell r="J78">
            <v>7658.4467292100362</v>
          </cell>
          <cell r="K78">
            <v>6603.1157152025326</v>
          </cell>
          <cell r="L78">
            <v>6802.2513967962268</v>
          </cell>
          <cell r="M78">
            <v>6784.5186756689291</v>
          </cell>
          <cell r="N78">
            <v>6470.4199069424358</v>
          </cell>
          <cell r="O78">
            <v>6464.7480536233816</v>
          </cell>
          <cell r="P78">
            <v>6426.9663761690108</v>
          </cell>
          <cell r="Q78">
            <v>6699.3461580241465</v>
          </cell>
          <cell r="R78">
            <v>6991.6643460253781</v>
          </cell>
          <cell r="S78">
            <v>6755.2122724319106</v>
          </cell>
          <cell r="T78">
            <v>7105.285705349198</v>
          </cell>
          <cell r="U78">
            <v>7071.6566569838342</v>
          </cell>
          <cell r="V78">
            <v>6701.0944812124271</v>
          </cell>
          <cell r="W78">
            <v>7253.3503617961724</v>
          </cell>
        </row>
        <row r="96">
          <cell r="B96">
            <v>1.8558675919390237</v>
          </cell>
          <cell r="C96">
            <v>1.7942561894800519</v>
          </cell>
          <cell r="D96">
            <v>1.8110060018162224</v>
          </cell>
          <cell r="E96">
            <v>1.7815206163209962</v>
          </cell>
          <cell r="F96">
            <v>1.7204492920345591</v>
          </cell>
          <cell r="G96">
            <v>1.7187224059708504</v>
          </cell>
          <cell r="H96">
            <v>1.7084452829175187</v>
          </cell>
          <cell r="I96">
            <v>1.6818593649412013</v>
          </cell>
          <cell r="J96">
            <v>1.7114476098573277</v>
          </cell>
          <cell r="K96">
            <v>1.65310587998309</v>
          </cell>
          <cell r="L96">
            <v>1.6348672736991512</v>
          </cell>
          <cell r="M96">
            <v>1.6241948193943681</v>
          </cell>
          <cell r="N96">
            <v>1.5991047714593036</v>
          </cell>
          <cell r="O96">
            <v>1.6427480825381739</v>
          </cell>
          <cell r="P96">
            <v>1.6227603242130011</v>
          </cell>
          <cell r="Q96">
            <v>1.6052308920568006</v>
          </cell>
          <cell r="R96">
            <v>1.6217252963728521</v>
          </cell>
          <cell r="S96">
            <v>1.5421217211168676</v>
          </cell>
          <cell r="T96">
            <v>1.5857003832488563</v>
          </cell>
          <cell r="U96">
            <v>1.6025408823102401</v>
          </cell>
          <cell r="V96">
            <v>1.5984878389367503</v>
          </cell>
          <cell r="W96">
            <v>1.6137916945705002</v>
          </cell>
        </row>
        <row r="97">
          <cell r="B97">
            <v>2.3104088934356395</v>
          </cell>
          <cell r="C97">
            <v>2.3059892065951644</v>
          </cell>
          <cell r="D97">
            <v>2.2388926631607116</v>
          </cell>
          <cell r="E97">
            <v>2.2301449632051757</v>
          </cell>
          <cell r="F97">
            <v>2.167465578814352</v>
          </cell>
          <cell r="G97">
            <v>2.1939489134694319</v>
          </cell>
          <cell r="H97">
            <v>2.2218279968848695</v>
          </cell>
          <cell r="I97">
            <v>2.0973061466381102</v>
          </cell>
          <cell r="J97">
            <v>2.0819253604881252</v>
          </cell>
          <cell r="K97">
            <v>2.0339867286460063</v>
          </cell>
          <cell r="L97">
            <v>2.0326387557604666</v>
          </cell>
          <cell r="M97">
            <v>1.9893313593669606</v>
          </cell>
          <cell r="N97">
            <v>1.8539726208428697</v>
          </cell>
          <cell r="O97">
            <v>1.8776075694905117</v>
          </cell>
          <cell r="P97">
            <v>1.837026307106042</v>
          </cell>
          <cell r="Q97">
            <v>1.8493327636121841</v>
          </cell>
          <cell r="R97">
            <v>1.8884980866528911</v>
          </cell>
          <cell r="S97">
            <v>1.7478636402943175</v>
          </cell>
          <cell r="T97">
            <v>1.785984229726217</v>
          </cell>
          <cell r="U97">
            <v>1.8188267830018394</v>
          </cell>
          <cell r="V97">
            <v>1.8684113956879855</v>
          </cell>
          <cell r="W97">
            <v>1.88801320234196</v>
          </cell>
        </row>
        <row r="98">
          <cell r="B98">
            <v>1.3835646629667466</v>
          </cell>
          <cell r="C98">
            <v>1.3498016075312227</v>
          </cell>
          <cell r="D98">
            <v>1.3740911297543683</v>
          </cell>
          <cell r="E98">
            <v>1.3812770991394685</v>
          </cell>
          <cell r="F98">
            <v>1.3480459269749567</v>
          </cell>
          <cell r="G98">
            <v>1.3478314385184338</v>
          </cell>
          <cell r="H98">
            <v>1.3658151697828866</v>
          </cell>
          <cell r="I98">
            <v>1.3779606277000771</v>
          </cell>
          <cell r="J98">
            <v>1.4068925983042373</v>
          </cell>
          <cell r="K98">
            <v>1.4123533810053033</v>
          </cell>
          <cell r="L98">
            <v>1.3809123382340016</v>
          </cell>
          <cell r="M98">
            <v>1.3877516540359551</v>
          </cell>
          <cell r="N98">
            <v>1.4300102325961743</v>
          </cell>
          <cell r="O98">
            <v>1.5234285878675764</v>
          </cell>
          <cell r="P98">
            <v>1.5702735277726292</v>
          </cell>
          <cell r="Q98">
            <v>1.5347754161948335</v>
          </cell>
          <cell r="R98">
            <v>1.5357410559310787</v>
          </cell>
          <cell r="S98">
            <v>1.392639056332984</v>
          </cell>
          <cell r="T98">
            <v>1.3914685469941572</v>
          </cell>
          <cell r="U98">
            <v>1.3971372432349234</v>
          </cell>
          <cell r="V98">
            <v>1.4065273939753096</v>
          </cell>
          <cell r="W98">
            <v>1.4086682100496575</v>
          </cell>
        </row>
        <row r="99">
          <cell r="B99">
            <v>1.3759862913168397</v>
          </cell>
          <cell r="C99">
            <v>1.3374392053176214</v>
          </cell>
          <cell r="D99">
            <v>1.3696791387967922</v>
          </cell>
          <cell r="E99">
            <v>1.3790326676622242</v>
          </cell>
          <cell r="F99">
            <v>1.3460682726222686</v>
          </cell>
          <cell r="G99">
            <v>1.3499068583200351</v>
          </cell>
          <cell r="H99">
            <v>1.3747950700073974</v>
          </cell>
          <cell r="I99">
            <v>1.3936470579990314</v>
          </cell>
          <cell r="J99">
            <v>1.4185477468882568</v>
          </cell>
          <cell r="K99">
            <v>1.3993474126352941</v>
          </cell>
          <cell r="L99">
            <v>1.3612278601729897</v>
          </cell>
          <cell r="M99">
            <v>1.3746958201918225</v>
          </cell>
          <cell r="N99">
            <v>1.4299533651459311</v>
          </cell>
          <cell r="O99">
            <v>1.5356668882868392</v>
          </cell>
          <cell r="P99">
            <v>1.5861457211698426</v>
          </cell>
          <cell r="Q99">
            <v>1.5432393064220671</v>
          </cell>
          <cell r="R99">
            <v>1.5431992752223591</v>
          </cell>
          <cell r="S99">
            <v>1.37620666741499</v>
          </cell>
          <cell r="T99">
            <v>1.3734182212710793</v>
          </cell>
          <cell r="U99">
            <v>1.3797839357719128</v>
          </cell>
          <cell r="V99">
            <v>1.3978104017652095</v>
          </cell>
          <cell r="W99">
            <v>1.3964620058214254</v>
          </cell>
        </row>
        <row r="100">
          <cell r="B100">
            <v>1.4494750727362298</v>
          </cell>
          <cell r="C100">
            <v>1.4586868766423133</v>
          </cell>
          <cell r="D100">
            <v>1.411772032137933</v>
          </cell>
          <cell r="E100">
            <v>1.4017383498891047</v>
          </cell>
          <cell r="F100">
            <v>1.3662742735307885</v>
          </cell>
          <cell r="G100">
            <v>1.3305701469416613</v>
          </cell>
          <cell r="H100">
            <v>1.3025757334673964</v>
          </cell>
          <cell r="I100">
            <v>1.2676910241415189</v>
          </cell>
          <cell r="J100">
            <v>1.3201920345383709</v>
          </cell>
          <cell r="K100">
            <v>1.5026307746662821</v>
          </cell>
          <cell r="L100">
            <v>1.4986538343592948</v>
          </cell>
          <cell r="M100">
            <v>1.4758542186037704</v>
          </cell>
          <cell r="N100">
            <v>1.4303326546414892</v>
          </cell>
          <cell r="O100">
            <v>1.4587007845293296</v>
          </cell>
          <cell r="P100">
            <v>1.4798260302297057</v>
          </cell>
          <cell r="Q100">
            <v>1.4819427408281025</v>
          </cell>
          <cell r="R100">
            <v>1.4918378711938207</v>
          </cell>
          <cell r="S100">
            <v>1.4913864720221104</v>
          </cell>
          <cell r="T100">
            <v>1.4964693244545084</v>
          </cell>
          <cell r="U100">
            <v>1.4976659630828559</v>
          </cell>
          <cell r="V100">
            <v>1.4634853862267623</v>
          </cell>
          <cell r="W100">
            <v>1.4823849739158392</v>
          </cell>
        </row>
        <row r="101">
          <cell r="B101">
            <v>2.0520897453362208</v>
          </cell>
          <cell r="C101">
            <v>1.9683678115794605</v>
          </cell>
          <cell r="D101">
            <v>1.9892286867301312</v>
          </cell>
          <cell r="E101">
            <v>1.9193836555895181</v>
          </cell>
          <cell r="F101">
            <v>1.8272926409079306</v>
          </cell>
          <cell r="G101">
            <v>1.8253067691613722</v>
          </cell>
          <cell r="H101">
            <v>1.7432098691816418</v>
          </cell>
          <cell r="I101">
            <v>1.7658741889105103</v>
          </cell>
          <cell r="J101">
            <v>1.8253110194715854</v>
          </cell>
          <cell r="K101">
            <v>1.6828323869002055</v>
          </cell>
          <cell r="L101">
            <v>1.6487989710264455</v>
          </cell>
          <cell r="M101">
            <v>1.6420399511264436</v>
          </cell>
          <cell r="N101">
            <v>1.60894173168122</v>
          </cell>
          <cell r="O101">
            <v>1.6119189673868495</v>
          </cell>
          <cell r="P101">
            <v>1.5593063396150961</v>
          </cell>
          <cell r="Q101">
            <v>1.5410700348168913</v>
          </cell>
          <cell r="R101">
            <v>1.5608626422117784</v>
          </cell>
          <cell r="S101">
            <v>1.5615633115550893</v>
          </cell>
          <cell r="T101">
            <v>1.6358698709584452</v>
          </cell>
          <cell r="U101">
            <v>1.6470795358958246</v>
          </cell>
          <cell r="V101">
            <v>1.606441844027878</v>
          </cell>
          <cell r="W101">
            <v>1.6263693570463211</v>
          </cell>
        </row>
      </sheetData>
      <sheetData sheetId="11"/>
      <sheetData sheetId="12"/>
      <sheetData sheetId="13"/>
      <sheetData sheetId="14">
        <row r="3">
          <cell r="B3">
            <v>193919.37752477662</v>
          </cell>
          <cell r="C3">
            <v>199916.85306153726</v>
          </cell>
          <cell r="D3">
            <v>205177.76579871034</v>
          </cell>
          <cell r="E3">
            <v>197591.10743346094</v>
          </cell>
          <cell r="F3">
            <v>196428.92299655903</v>
          </cell>
          <cell r="G3">
            <v>200474.54624530801</v>
          </cell>
          <cell r="H3">
            <v>202142.7175686952</v>
          </cell>
          <cell r="I3">
            <v>209114.86015316629</v>
          </cell>
          <cell r="J3">
            <v>205386.23588912925</v>
          </cell>
          <cell r="K3">
            <v>198041.18818606815</v>
          </cell>
          <cell r="L3">
            <v>209869.09964646248</v>
          </cell>
          <cell r="M3">
            <v>215228.9171649155</v>
          </cell>
          <cell r="N3">
            <v>211905.22721252608</v>
          </cell>
          <cell r="O3">
            <v>209274.80276131839</v>
          </cell>
          <cell r="P3">
            <v>215718.28920409473</v>
          </cell>
          <cell r="Q3">
            <v>277695.3442467422</v>
          </cell>
          <cell r="R3">
            <v>279611.05414692324</v>
          </cell>
          <cell r="S3">
            <v>284331.30140105169</v>
          </cell>
          <cell r="T3">
            <v>293350.03339497553</v>
          </cell>
          <cell r="U3">
            <v>296911.74434386124</v>
          </cell>
          <cell r="V3">
            <v>309678.44844126096</v>
          </cell>
          <cell r="W3">
            <v>343099.86111633223</v>
          </cell>
        </row>
        <row r="5">
          <cell r="B5">
            <v>46231.891836254217</v>
          </cell>
          <cell r="C5">
            <v>47451.230221916478</v>
          </cell>
          <cell r="D5">
            <v>48230.988271586022</v>
          </cell>
          <cell r="E5">
            <v>48337.567610988182</v>
          </cell>
          <cell r="F5">
            <v>48758.350017214361</v>
          </cell>
          <cell r="G5">
            <v>49158.515895756573</v>
          </cell>
          <cell r="H5">
            <v>51309.175602457923</v>
          </cell>
          <cell r="I5">
            <v>53506.921361537563</v>
          </cell>
          <cell r="J5">
            <v>57080.994670163731</v>
          </cell>
          <cell r="K5">
            <v>50889.831397604918</v>
          </cell>
          <cell r="L5">
            <v>59162.077743336456</v>
          </cell>
          <cell r="M5">
            <v>62238.898559649788</v>
          </cell>
          <cell r="N5">
            <v>58915.241424511863</v>
          </cell>
          <cell r="O5">
            <v>57836.64861025069</v>
          </cell>
          <cell r="P5">
            <v>56972.610257210566</v>
          </cell>
          <cell r="Q5">
            <v>66213.425538716008</v>
          </cell>
          <cell r="R5">
            <v>64912.300749086411</v>
          </cell>
          <cell r="S5">
            <v>71702.508905105235</v>
          </cell>
          <cell r="T5">
            <v>67004.756206716818</v>
          </cell>
          <cell r="U5">
            <v>64029.532512620397</v>
          </cell>
          <cell r="V5">
            <v>59559.569032262618</v>
          </cell>
          <cell r="W5">
            <v>66143.799386523227</v>
          </cell>
        </row>
        <row r="6">
          <cell r="B6">
            <v>75311.81117311072</v>
          </cell>
          <cell r="C6">
            <v>71848.680934133328</v>
          </cell>
          <cell r="D6">
            <v>69613.550593443491</v>
          </cell>
          <cell r="E6">
            <v>64523.71747860944</v>
          </cell>
          <cell r="F6">
            <v>66087.617337746837</v>
          </cell>
          <cell r="G6">
            <v>66332.958863840613</v>
          </cell>
          <cell r="H6">
            <v>65269.848165254487</v>
          </cell>
          <cell r="I6">
            <v>67729.901475447754</v>
          </cell>
          <cell r="J6">
            <v>60858.544970257972</v>
          </cell>
          <cell r="K6">
            <v>56286.547836145597</v>
          </cell>
          <cell r="L6">
            <v>58160.468552715232</v>
          </cell>
          <cell r="M6">
            <v>59555.211136530539</v>
          </cell>
          <cell r="N6">
            <v>59809.84207470699</v>
          </cell>
          <cell r="O6">
            <v>60382.269975366908</v>
          </cell>
          <cell r="P6">
            <v>65055.999517598051</v>
          </cell>
          <cell r="Q6">
            <v>65716.943963594647</v>
          </cell>
          <cell r="R6">
            <v>69854.461700899687</v>
          </cell>
          <cell r="S6">
            <v>67454.910554700895</v>
          </cell>
          <cell r="T6">
            <v>67247.195297589831</v>
          </cell>
          <cell r="U6">
            <v>69443.417942853441</v>
          </cell>
          <cell r="V6">
            <v>72459.579193828133</v>
          </cell>
          <cell r="W6">
            <v>78492.07163788451</v>
          </cell>
        </row>
        <row r="7">
          <cell r="B7">
            <v>72375.674515411694</v>
          </cell>
          <cell r="C7">
            <v>80616.941905487445</v>
          </cell>
          <cell r="D7">
            <v>87333.226933680839</v>
          </cell>
          <cell r="E7">
            <v>84729.822343863329</v>
          </cell>
          <cell r="F7">
            <v>81582.95564159783</v>
          </cell>
          <cell r="G7">
            <v>84983.071485710811</v>
          </cell>
          <cell r="H7">
            <v>85563.693800982772</v>
          </cell>
          <cell r="I7">
            <v>87878.037316180969</v>
          </cell>
          <cell r="J7">
            <v>87446.696248707551</v>
          </cell>
          <cell r="K7">
            <v>90864.808952317617</v>
          </cell>
          <cell r="L7">
            <v>92546.553350410773</v>
          </cell>
          <cell r="M7">
            <v>93434.807468735176</v>
          </cell>
          <cell r="N7">
            <v>93180.143713307232</v>
          </cell>
          <cell r="O7">
            <v>91055.884175700819</v>
          </cell>
          <cell r="P7">
            <v>93689.679429286101</v>
          </cell>
          <cell r="Q7">
            <v>145764.97474443159</v>
          </cell>
          <cell r="R7">
            <v>144844.29169693711</v>
          </cell>
          <cell r="S7">
            <v>145173.88194124561</v>
          </cell>
          <cell r="T7">
            <v>159098.08189066889</v>
          </cell>
          <cell r="U7">
            <v>163438.79388838739</v>
          </cell>
          <cell r="V7">
            <v>177659.30021517019</v>
          </cell>
          <cell r="W7">
            <v>198463.9900919245</v>
          </cell>
        </row>
        <row r="32">
          <cell r="B32">
            <v>50351.464982567522</v>
          </cell>
          <cell r="C32">
            <v>50175.39794007648</v>
          </cell>
          <cell r="D32">
            <v>50513.305068779438</v>
          </cell>
          <cell r="E32">
            <v>53775.491537522401</v>
          </cell>
          <cell r="F32">
            <v>51400.298225349958</v>
          </cell>
          <cell r="G32">
            <v>52023.376103883311</v>
          </cell>
          <cell r="H32">
            <v>50492.00775212334</v>
          </cell>
          <cell r="I32">
            <v>52898.152313517348</v>
          </cell>
          <cell r="J32">
            <v>51744.697913584278</v>
          </cell>
          <cell r="K32">
            <v>47020.029020361937</v>
          </cell>
          <cell r="L32">
            <v>49156.835011272633</v>
          </cell>
          <cell r="M32">
            <v>52870.848457042317</v>
          </cell>
          <cell r="N32">
            <v>53263.356728298342</v>
          </cell>
          <cell r="O32">
            <v>53130.324112897513</v>
          </cell>
          <cell r="P32">
            <v>51856.082745756154</v>
          </cell>
          <cell r="Q32">
            <v>50567.914384924799</v>
          </cell>
          <cell r="R32">
            <v>51336.529402842847</v>
          </cell>
          <cell r="S32">
            <v>51677.178738680261</v>
          </cell>
          <cell r="T32">
            <v>51144.796225824532</v>
          </cell>
          <cell r="U32">
            <v>50527.488678706359</v>
          </cell>
          <cell r="V32">
            <v>50318.822870054893</v>
          </cell>
          <cell r="W32">
            <v>51763.233029601673</v>
          </cell>
        </row>
        <row r="33">
          <cell r="B33">
            <v>2954.6414445399819</v>
          </cell>
          <cell r="C33">
            <v>3058.5771281169391</v>
          </cell>
          <cell r="D33">
            <v>3241.7502149613069</v>
          </cell>
          <cell r="E33">
            <v>3097.6360275150469</v>
          </cell>
          <cell r="F33">
            <v>2927.1174548581248</v>
          </cell>
          <cell r="G33">
            <v>2638.819174548581</v>
          </cell>
          <cell r="H33">
            <v>2525.490369733448</v>
          </cell>
          <cell r="I33">
            <v>2331.0675838349089</v>
          </cell>
          <cell r="J33">
            <v>2915.9988822012028</v>
          </cell>
          <cell r="K33">
            <v>2666.3105760963031</v>
          </cell>
          <cell r="L33">
            <v>2595.565692175408</v>
          </cell>
          <cell r="M33">
            <v>2475.4062768701629</v>
          </cell>
          <cell r="N33">
            <v>2499.7493551160801</v>
          </cell>
          <cell r="O33">
            <v>2747.3128976784178</v>
          </cell>
          <cell r="P33">
            <v>2755.2083404987088</v>
          </cell>
          <cell r="Q33">
            <v>3031.833533963887</v>
          </cell>
          <cell r="R33">
            <v>2883.4566638005158</v>
          </cell>
          <cell r="S33">
            <v>3059.5576096302671</v>
          </cell>
          <cell r="T33">
            <v>2610.5777300085979</v>
          </cell>
          <cell r="U33">
            <v>2422.373516766982</v>
          </cell>
          <cell r="V33">
            <v>2342.9223559759239</v>
          </cell>
          <cell r="W33">
            <v>2109.0066208082549</v>
          </cell>
        </row>
        <row r="35">
          <cell r="B35">
            <v>2910.6894239036969</v>
          </cell>
          <cell r="C35">
            <v>3195.0584694754939</v>
          </cell>
          <cell r="D35">
            <v>3476.7460017196909</v>
          </cell>
          <cell r="E35">
            <v>4139.2477214101445</v>
          </cell>
          <cell r="F35">
            <v>3706.5979363714532</v>
          </cell>
          <cell r="G35">
            <v>3430.4361134995688</v>
          </cell>
          <cell r="H35">
            <v>3882.977214101461</v>
          </cell>
          <cell r="I35">
            <v>4637.2659501289772</v>
          </cell>
          <cell r="J35">
            <v>4094.0694754944111</v>
          </cell>
          <cell r="K35">
            <v>3646.4961306964751</v>
          </cell>
          <cell r="L35">
            <v>3798.9859845227861</v>
          </cell>
          <cell r="M35">
            <v>3338.155889939811</v>
          </cell>
          <cell r="N35">
            <v>3540.322871883061</v>
          </cell>
          <cell r="O35">
            <v>3246.4560619088561</v>
          </cell>
          <cell r="P35">
            <v>3302.2715391229581</v>
          </cell>
          <cell r="Q35">
            <v>3366.9864144454</v>
          </cell>
          <cell r="R35">
            <v>3698.2637145313838</v>
          </cell>
          <cell r="S35">
            <v>3682.357179707652</v>
          </cell>
          <cell r="T35">
            <v>3745.022184006878</v>
          </cell>
          <cell r="U35">
            <v>3837.5458297506452</v>
          </cell>
          <cell r="V35">
            <v>4064.0682717110908</v>
          </cell>
          <cell r="W35">
            <v>3895.921668099742</v>
          </cell>
        </row>
        <row r="36">
          <cell r="B36">
            <v>853.89931212381759</v>
          </cell>
          <cell r="C36">
            <v>1019.896990541703</v>
          </cell>
          <cell r="D36">
            <v>787.64832330180559</v>
          </cell>
          <cell r="E36">
            <v>559.9758383490971</v>
          </cell>
          <cell r="F36">
            <v>478.22665520206363</v>
          </cell>
          <cell r="G36">
            <v>569.46758383490965</v>
          </cell>
          <cell r="H36">
            <v>507.19286328460879</v>
          </cell>
          <cell r="I36">
            <v>534.15348237317278</v>
          </cell>
          <cell r="J36">
            <v>563.73714531384348</v>
          </cell>
          <cell r="K36">
            <v>655.20756663800523</v>
          </cell>
          <cell r="L36">
            <v>605.08013757523645</v>
          </cell>
          <cell r="M36">
            <v>733.60318142734297</v>
          </cell>
          <cell r="N36">
            <v>729.1530524505589</v>
          </cell>
          <cell r="O36">
            <v>640.41719690455716</v>
          </cell>
          <cell r="P36">
            <v>743.31762682717113</v>
          </cell>
          <cell r="Q36">
            <v>608.2706792777301</v>
          </cell>
          <cell r="R36">
            <v>555.47085124677562</v>
          </cell>
          <cell r="S36">
            <v>535.48916595012895</v>
          </cell>
          <cell r="T36">
            <v>642.72605331040404</v>
          </cell>
          <cell r="U36">
            <v>660.22682717110911</v>
          </cell>
          <cell r="V36">
            <v>616.97403267411858</v>
          </cell>
          <cell r="W36">
            <v>630.05417024935514</v>
          </cell>
        </row>
        <row r="37">
          <cell r="B37">
            <v>235.45210662080819</v>
          </cell>
          <cell r="C37">
            <v>340.14462596732591</v>
          </cell>
          <cell r="D37">
            <v>340.12072226999129</v>
          </cell>
          <cell r="E37">
            <v>427.14557179707651</v>
          </cell>
          <cell r="F37">
            <v>469.67687016337061</v>
          </cell>
          <cell r="G37">
            <v>468.18125537403262</v>
          </cell>
          <cell r="H37">
            <v>356.67179707652622</v>
          </cell>
          <cell r="I37">
            <v>385.49174548581249</v>
          </cell>
          <cell r="J37">
            <v>367.2245915735167</v>
          </cell>
          <cell r="K37">
            <v>329.45778159931211</v>
          </cell>
          <cell r="L37">
            <v>360.65700773860698</v>
          </cell>
          <cell r="M37">
            <v>710.67110920034384</v>
          </cell>
          <cell r="N37">
            <v>513.9185726569217</v>
          </cell>
          <cell r="O37">
            <v>365.51926053310399</v>
          </cell>
          <cell r="P37">
            <v>342.05563198624247</v>
          </cell>
          <cell r="Q37">
            <v>315.04496990541702</v>
          </cell>
          <cell r="R37">
            <v>292.19174548581248</v>
          </cell>
          <cell r="S37">
            <v>271.66801375752362</v>
          </cell>
          <cell r="T37">
            <v>346.92545141874461</v>
          </cell>
          <cell r="U37">
            <v>323.89079965606192</v>
          </cell>
          <cell r="V37">
            <v>358.11521926053308</v>
          </cell>
          <cell r="W37">
            <v>341.83224419604471</v>
          </cell>
        </row>
        <row r="38">
          <cell r="B38">
            <v>2901.129664660361</v>
          </cell>
          <cell r="C38">
            <v>3066.1839208942388</v>
          </cell>
          <cell r="D38">
            <v>2683.9583834909722</v>
          </cell>
          <cell r="E38">
            <v>3305.8111779879619</v>
          </cell>
          <cell r="F38">
            <v>2909.0428202923472</v>
          </cell>
          <cell r="G38">
            <v>2570.7333619948408</v>
          </cell>
          <cell r="H38">
            <v>2541.4241616509021</v>
          </cell>
          <cell r="I38">
            <v>2683.5880481513332</v>
          </cell>
          <cell r="J38">
            <v>2353.9569217540839</v>
          </cell>
          <cell r="K38">
            <v>2078.2858985382641</v>
          </cell>
          <cell r="L38">
            <v>1890.680223559759</v>
          </cell>
          <cell r="M38">
            <v>2038.50369733448</v>
          </cell>
          <cell r="N38">
            <v>1764.679449699054</v>
          </cell>
          <cell r="O38">
            <v>1760.8447979363709</v>
          </cell>
          <cell r="P38">
            <v>1632.315563198624</v>
          </cell>
          <cell r="Q38">
            <v>1805.236027515047</v>
          </cell>
          <cell r="R38">
            <v>1099.822355975924</v>
          </cell>
          <cell r="S38">
            <v>953.99819432502136</v>
          </cell>
          <cell r="T38">
            <v>1013.919260533104</v>
          </cell>
          <cell r="U38">
            <v>846.81375752364568</v>
          </cell>
          <cell r="V38">
            <v>729.78650042992263</v>
          </cell>
          <cell r="W38">
            <v>779.41521926053304</v>
          </cell>
        </row>
        <row r="39">
          <cell r="B39">
            <v>896.60627687016336</v>
          </cell>
          <cell r="C39">
            <v>344.69260533104028</v>
          </cell>
          <cell r="D39">
            <v>570.31951848667234</v>
          </cell>
          <cell r="E39">
            <v>776.64643164230438</v>
          </cell>
          <cell r="F39">
            <v>671.98942390369712</v>
          </cell>
          <cell r="G39">
            <v>654.96061908856393</v>
          </cell>
          <cell r="H39">
            <v>574.48426483233004</v>
          </cell>
          <cell r="I39">
            <v>705.07136715391221</v>
          </cell>
          <cell r="J39">
            <v>442.35460017196903</v>
          </cell>
          <cell r="K39">
            <v>1331.583748925193</v>
          </cell>
          <cell r="L39">
            <v>1471.062252794497</v>
          </cell>
          <cell r="M39">
            <v>1428.0047291487531</v>
          </cell>
          <cell r="N39">
            <v>1910.579535683577</v>
          </cell>
          <cell r="O39">
            <v>1896.8193465176271</v>
          </cell>
          <cell r="P39">
            <v>1990.556061908856</v>
          </cell>
          <cell r="Q39">
            <v>1662.7415305245061</v>
          </cell>
          <cell r="R39">
            <v>1802.272484952709</v>
          </cell>
          <cell r="S39">
            <v>1634.1880481513331</v>
          </cell>
          <cell r="T39">
            <v>1762.1943250214961</v>
          </cell>
          <cell r="U39">
            <v>1572.650730868444</v>
          </cell>
          <cell r="V39">
            <v>1567.2426483233021</v>
          </cell>
          <cell r="W39">
            <v>1679.957867583835</v>
          </cell>
        </row>
        <row r="41">
          <cell r="B41">
            <v>19406.248409286331</v>
          </cell>
          <cell r="C41">
            <v>19070.444196044711</v>
          </cell>
          <cell r="D41">
            <v>19199.362338779021</v>
          </cell>
          <cell r="E41">
            <v>19814.540326741189</v>
          </cell>
          <cell r="F41">
            <v>17758.412639724851</v>
          </cell>
          <cell r="G41">
            <v>18628.763542562341</v>
          </cell>
          <cell r="H41">
            <v>16669.379879621669</v>
          </cell>
          <cell r="I41">
            <v>17771.441788478071</v>
          </cell>
          <cell r="J41">
            <v>17549.241530524501</v>
          </cell>
          <cell r="K41">
            <v>15040.499226139291</v>
          </cell>
          <cell r="L41">
            <v>15802.33895098882</v>
          </cell>
          <cell r="M41">
            <v>19092.169303525359</v>
          </cell>
          <cell r="N41">
            <v>19546.12562338779</v>
          </cell>
          <cell r="O41">
            <v>19388.67489251935</v>
          </cell>
          <cell r="P41">
            <v>18470.482373172828</v>
          </cell>
          <cell r="Q41">
            <v>17335.055631986241</v>
          </cell>
          <cell r="R41">
            <v>18005.944282029232</v>
          </cell>
          <cell r="S41">
            <v>18629.980481513328</v>
          </cell>
          <cell r="T41">
            <v>18152.74496990542</v>
          </cell>
          <cell r="U41">
            <v>17985.090971625112</v>
          </cell>
          <cell r="V41">
            <v>18418.056749785039</v>
          </cell>
          <cell r="W41">
            <v>19826.902837489251</v>
          </cell>
        </row>
        <row r="42">
          <cell r="B42">
            <v>96.844883920894233</v>
          </cell>
          <cell r="C42">
            <v>89.571969045571791</v>
          </cell>
          <cell r="D42">
            <v>91.540068787618239</v>
          </cell>
          <cell r="E42">
            <v>22.053826311263979</v>
          </cell>
          <cell r="F42">
            <v>17.02734307824592</v>
          </cell>
          <cell r="G42">
            <v>17.662682717110918</v>
          </cell>
          <cell r="H42">
            <v>15.692175408426481</v>
          </cell>
          <cell r="I42">
            <v>31.341358555460019</v>
          </cell>
          <cell r="J42">
            <v>20.038349097162509</v>
          </cell>
          <cell r="K42">
            <v>11.92269991401548</v>
          </cell>
          <cell r="L42">
            <v>131.29355116079111</v>
          </cell>
          <cell r="M42">
            <v>213.13895098882199</v>
          </cell>
          <cell r="N42">
            <v>130.95038693035249</v>
          </cell>
          <cell r="O42">
            <v>135.94634565778159</v>
          </cell>
          <cell r="P42">
            <v>111.3834049871023</v>
          </cell>
          <cell r="Q42">
            <v>105.78727429062771</v>
          </cell>
          <cell r="R42">
            <v>92.270937231298362</v>
          </cell>
          <cell r="S42">
            <v>74.252622527944965</v>
          </cell>
          <cell r="T42">
            <v>100.7817712811694</v>
          </cell>
          <cell r="U42">
            <v>82.481599312123819</v>
          </cell>
          <cell r="V42">
            <v>68.962768701633706</v>
          </cell>
          <cell r="W42">
            <v>84.534823731728281</v>
          </cell>
        </row>
        <row r="44">
          <cell r="B44">
            <v>228.87652622527941</v>
          </cell>
          <cell r="C44">
            <v>275.68564058469468</v>
          </cell>
          <cell r="D44">
            <v>310.52364574376611</v>
          </cell>
          <cell r="E44">
            <v>379.62184006878761</v>
          </cell>
          <cell r="F44">
            <v>421.99269131556321</v>
          </cell>
          <cell r="G44">
            <v>375.36079105760962</v>
          </cell>
          <cell r="H44">
            <v>330.42269991401542</v>
          </cell>
          <cell r="I44">
            <v>468.88091143594153</v>
          </cell>
          <cell r="J44">
            <v>439.71590713671537</v>
          </cell>
          <cell r="K44">
            <v>369.88787618228707</v>
          </cell>
          <cell r="L44">
            <v>606.65563198624238</v>
          </cell>
          <cell r="M44">
            <v>623.65219260533092</v>
          </cell>
          <cell r="N44">
            <v>608.15958727429052</v>
          </cell>
          <cell r="O44">
            <v>622.5716251074806</v>
          </cell>
          <cell r="P44">
            <v>629.19931212381766</v>
          </cell>
          <cell r="Q44">
            <v>733.58521066208084</v>
          </cell>
          <cell r="R44">
            <v>919.67489251934637</v>
          </cell>
          <cell r="S44">
            <v>785.56096302665514</v>
          </cell>
          <cell r="T44">
            <v>706.3539982803095</v>
          </cell>
          <cell r="U44">
            <v>705.69423903697339</v>
          </cell>
          <cell r="V44">
            <v>742.94118658641446</v>
          </cell>
          <cell r="W44">
            <v>768.86242476354255</v>
          </cell>
        </row>
        <row r="45">
          <cell r="B45">
            <v>8.9327601031814279</v>
          </cell>
          <cell r="C45">
            <v>7.690799656061909</v>
          </cell>
          <cell r="D45">
            <v>4.4902837489251937</v>
          </cell>
          <cell r="E45">
            <v>9.9837489251934635</v>
          </cell>
          <cell r="F45">
            <v>12.73043852106621</v>
          </cell>
          <cell r="G45">
            <v>31.92441960447119</v>
          </cell>
          <cell r="H45">
            <v>13.9591573516767</v>
          </cell>
          <cell r="I45">
            <v>24.40154772141014</v>
          </cell>
          <cell r="J45">
            <v>17.738091143594151</v>
          </cell>
          <cell r="K45">
            <v>17.662854686156489</v>
          </cell>
          <cell r="L45">
            <v>131.32132416165089</v>
          </cell>
          <cell r="M45">
            <v>157.45399828030949</v>
          </cell>
          <cell r="N45">
            <v>26.38847807394669</v>
          </cell>
          <cell r="O45">
            <v>38.242132416165092</v>
          </cell>
          <cell r="P45">
            <v>38.309974204643169</v>
          </cell>
          <cell r="Q45">
            <v>46.025623387790198</v>
          </cell>
          <cell r="R45">
            <v>40.548065348237323</v>
          </cell>
          <cell r="S45">
            <v>44.222184006878763</v>
          </cell>
          <cell r="T45">
            <v>32.856319862424762</v>
          </cell>
          <cell r="U45">
            <v>43.6030094582975</v>
          </cell>
          <cell r="V45">
            <v>56.515133276010317</v>
          </cell>
          <cell r="W45">
            <v>48.407738607050717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7.6354256233877885E-2</v>
          </cell>
          <cell r="I46">
            <v>5.904815133276009</v>
          </cell>
          <cell r="J46">
            <v>56.520206362854672</v>
          </cell>
          <cell r="K46">
            <v>22.87239896818572</v>
          </cell>
          <cell r="L46">
            <v>14.39578675838349</v>
          </cell>
          <cell r="M46">
            <v>2.0833190025795361</v>
          </cell>
          <cell r="N46">
            <v>5.293121238177128</v>
          </cell>
          <cell r="O46">
            <v>10.250386930352541</v>
          </cell>
          <cell r="P46">
            <v>23.719518486672399</v>
          </cell>
          <cell r="Q46">
            <v>16.362252794496989</v>
          </cell>
          <cell r="R46">
            <v>17.148323301805672</v>
          </cell>
          <cell r="S46">
            <v>7.6217540842648326</v>
          </cell>
          <cell r="T46">
            <v>11.547119518486671</v>
          </cell>
          <cell r="U46">
            <v>9.052880481513327</v>
          </cell>
          <cell r="V46">
            <v>2.6973344797936369</v>
          </cell>
          <cell r="W46">
            <v>3.4415305245055881</v>
          </cell>
        </row>
        <row r="47">
          <cell r="B47">
            <v>2.407566638005159E-3</v>
          </cell>
          <cell r="C47">
            <v>4.3852106620808247E-3</v>
          </cell>
          <cell r="D47">
            <v>7.9965606190885632E-3</v>
          </cell>
          <cell r="E47">
            <v>7.9965606190885632E-3</v>
          </cell>
          <cell r="F47">
            <v>9.114359415305244E-3</v>
          </cell>
          <cell r="G47">
            <v>9.37231298366294E-3</v>
          </cell>
          <cell r="H47">
            <v>1.3069647463456581E-2</v>
          </cell>
          <cell r="I47">
            <v>1.3069647463456581E-2</v>
          </cell>
          <cell r="J47">
            <v>3.172828890799656E-2</v>
          </cell>
          <cell r="K47">
            <v>4.4797936371453143E-2</v>
          </cell>
          <cell r="L47">
            <v>0.18882201203783319</v>
          </cell>
          <cell r="M47">
            <v>0.18882201203783319</v>
          </cell>
          <cell r="N47">
            <v>0.1924333619948409</v>
          </cell>
          <cell r="O47">
            <v>0.20060189165950129</v>
          </cell>
          <cell r="P47">
            <v>0.20060189165950129</v>
          </cell>
          <cell r="Q47">
            <v>0.21281169389509891</v>
          </cell>
          <cell r="R47">
            <v>0.1784178847807395</v>
          </cell>
          <cell r="S47">
            <v>0.1784178847807395</v>
          </cell>
          <cell r="T47">
            <v>0.57738607050730861</v>
          </cell>
          <cell r="U47">
            <v>0.60481513327601011</v>
          </cell>
          <cell r="V47">
            <v>0.58435081685296641</v>
          </cell>
          <cell r="W47">
            <v>0.58435081685296641</v>
          </cell>
        </row>
        <row r="48"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0.3343938091143594</v>
          </cell>
          <cell r="W48">
            <v>0</v>
          </cell>
        </row>
        <row r="49">
          <cell r="B49">
            <v>1.9996343302056321</v>
          </cell>
          <cell r="C49">
            <v>2.1312160868064249</v>
          </cell>
          <cell r="D49">
            <v>2.2806491749648572</v>
          </cell>
          <cell r="E49">
            <v>2.2545641776023442</v>
          </cell>
          <cell r="F49">
            <v>2.1946140000050489</v>
          </cell>
          <cell r="G49">
            <v>2.8013833330082591</v>
          </cell>
          <cell r="H49">
            <v>2.949970524032806</v>
          </cell>
          <cell r="I49">
            <v>2.6046780917236751</v>
          </cell>
          <cell r="J49">
            <v>3.049504297949881</v>
          </cell>
          <cell r="K49">
            <v>3.9340934487886048</v>
          </cell>
          <cell r="L49">
            <v>4.9166105847529016</v>
          </cell>
          <cell r="M49">
            <v>5.663074411196364</v>
          </cell>
          <cell r="N49">
            <v>6.871775589836151</v>
          </cell>
          <cell r="O49">
            <v>7.7153424761897211</v>
          </cell>
          <cell r="P49">
            <v>33.557294337409523</v>
          </cell>
          <cell r="Q49">
            <v>34.071048725323926</v>
          </cell>
          <cell r="R49">
            <v>37.466548156691573</v>
          </cell>
          <cell r="S49">
            <v>41.412960520337947</v>
          </cell>
          <cell r="T49">
            <v>48.725116624191692</v>
          </cell>
          <cell r="U49">
            <v>54.019461165520603</v>
          </cell>
          <cell r="V49">
            <v>61.628717002436787</v>
          </cell>
          <cell r="W49">
            <v>66.457621175195499</v>
          </cell>
        </row>
        <row r="50">
          <cell r="B50">
            <v>4750.2201203783316</v>
          </cell>
          <cell r="C50">
            <v>4633.1614789337918</v>
          </cell>
          <cell r="D50">
            <v>4759.652192605331</v>
          </cell>
          <cell r="E50">
            <v>6050.9872742906282</v>
          </cell>
          <cell r="F50">
            <v>6811.3219260533097</v>
          </cell>
          <cell r="G50">
            <v>7146.0545141874463</v>
          </cell>
          <cell r="H50">
            <v>7475.7909716251079</v>
          </cell>
          <cell r="I50">
            <v>7775.0728288908012</v>
          </cell>
          <cell r="J50">
            <v>7406.3893379191741</v>
          </cell>
          <cell r="K50">
            <v>7212.9428202923464</v>
          </cell>
          <cell r="L50">
            <v>6975.3766981943236</v>
          </cell>
          <cell r="M50">
            <v>8069.5211521926049</v>
          </cell>
          <cell r="N50">
            <v>8041.2233877901981</v>
          </cell>
          <cell r="O50">
            <v>8397.7791917454852</v>
          </cell>
          <cell r="P50">
            <v>7707.0371453138441</v>
          </cell>
          <cell r="Q50">
            <v>7351.2345657781589</v>
          </cell>
          <cell r="R50">
            <v>7616.2259673258814</v>
          </cell>
          <cell r="S50">
            <v>7430.5947549441098</v>
          </cell>
          <cell r="T50">
            <v>7572.6570077386059</v>
          </cell>
          <cell r="U50">
            <v>7735.79845227859</v>
          </cell>
          <cell r="V50">
            <v>7240.0324161650897</v>
          </cell>
          <cell r="W50">
            <v>7232.4302665520208</v>
          </cell>
        </row>
        <row r="51">
          <cell r="B51">
            <v>15105.92201203783</v>
          </cell>
          <cell r="C51">
            <v>15072.154514187439</v>
          </cell>
          <cell r="D51">
            <v>15044.90472914875</v>
          </cell>
          <cell r="E51">
            <v>15189.579191745481</v>
          </cell>
          <cell r="F51">
            <v>15213.95829750645</v>
          </cell>
          <cell r="G51">
            <v>15488.20128976784</v>
          </cell>
          <cell r="H51">
            <v>15595.48280309544</v>
          </cell>
          <cell r="I51">
            <v>15541.853138435081</v>
          </cell>
          <cell r="J51">
            <v>15514.631642304381</v>
          </cell>
          <cell r="K51">
            <v>13632.920550300951</v>
          </cell>
          <cell r="L51">
            <v>14768.31633705933</v>
          </cell>
          <cell r="M51">
            <v>13982.632760103181</v>
          </cell>
          <cell r="N51">
            <v>13939.74909716251</v>
          </cell>
          <cell r="O51">
            <v>13871.57403267412</v>
          </cell>
          <cell r="P51">
            <v>14076.46835769561</v>
          </cell>
          <cell r="Q51">
            <v>14155.466809974199</v>
          </cell>
          <cell r="R51">
            <v>14275.594153052451</v>
          </cell>
          <cell r="S51">
            <v>14526.096388650039</v>
          </cell>
          <cell r="T51">
            <v>14397.187532244199</v>
          </cell>
          <cell r="U51">
            <v>14247.641788478069</v>
          </cell>
          <cell r="V51">
            <v>14047.960791057611</v>
          </cell>
          <cell r="W51">
            <v>14295.423645743769</v>
          </cell>
        </row>
        <row r="52">
          <cell r="B52">
            <v>50351.464982567501</v>
          </cell>
          <cell r="C52">
            <v>50175.397940076502</v>
          </cell>
          <cell r="D52">
            <v>50513.305068779424</v>
          </cell>
          <cell r="E52">
            <v>53775.491537522401</v>
          </cell>
          <cell r="F52">
            <v>51400.298225349965</v>
          </cell>
          <cell r="G52">
            <v>52023.376103883325</v>
          </cell>
          <cell r="H52">
            <v>50492.00775212334</v>
          </cell>
          <cell r="I52">
            <v>52898.152313517348</v>
          </cell>
          <cell r="J52">
            <v>51744.697913584256</v>
          </cell>
          <cell r="K52">
            <v>47020.029020361944</v>
          </cell>
          <cell r="L52">
            <v>49156.835011272633</v>
          </cell>
          <cell r="M52">
            <v>52870.84845704231</v>
          </cell>
          <cell r="N52">
            <v>53263.356728298342</v>
          </cell>
          <cell r="O52">
            <v>53130.324112897528</v>
          </cell>
          <cell r="P52">
            <v>51856.082745756161</v>
          </cell>
          <cell r="Q52">
            <v>50567.914384924821</v>
          </cell>
          <cell r="R52">
            <v>51336.529402842825</v>
          </cell>
          <cell r="S52">
            <v>51677.178738680261</v>
          </cell>
          <cell r="T52">
            <v>51144.796225824539</v>
          </cell>
          <cell r="U52">
            <v>50527.488678706351</v>
          </cell>
          <cell r="V52">
            <v>50318.822870054879</v>
          </cell>
          <cell r="W52">
            <v>51763.233029601681</v>
          </cell>
        </row>
        <row r="53">
          <cell r="B53">
            <v>29023.405762797978</v>
          </cell>
          <cell r="C53">
            <v>28883.147223305161</v>
          </cell>
          <cell r="D53">
            <v>30079.248209629965</v>
          </cell>
          <cell r="E53">
            <v>32198.120431566611</v>
          </cell>
          <cell r="F53">
            <v>30879.451056857186</v>
          </cell>
          <cell r="G53">
            <v>31467.312157719556</v>
          </cell>
          <cell r="H53">
            <v>30959.746055474214</v>
          </cell>
          <cell r="I53">
            <v>32315.036282298097</v>
          </cell>
          <cell r="J53">
            <v>32668.985312398261</v>
          </cell>
          <cell r="K53">
            <v>29657.696491186929</v>
          </cell>
          <cell r="L53">
            <v>32093.249606209778</v>
          </cell>
          <cell r="M53">
            <v>34208.68675824524</v>
          </cell>
          <cell r="N53">
            <v>34481.081745703501</v>
          </cell>
          <cell r="O53">
            <v>35417.197790923892</v>
          </cell>
          <cell r="P53">
            <v>33882.948790705661</v>
          </cell>
          <cell r="Q53">
            <v>34311.057373956937</v>
          </cell>
          <cell r="R53">
            <v>34424.464777542904</v>
          </cell>
          <cell r="S53">
            <v>35626.552938955894</v>
          </cell>
          <cell r="T53">
            <v>33913.458528150426</v>
          </cell>
          <cell r="U53">
            <v>33689.653291975759</v>
          </cell>
          <cell r="V53">
            <v>32740.038523308904</v>
          </cell>
          <cell r="W53">
            <v>33940.034230485675</v>
          </cell>
        </row>
        <row r="54">
          <cell r="B54">
            <v>17694.74822220653</v>
          </cell>
          <cell r="C54">
            <v>17375.0078408425</v>
          </cell>
          <cell r="D54">
            <v>16371.50778155558</v>
          </cell>
          <cell r="E54">
            <v>17459.757004043789</v>
          </cell>
          <cell r="F54">
            <v>16528.289139844459</v>
          </cell>
          <cell r="G54">
            <v>16537.04319757218</v>
          </cell>
          <cell r="H54">
            <v>15456.133551197299</v>
          </cell>
          <cell r="I54">
            <v>16463.29566178051</v>
          </cell>
          <cell r="J54">
            <v>14979.294264754401</v>
          </cell>
          <cell r="K54">
            <v>13403.30829750175</v>
          </cell>
          <cell r="L54">
            <v>13133.086396578579</v>
          </cell>
          <cell r="M54">
            <v>14655.15532238211</v>
          </cell>
          <cell r="N54">
            <v>14801.767569230949</v>
          </cell>
          <cell r="O54">
            <v>13746.61802685246</v>
          </cell>
          <cell r="P54">
            <v>13124.867770675161</v>
          </cell>
          <cell r="Q54">
            <v>11723.073608064111</v>
          </cell>
          <cell r="R54">
            <v>12110.514225957781</v>
          </cell>
          <cell r="S54">
            <v>11541.316979983279</v>
          </cell>
          <cell r="T54">
            <v>12781.55182490183</v>
          </cell>
          <cell r="U54">
            <v>12231.14653864765</v>
          </cell>
          <cell r="V54">
            <v>13089.52418502736</v>
          </cell>
          <cell r="W54">
            <v>13297.353804132579</v>
          </cell>
        </row>
        <row r="55">
          <cell r="B55">
            <v>3633.310997562995</v>
          </cell>
          <cell r="C55">
            <v>3917.2428759288382</v>
          </cell>
          <cell r="D55">
            <v>4062.5490775938788</v>
          </cell>
          <cell r="E55">
            <v>4117.6141019120041</v>
          </cell>
          <cell r="F55">
            <v>3992.55802864832</v>
          </cell>
          <cell r="G55">
            <v>4019.0207485915871</v>
          </cell>
          <cell r="H55">
            <v>4076.1281454518248</v>
          </cell>
          <cell r="I55">
            <v>4119.8203694387448</v>
          </cell>
          <cell r="J55">
            <v>4096.4183364316013</v>
          </cell>
          <cell r="K55">
            <v>3959.024231673272</v>
          </cell>
          <cell r="L55">
            <v>3930.4990084842748</v>
          </cell>
          <cell r="M55">
            <v>4007.0063764149631</v>
          </cell>
          <cell r="N55">
            <v>3980.50741336389</v>
          </cell>
          <cell r="O55">
            <v>3966.5082951211712</v>
          </cell>
          <cell r="P55">
            <v>4848.2661843753394</v>
          </cell>
          <cell r="Q55">
            <v>4533.7834029037776</v>
          </cell>
          <cell r="R55">
            <v>4801.5503993421389</v>
          </cell>
          <cell r="S55">
            <v>4509.3088197410862</v>
          </cell>
          <cell r="T55">
            <v>4449.7858727722851</v>
          </cell>
          <cell r="U55">
            <v>4606.6888480829457</v>
          </cell>
          <cell r="V55">
            <v>4489.2601617186137</v>
          </cell>
          <cell r="W55">
            <v>4525.8449949834276</v>
          </cell>
        </row>
        <row r="58">
          <cell r="B58">
            <v>76239.28709696373</v>
          </cell>
          <cell r="C58">
            <v>76594.2477513513</v>
          </cell>
          <cell r="D58">
            <v>75853.251250571571</v>
          </cell>
          <cell r="E58">
            <v>75729.977654837887</v>
          </cell>
          <cell r="F58">
            <v>76710.206790145967</v>
          </cell>
          <cell r="G58">
            <v>77972.239985124179</v>
          </cell>
          <cell r="H58">
            <v>77057.807288896962</v>
          </cell>
          <cell r="I58">
            <v>78083.764481033693</v>
          </cell>
          <cell r="J58">
            <v>75827.561701238548</v>
          </cell>
          <cell r="K58">
            <v>68132.160573993344</v>
          </cell>
          <cell r="L58">
            <v>72693.256902036534</v>
          </cell>
          <cell r="M58">
            <v>71202.080829141138</v>
          </cell>
          <cell r="N58">
            <v>70379.176787939039</v>
          </cell>
          <cell r="O58">
            <v>69197.853305542696</v>
          </cell>
          <cell r="P58">
            <v>72448.882888599313</v>
          </cell>
          <cell r="Q58">
            <v>69109.574303970076</v>
          </cell>
          <cell r="R58">
            <v>69167.982226182023</v>
          </cell>
          <cell r="S58">
            <v>75756.250646900371</v>
          </cell>
          <cell r="T58">
            <v>72319.575295113507</v>
          </cell>
          <cell r="U58">
            <v>71629.818553216872</v>
          </cell>
          <cell r="V58">
            <v>71097.67038634757</v>
          </cell>
          <cell r="W58">
            <v>72031.899736361403</v>
          </cell>
        </row>
        <row r="79">
          <cell r="B79">
            <v>133286.5345107638</v>
          </cell>
          <cell r="C79">
            <v>131216.75536689672</v>
          </cell>
          <cell r="D79">
            <v>129785.35695059055</v>
          </cell>
          <cell r="E79">
            <v>137257.8574553472</v>
          </cell>
          <cell r="F79">
            <v>131454.4873425439</v>
          </cell>
          <cell r="G79">
            <v>131476.99607912629</v>
          </cell>
          <cell r="H79">
            <v>124220.40512849636</v>
          </cell>
          <cell r="I79">
            <v>131058.21329475385</v>
          </cell>
          <cell r="J79">
            <v>127936.88308954827</v>
          </cell>
          <cell r="K79">
            <v>113645.34606953115</v>
          </cell>
          <cell r="L79">
            <v>122034.03712677864</v>
          </cell>
          <cell r="M79">
            <v>131940.40629667748</v>
          </cell>
          <cell r="N79">
            <v>131037.86009615193</v>
          </cell>
          <cell r="O79">
            <v>130119.09452786291</v>
          </cell>
          <cell r="P79">
            <v>127822.90894503638</v>
          </cell>
          <cell r="Q79">
            <v>124946.94777949741</v>
          </cell>
          <cell r="R79">
            <v>124309.38296448546</v>
          </cell>
          <cell r="S79">
            <v>127888.34320132661</v>
          </cell>
          <cell r="T79">
            <v>124789.43483786016</v>
          </cell>
          <cell r="U79">
            <v>121367.82874584946</v>
          </cell>
          <cell r="V79">
            <v>121777.48733489847</v>
          </cell>
          <cell r="W79">
            <v>123382.56601551952</v>
          </cell>
        </row>
        <row r="80">
          <cell r="B80">
            <v>96159.73632585688</v>
          </cell>
          <cell r="C80">
            <v>93816.487344867914</v>
          </cell>
          <cell r="D80">
            <v>93969.16584612368</v>
          </cell>
          <cell r="E80">
            <v>100113.62438550228</v>
          </cell>
          <cell r="F80">
            <v>98997.559156532196</v>
          </cell>
          <cell r="G80">
            <v>100024.40817936689</v>
          </cell>
          <cell r="H80">
            <v>95485.453178549826</v>
          </cell>
          <cell r="I80">
            <v>99939.669630152115</v>
          </cell>
          <cell r="J80">
            <v>98898.340291734901</v>
          </cell>
          <cell r="K80">
            <v>87667.049173962412</v>
          </cell>
          <cell r="L80">
            <v>95955.50521597825</v>
          </cell>
          <cell r="M80">
            <v>102116.68496439845</v>
          </cell>
          <cell r="N80">
            <v>101221.56763421201</v>
          </cell>
          <cell r="O80">
            <v>102532.71910963947</v>
          </cell>
          <cell r="P80">
            <v>99679.536898438717</v>
          </cell>
          <cell r="Q80">
            <v>99389.721008323773</v>
          </cell>
          <cell r="R80">
            <v>98309.501516603952</v>
          </cell>
          <cell r="S80">
            <v>103319.49252429631</v>
          </cell>
          <cell r="T80">
            <v>98306.153282386484</v>
          </cell>
          <cell r="U80">
            <v>95825.469610478409</v>
          </cell>
          <cell r="V80">
            <v>95155.50651831468</v>
          </cell>
          <cell r="W80">
            <v>95909.527494264199</v>
          </cell>
        </row>
        <row r="81">
          <cell r="B81">
            <v>30445.820825858766</v>
          </cell>
          <cell r="C81">
            <v>30329.814640801611</v>
          </cell>
          <cell r="D81">
            <v>28460.39345452399</v>
          </cell>
          <cell r="E81">
            <v>29515.679881015636</v>
          </cell>
          <cell r="F81">
            <v>26096.426802630023</v>
          </cell>
          <cell r="G81">
            <v>25224.912153464011</v>
          </cell>
          <cell r="H81">
            <v>22697.384486802715</v>
          </cell>
          <cell r="I81">
            <v>24696.956704726297</v>
          </cell>
          <cell r="J81">
            <v>22975.097849944126</v>
          </cell>
          <cell r="K81">
            <v>20142.514251485867</v>
          </cell>
          <cell r="L81">
            <v>20416.793314995411</v>
          </cell>
          <cell r="M81">
            <v>23499.90374073344</v>
          </cell>
          <cell r="N81">
            <v>23456.375350186991</v>
          </cell>
          <cell r="O81">
            <v>21409.585960978948</v>
          </cell>
          <cell r="P81">
            <v>20785.618933297919</v>
          </cell>
          <cell r="Q81">
            <v>18628.092383021271</v>
          </cell>
          <cell r="R81">
            <v>18888.703724385057</v>
          </cell>
          <cell r="S81">
            <v>18133.832529016847</v>
          </cell>
          <cell r="T81">
            <v>20181.886494892991</v>
          </cell>
          <cell r="U81">
            <v>19199.173897194727</v>
          </cell>
          <cell r="V81">
            <v>20433.198545868698</v>
          </cell>
          <cell r="W81">
            <v>20939.865049615917</v>
          </cell>
        </row>
        <row r="82">
          <cell r="B82">
            <v>6680.9773590481418</v>
          </cell>
          <cell r="C82">
            <v>7070.4533812271966</v>
          </cell>
          <cell r="D82">
            <v>7355.7976499428742</v>
          </cell>
          <cell r="E82">
            <v>7628.553188829278</v>
          </cell>
          <cell r="F82">
            <v>6360.5013833816811</v>
          </cell>
          <cell r="G82">
            <v>6227.6757462953747</v>
          </cell>
          <cell r="H82">
            <v>6037.5674631438278</v>
          </cell>
          <cell r="I82">
            <v>6421.5869598754298</v>
          </cell>
          <cell r="J82">
            <v>6063.4449478692413</v>
          </cell>
          <cell r="K82">
            <v>5835.7826440828667</v>
          </cell>
          <cell r="L82">
            <v>5661.7385958049754</v>
          </cell>
          <cell r="M82">
            <v>6323.8175915456022</v>
          </cell>
          <cell r="N82">
            <v>6359.9171117529131</v>
          </cell>
          <cell r="O82">
            <v>6176.7894572444966</v>
          </cell>
          <cell r="P82">
            <v>7357.7531132997547</v>
          </cell>
          <cell r="Q82">
            <v>6929.1343881523599</v>
          </cell>
          <cell r="R82">
            <v>7111.1777234964393</v>
          </cell>
          <cell r="S82">
            <v>6435.0181480134625</v>
          </cell>
          <cell r="T82">
            <v>6301.3950605806758</v>
          </cell>
          <cell r="U82">
            <v>6343.1852381763219</v>
          </cell>
          <cell r="V82">
            <v>6188.7822707150926</v>
          </cell>
          <cell r="W82">
            <v>6533.1734716394039</v>
          </cell>
        </row>
        <row r="100">
          <cell r="B100">
            <v>2.6471232675535812</v>
          </cell>
          <cell r="C100">
            <v>2.6151612294855404</v>
          </cell>
          <cell r="D100">
            <v>2.5693301353746998</v>
          </cell>
          <cell r="E100">
            <v>2.5524240417137634</v>
          </cell>
          <cell r="F100">
            <v>2.5574654599515969</v>
          </cell>
          <cell r="G100">
            <v>2.5272676616870329</v>
          </cell>
          <cell r="H100">
            <v>2.460199359437683</v>
          </cell>
          <cell r="I100">
            <v>2.4775574866584487</v>
          </cell>
          <cell r="J100">
            <v>2.4724636194264398</v>
          </cell>
          <cell r="K100">
            <v>2.416956102266913</v>
          </cell>
          <cell r="L100">
            <v>2.4825446369521922</v>
          </cell>
          <cell r="M100">
            <v>2.495522771946423</v>
          </cell>
          <cell r="N100">
            <v>2.4601877941074766</v>
          </cell>
          <cell r="O100">
            <v>2.4490551620082468</v>
          </cell>
          <cell r="P100">
            <v>2.4649549710828715</v>
          </cell>
          <cell r="Q100">
            <v>2.4708740571817271</v>
          </cell>
          <cell r="R100">
            <v>2.421460593664551</v>
          </cell>
          <cell r="S100">
            <v>2.4747547432499921</v>
          </cell>
          <cell r="T100">
            <v>2.4399243724985307</v>
          </cell>
          <cell r="U100">
            <v>2.4020158515615511</v>
          </cell>
          <cell r="V100">
            <v>2.4201179675721147</v>
          </cell>
          <cell r="W100">
            <v>2.3835946635126346</v>
          </cell>
        </row>
        <row r="101">
          <cell r="B101">
            <v>3.3131789257177333</v>
          </cell>
          <cell r="C101">
            <v>3.2481393602830617</v>
          </cell>
          <cell r="D101">
            <v>3.1240530079484885</v>
          </cell>
          <cell r="E101">
            <v>3.1093002648487582</v>
          </cell>
          <cell r="F101">
            <v>3.2059364971952276</v>
          </cell>
          <cell r="G101">
            <v>3.1786765796210186</v>
          </cell>
          <cell r="H101">
            <v>3.084180761930583</v>
          </cell>
          <cell r="I101">
            <v>3.0926677215243674</v>
          </cell>
          <cell r="J101">
            <v>3.0272853394746186</v>
          </cell>
          <cell r="K101">
            <v>2.9559628543644152</v>
          </cell>
          <cell r="L101">
            <v>2.9898968285658318</v>
          </cell>
          <cell r="M101">
            <v>2.9851097671788147</v>
          </cell>
          <cell r="N101">
            <v>2.9355682162385954</v>
          </cell>
          <cell r="O101">
            <v>2.894998066050126</v>
          </cell>
          <cell r="P101">
            <v>2.9418790411117208</v>
          </cell>
          <cell r="Q101">
            <v>2.8967256801524099</v>
          </cell>
          <cell r="R101">
            <v>2.8558033407896875</v>
          </cell>
          <cell r="S101">
            <v>2.9000698636583921</v>
          </cell>
          <cell r="T101">
            <v>2.8987357099184043</v>
          </cell>
          <cell r="U101">
            <v>2.8443590315398772</v>
          </cell>
          <cell r="V101">
            <v>2.9063956797292643</v>
          </cell>
          <cell r="W101">
            <v>2.8258524090737711</v>
          </cell>
        </row>
        <row r="102">
          <cell r="B102">
            <v>1.7206133957673335</v>
          </cell>
          <cell r="C102">
            <v>1.7456000548964901</v>
          </cell>
          <cell r="D102">
            <v>1.7384100373814044</v>
          </cell>
          <cell r="E102">
            <v>1.6904977471438818</v>
          </cell>
          <cell r="F102">
            <v>1.5788946201164777</v>
          </cell>
          <cell r="G102">
            <v>1.525358061419789</v>
          </cell>
          <cell r="H102">
            <v>1.4685033880963378</v>
          </cell>
          <cell r="I102">
            <v>1.5001222848752092</v>
          </cell>
          <cell r="J102">
            <v>1.5337904072025268</v>
          </cell>
          <cell r="K102">
            <v>1.5028016818236019</v>
          </cell>
          <cell r="L102">
            <v>1.5546074013732505</v>
          </cell>
          <cell r="M102">
            <v>1.6035247135759232</v>
          </cell>
          <cell r="N102">
            <v>1.5847009649676391</v>
          </cell>
          <cell r="O102">
            <v>1.5574438686779357</v>
          </cell>
          <cell r="P102">
            <v>1.5836821594301425</v>
          </cell>
          <cell r="Q102">
            <v>1.5890109544486106</v>
          </cell>
          <cell r="R102">
            <v>1.5596946068482251</v>
          </cell>
          <cell r="S102">
            <v>1.5712099893337406</v>
          </cell>
          <cell r="T102">
            <v>1.5789856170338692</v>
          </cell>
          <cell r="U102">
            <v>1.5696953541133443</v>
          </cell>
          <cell r="V102">
            <v>1.5610344774213798</v>
          </cell>
          <cell r="W102">
            <v>1.5747392570022603</v>
          </cell>
        </row>
        <row r="103">
          <cell r="B103">
            <v>1.8388124120201483</v>
          </cell>
          <cell r="C103">
            <v>1.8049565996212793</v>
          </cell>
          <cell r="D103">
            <v>1.8106360094237886</v>
          </cell>
          <cell r="E103">
            <v>1.8526634599602176</v>
          </cell>
          <cell r="F103">
            <v>1.5930892770355121</v>
          </cell>
          <cell r="G103">
            <v>1.5495505337905462</v>
          </cell>
          <cell r="H103">
            <v>1.4812015833900101</v>
          </cell>
          <cell r="I103">
            <v>1.5587055706388144</v>
          </cell>
          <cell r="J103">
            <v>1.4801820639127206</v>
          </cell>
          <cell r="K103">
            <v>1.4740456997951707</v>
          </cell>
          <cell r="L103">
            <v>1.4404630515320551</v>
          </cell>
          <cell r="M103">
            <v>1.5781900495011121</v>
          </cell>
          <cell r="N103">
            <v>1.5977654231720688</v>
          </cell>
          <cell r="O103">
            <v>1.5572359863313496</v>
          </cell>
          <cell r="P103">
            <v>1.5176050228041971</v>
          </cell>
          <cell r="Q103">
            <v>1.5283337937393344</v>
          </cell>
          <cell r="R103">
            <v>1.4810169907767172</v>
          </cell>
          <cell r="S103">
            <v>1.4270519951620759</v>
          </cell>
          <cell r="T103">
            <v>1.4161119749914639</v>
          </cell>
          <cell r="U103">
            <v>1.3769510916319021</v>
          </cell>
          <cell r="V103">
            <v>1.3785750987409593</v>
          </cell>
          <cell r="W103">
            <v>1.4435256794876878</v>
          </cell>
        </row>
      </sheetData>
      <sheetData sheetId="15"/>
      <sheetData sheetId="16"/>
      <sheetData sheetId="17"/>
      <sheetData sheetId="18">
        <row r="3">
          <cell r="B3">
            <v>83102.523023900692</v>
          </cell>
          <cell r="C3">
            <v>81900.153487304793</v>
          </cell>
          <cell r="D3">
            <v>81119.792120644517</v>
          </cell>
          <cell r="E3">
            <v>78314.095199452058</v>
          </cell>
          <cell r="F3">
            <v>78281.43824008209</v>
          </cell>
          <cell r="G3">
            <v>78526.001312601264</v>
          </cell>
          <cell r="H3">
            <v>81432.880638308037</v>
          </cell>
          <cell r="I3">
            <v>85839.803375459349</v>
          </cell>
          <cell r="J3">
            <v>80419.180085911328</v>
          </cell>
          <cell r="K3">
            <v>66831.351590405931</v>
          </cell>
          <cell r="L3">
            <v>64899.202043782025</v>
          </cell>
          <cell r="M3">
            <v>65539.932794292879</v>
          </cell>
          <cell r="N3">
            <v>61913.536712116715</v>
          </cell>
          <cell r="O3">
            <v>60197.319950947072</v>
          </cell>
          <cell r="P3">
            <v>62236.836004087469</v>
          </cell>
          <cell r="Q3">
            <v>62435.099999999991</v>
          </cell>
          <cell r="R3">
            <v>65121.844378480797</v>
          </cell>
          <cell r="S3">
            <v>65606.262303498195</v>
          </cell>
          <cell r="T3">
            <v>67438.680263810849</v>
          </cell>
          <cell r="U3">
            <v>69219.309764854261</v>
          </cell>
          <cell r="V3">
            <v>65652.145924005061</v>
          </cell>
          <cell r="W3">
            <v>68801.680322362809</v>
          </cell>
        </row>
        <row r="4">
          <cell r="B4">
            <v>35196.743127138361</v>
          </cell>
          <cell r="C4">
            <v>34087.492210248864</v>
          </cell>
          <cell r="D4">
            <v>34295.295941851073</v>
          </cell>
          <cell r="E4">
            <v>32659.044641054781</v>
          </cell>
          <cell r="F4">
            <v>32888.344302408252</v>
          </cell>
          <cell r="G4">
            <v>32140.666703245421</v>
          </cell>
          <cell r="H4">
            <v>37443.880459033317</v>
          </cell>
          <cell r="I4">
            <v>38496.600132115564</v>
          </cell>
          <cell r="J4">
            <v>35289.1310675122</v>
          </cell>
          <cell r="K4">
            <v>30345.833905075171</v>
          </cell>
          <cell r="L4">
            <v>26604.077790568481</v>
          </cell>
          <cell r="M4">
            <v>26736.202180668759</v>
          </cell>
          <cell r="N4">
            <v>24830.91238725945</v>
          </cell>
          <cell r="O4">
            <v>23673.55418270583</v>
          </cell>
          <cell r="P4">
            <v>24642.291510152379</v>
          </cell>
          <cell r="Q4">
            <v>24464.92947467657</v>
          </cell>
          <cell r="R4">
            <v>25179.112401502829</v>
          </cell>
          <cell r="S4">
            <v>25756.70491742995</v>
          </cell>
          <cell r="T4">
            <v>26657.578286546908</v>
          </cell>
          <cell r="U4">
            <v>27761.76954289489</v>
          </cell>
          <cell r="V4">
            <v>27876.163385500291</v>
          </cell>
          <cell r="W4">
            <v>28724.57974685447</v>
          </cell>
        </row>
        <row r="5">
          <cell r="B5">
            <v>28926.048809613061</v>
          </cell>
          <cell r="C5">
            <v>28863.7030173569</v>
          </cell>
          <cell r="D5">
            <v>27823.621539547519</v>
          </cell>
          <cell r="E5">
            <v>27820.102712793148</v>
          </cell>
          <cell r="F5">
            <v>27906.589178024351</v>
          </cell>
          <cell r="G5">
            <v>29329.08237037676</v>
          </cell>
          <cell r="H5">
            <v>25891.047988914968</v>
          </cell>
          <cell r="I5">
            <v>28751.896089563299</v>
          </cell>
          <cell r="J5">
            <v>27666.319354715259</v>
          </cell>
          <cell r="K5">
            <v>22285.8423027463</v>
          </cell>
          <cell r="L5">
            <v>22917.30444474224</v>
          </cell>
          <cell r="M5">
            <v>23169.788288042291</v>
          </cell>
          <cell r="N5">
            <v>22171.397506840349</v>
          </cell>
          <cell r="O5">
            <v>21869.390445108391</v>
          </cell>
          <cell r="P5">
            <v>22793.57695193178</v>
          </cell>
          <cell r="Q5">
            <v>22814.434492528591</v>
          </cell>
          <cell r="R5">
            <v>23971.911574424012</v>
          </cell>
          <cell r="S5">
            <v>23500.586896440109</v>
          </cell>
          <cell r="T5">
            <v>23703.387749819449</v>
          </cell>
          <cell r="U5">
            <v>24368.55134483322</v>
          </cell>
          <cell r="V5">
            <v>22438.889355426822</v>
          </cell>
          <cell r="W5">
            <v>23947.256761015338</v>
          </cell>
        </row>
        <row r="6">
          <cell r="B6">
            <v>18979.731087149259</v>
          </cell>
          <cell r="C6">
            <v>18948.958259699029</v>
          </cell>
          <cell r="D6">
            <v>19000.874639245929</v>
          </cell>
          <cell r="E6">
            <v>17834.947845604129</v>
          </cell>
          <cell r="F6">
            <v>17486.504759649481</v>
          </cell>
          <cell r="G6">
            <v>17056.252238979079</v>
          </cell>
          <cell r="H6">
            <v>18097.952190359742</v>
          </cell>
          <cell r="I6">
            <v>18591.30715378049</v>
          </cell>
          <cell r="J6">
            <v>17463.72966368388</v>
          </cell>
          <cell r="K6">
            <v>14199.675382584461</v>
          </cell>
          <cell r="L6">
            <v>15377.8198084713</v>
          </cell>
          <cell r="M6">
            <v>15633.94232558182</v>
          </cell>
          <cell r="N6">
            <v>14911.22681801691</v>
          </cell>
          <cell r="O6">
            <v>14654.37532313285</v>
          </cell>
          <cell r="P6">
            <v>14800.967542003311</v>
          </cell>
          <cell r="Q6">
            <v>15155.73603279483</v>
          </cell>
          <cell r="R6">
            <v>15970.820402553951</v>
          </cell>
          <cell r="S6">
            <v>16348.970489628129</v>
          </cell>
          <cell r="T6">
            <v>17077.7142274445</v>
          </cell>
          <cell r="U6">
            <v>17088.98887712615</v>
          </cell>
          <cell r="V6">
            <v>15337.093183077939</v>
          </cell>
          <cell r="W6">
            <v>16129.843814493001</v>
          </cell>
        </row>
        <row r="31">
          <cell r="B31">
            <v>41959.502474002024</v>
          </cell>
          <cell r="C31">
            <v>42111.030462118513</v>
          </cell>
          <cell r="D31">
            <v>41155.706408796133</v>
          </cell>
          <cell r="E31">
            <v>42493.50459174448</v>
          </cell>
          <cell r="F31">
            <v>43194.176778821413</v>
          </cell>
          <cell r="G31">
            <v>43838.530204789327</v>
          </cell>
          <cell r="H31">
            <v>42620.655301879553</v>
          </cell>
          <cell r="I31">
            <v>43766.501933284591</v>
          </cell>
          <cell r="J31">
            <v>41996.346892353497</v>
          </cell>
          <cell r="K31">
            <v>34058.263878764526</v>
          </cell>
          <cell r="L31">
            <v>34876.794389534982</v>
          </cell>
          <cell r="M31">
            <v>35615.234520916492</v>
          </cell>
          <cell r="N31">
            <v>32962.389674786893</v>
          </cell>
          <cell r="O31">
            <v>31836.45604138021</v>
          </cell>
          <cell r="P31">
            <v>31742.600594679981</v>
          </cell>
          <cell r="Q31">
            <v>32393.32842394719</v>
          </cell>
          <cell r="R31">
            <v>33011.531422778076</v>
          </cell>
          <cell r="S31">
            <v>32904.709170734102</v>
          </cell>
          <cell r="T31">
            <v>33886.727212036429</v>
          </cell>
          <cell r="U31">
            <v>33547.032616801996</v>
          </cell>
          <cell r="V31">
            <v>33047.626405184703</v>
          </cell>
          <cell r="W31">
            <v>34360.789600544602</v>
          </cell>
        </row>
        <row r="32">
          <cell r="B32">
            <v>7036.1298366294059</v>
          </cell>
          <cell r="C32">
            <v>6212.6609630266548</v>
          </cell>
          <cell r="D32">
            <v>5456.9156491831473</v>
          </cell>
          <cell r="E32">
            <v>5549.9079105760966</v>
          </cell>
          <cell r="F32">
            <v>5463.2133276010327</v>
          </cell>
          <cell r="G32">
            <v>4962.6910576096298</v>
          </cell>
          <cell r="H32">
            <v>4967.1974204643157</v>
          </cell>
          <cell r="I32">
            <v>6664.9936371453141</v>
          </cell>
          <cell r="J32">
            <v>6179.3684436801377</v>
          </cell>
          <cell r="K32">
            <v>4150.2312983662932</v>
          </cell>
          <cell r="L32">
            <v>4480.0000859845222</v>
          </cell>
          <cell r="M32">
            <v>5145.0515907136714</v>
          </cell>
          <cell r="N32">
            <v>4742.9743766122092</v>
          </cell>
          <cell r="O32">
            <v>4075.5613929492688</v>
          </cell>
          <cell r="P32">
            <v>4196.6193465176266</v>
          </cell>
          <cell r="Q32">
            <v>3852.6489251934649</v>
          </cell>
          <cell r="R32">
            <v>3766.1469475494409</v>
          </cell>
          <cell r="S32">
            <v>3795.3564058469469</v>
          </cell>
          <cell r="T32">
            <v>3939.93920894239</v>
          </cell>
          <cell r="U32">
            <v>3756.8239036973341</v>
          </cell>
          <cell r="V32">
            <v>3840.948323301805</v>
          </cell>
          <cell r="W32">
            <v>3711.936199484092</v>
          </cell>
        </row>
        <row r="34"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</row>
        <row r="35">
          <cell r="B35">
            <v>778.82235597592432</v>
          </cell>
          <cell r="C35">
            <v>758.16921754084251</v>
          </cell>
          <cell r="D35">
            <v>720.97858985382629</v>
          </cell>
          <cell r="E35">
            <v>646.1817712811694</v>
          </cell>
          <cell r="F35">
            <v>500.74213241616508</v>
          </cell>
          <cell r="G35">
            <v>451.32218400687867</v>
          </cell>
          <cell r="H35">
            <v>465.60894239036969</v>
          </cell>
          <cell r="I35">
            <v>409.16913155631983</v>
          </cell>
          <cell r="J35">
            <v>347.26655202063631</v>
          </cell>
          <cell r="K35">
            <v>304.0324161650903</v>
          </cell>
          <cell r="L35">
            <v>314.18916595012888</v>
          </cell>
          <cell r="M35">
            <v>272.23361994840923</v>
          </cell>
          <cell r="N35">
            <v>253.3701633705933</v>
          </cell>
          <cell r="O35">
            <v>214.71057609630259</v>
          </cell>
          <cell r="P35">
            <v>187.31771281169389</v>
          </cell>
          <cell r="Q35">
            <v>250.41306964746349</v>
          </cell>
          <cell r="R35">
            <v>266.76302665520211</v>
          </cell>
          <cell r="S35">
            <v>207.43112639724851</v>
          </cell>
          <cell r="T35">
            <v>202.07815993121241</v>
          </cell>
          <cell r="U35">
            <v>208.8169389509888</v>
          </cell>
          <cell r="V35">
            <v>198.25262252794499</v>
          </cell>
          <cell r="W35">
            <v>212.94565778159929</v>
          </cell>
        </row>
        <row r="36">
          <cell r="B36">
            <v>703.96388650042991</v>
          </cell>
          <cell r="C36">
            <v>766.38890799656065</v>
          </cell>
          <cell r="D36">
            <v>690.77867583834905</v>
          </cell>
          <cell r="E36">
            <v>666.46569217540832</v>
          </cell>
          <cell r="F36">
            <v>669.09441100601885</v>
          </cell>
          <cell r="G36">
            <v>687.50687876182269</v>
          </cell>
          <cell r="H36">
            <v>558.30257953568344</v>
          </cell>
          <cell r="I36">
            <v>738.67730008598448</v>
          </cell>
          <cell r="J36">
            <v>788.53740326741183</v>
          </cell>
          <cell r="K36">
            <v>762.0838349097163</v>
          </cell>
          <cell r="L36">
            <v>731.27420464316413</v>
          </cell>
          <cell r="M36">
            <v>613.05382631126395</v>
          </cell>
          <cell r="N36">
            <v>556.13740326741186</v>
          </cell>
          <cell r="O36">
            <v>537.54754944110061</v>
          </cell>
          <cell r="P36">
            <v>470.45313843508171</v>
          </cell>
          <cell r="Q36">
            <v>510.95614789337912</v>
          </cell>
          <cell r="R36">
            <v>479.96328460877038</v>
          </cell>
          <cell r="S36">
            <v>473.87575236457428</v>
          </cell>
          <cell r="T36">
            <v>478.99888220120368</v>
          </cell>
          <cell r="U36">
            <v>481.43568357695608</v>
          </cell>
          <cell r="V36">
            <v>479.67162510748068</v>
          </cell>
          <cell r="W36">
            <v>541.79552880481504</v>
          </cell>
        </row>
        <row r="37">
          <cell r="B37">
            <v>3676.6586414445401</v>
          </cell>
          <cell r="C37">
            <v>3025.968357695614</v>
          </cell>
          <cell r="D37">
            <v>3088.287790197764</v>
          </cell>
          <cell r="E37">
            <v>2472.4133276010321</v>
          </cell>
          <cell r="F37">
            <v>2306.7296646603609</v>
          </cell>
          <cell r="G37">
            <v>2094.8047291487528</v>
          </cell>
          <cell r="H37">
            <v>2249.8569217540839</v>
          </cell>
          <cell r="I37">
            <v>2048.1631126397251</v>
          </cell>
          <cell r="J37">
            <v>1941.2687016337061</v>
          </cell>
          <cell r="K37">
            <v>1582.1212381771279</v>
          </cell>
          <cell r="L37">
            <v>1207.0740326741191</v>
          </cell>
          <cell r="M37">
            <v>1031.360533104041</v>
          </cell>
          <cell r="N37">
            <v>686.47644024075669</v>
          </cell>
          <cell r="O37">
            <v>528.02785898538264</v>
          </cell>
          <cell r="P37">
            <v>399.67540842648322</v>
          </cell>
          <cell r="Q37">
            <v>519.20292347377483</v>
          </cell>
          <cell r="R37">
            <v>629.81642304385218</v>
          </cell>
          <cell r="S37">
            <v>470.44806534823732</v>
          </cell>
          <cell r="T37">
            <v>407.13439380911439</v>
          </cell>
          <cell r="U37">
            <v>341.88099742046433</v>
          </cell>
          <cell r="V37">
            <v>503.02742906276859</v>
          </cell>
          <cell r="W37">
            <v>279.91693895098888</v>
          </cell>
        </row>
        <row r="38">
          <cell r="B38">
            <v>6140.2907996560616</v>
          </cell>
          <cell r="C38">
            <v>6910.3889079965602</v>
          </cell>
          <cell r="D38">
            <v>7357.7298366294062</v>
          </cell>
          <cell r="E38">
            <v>8042.6381771281176</v>
          </cell>
          <cell r="F38">
            <v>9141.8582115219251</v>
          </cell>
          <cell r="G38">
            <v>9400.7837489251942</v>
          </cell>
          <cell r="H38">
            <v>8957.3434221840052</v>
          </cell>
          <cell r="I38">
            <v>8646.6820292347365</v>
          </cell>
          <cell r="J38">
            <v>8421.6527085124671</v>
          </cell>
          <cell r="K38">
            <v>6821.3856405846936</v>
          </cell>
          <cell r="L38">
            <v>6666.1514187446246</v>
          </cell>
          <cell r="M38">
            <v>6437.7489251934639</v>
          </cell>
          <cell r="N38">
            <v>5760.9049011177995</v>
          </cell>
          <cell r="O38">
            <v>5183.9914875322447</v>
          </cell>
          <cell r="P38">
            <v>4888.0321582115221</v>
          </cell>
          <cell r="Q38">
            <v>5387.3232158211522</v>
          </cell>
          <cell r="R38">
            <v>5128.382889079965</v>
          </cell>
          <cell r="S38">
            <v>4549.5393809114357</v>
          </cell>
          <cell r="T38">
            <v>4547.0409286328459</v>
          </cell>
          <cell r="U38">
            <v>4473.6999140154767</v>
          </cell>
          <cell r="V38">
            <v>4184.7562338779016</v>
          </cell>
          <cell r="W38">
            <v>4050.5922613929488</v>
          </cell>
        </row>
        <row r="40">
          <cell r="B40">
            <v>16145.034737747201</v>
          </cell>
          <cell r="C40">
            <v>16784.594840928628</v>
          </cell>
          <cell r="D40">
            <v>16180.39226139295</v>
          </cell>
          <cell r="E40">
            <v>17089.085382631121</v>
          </cell>
          <cell r="F40">
            <v>16605.762252794491</v>
          </cell>
          <cell r="G40">
            <v>17111.098968185721</v>
          </cell>
          <cell r="H40">
            <v>16080.599398108339</v>
          </cell>
          <cell r="I40">
            <v>15514.04350816853</v>
          </cell>
          <cell r="J40">
            <v>14775.897334479791</v>
          </cell>
          <cell r="K40">
            <v>11655.398624247629</v>
          </cell>
          <cell r="L40">
            <v>12257.178331900261</v>
          </cell>
          <cell r="M40">
            <v>12177.807050730869</v>
          </cell>
          <cell r="N40">
            <v>11660.821496130689</v>
          </cell>
          <cell r="O40">
            <v>11796.974892519351</v>
          </cell>
          <cell r="P40">
            <v>11819.263456577821</v>
          </cell>
          <cell r="Q40">
            <v>11825.236543422179</v>
          </cell>
          <cell r="R40">
            <v>12368.53387790198</v>
          </cell>
          <cell r="S40">
            <v>12739.95950128977</v>
          </cell>
          <cell r="T40">
            <v>12997.83293207223</v>
          </cell>
          <cell r="U40">
            <v>12888.046173688739</v>
          </cell>
          <cell r="V40">
            <v>12472.96723989682</v>
          </cell>
          <cell r="W40">
            <v>13594.158469475489</v>
          </cell>
        </row>
        <row r="41">
          <cell r="B41">
            <v>68.491487532244193</v>
          </cell>
          <cell r="C41">
            <v>84.728202923473773</v>
          </cell>
          <cell r="D41">
            <v>81.403439380911436</v>
          </cell>
          <cell r="E41">
            <v>45.703181427343083</v>
          </cell>
          <cell r="F41">
            <v>63.411177987962162</v>
          </cell>
          <cell r="G41">
            <v>60.081685296646597</v>
          </cell>
          <cell r="H41">
            <v>63.456577815993107</v>
          </cell>
          <cell r="I41">
            <v>66.308426483233006</v>
          </cell>
          <cell r="J41">
            <v>61.034651762682707</v>
          </cell>
          <cell r="K41">
            <v>47.776354256233873</v>
          </cell>
          <cell r="L41">
            <v>60.597592433361982</v>
          </cell>
          <cell r="M41">
            <v>67.094239036973335</v>
          </cell>
          <cell r="N41">
            <v>62.214617368873597</v>
          </cell>
          <cell r="O41">
            <v>56.515735167669817</v>
          </cell>
          <cell r="P41">
            <v>67.237489251934647</v>
          </cell>
          <cell r="Q41">
            <v>74.794582975064486</v>
          </cell>
          <cell r="R41">
            <v>82.376526225279434</v>
          </cell>
          <cell r="S41">
            <v>81.013929492691304</v>
          </cell>
          <cell r="T41">
            <v>67.159673258813413</v>
          </cell>
          <cell r="U41">
            <v>65.678761822871877</v>
          </cell>
          <cell r="V41">
            <v>65.979019776440239</v>
          </cell>
          <cell r="W41">
            <v>75.960361134995679</v>
          </cell>
        </row>
        <row r="43">
          <cell r="B43">
            <v>1089.530352536543</v>
          </cell>
          <cell r="C43">
            <v>1028.1053310404129</v>
          </cell>
          <cell r="D43">
            <v>1027.4775580395531</v>
          </cell>
          <cell r="E43">
            <v>1556.2517626827171</v>
          </cell>
          <cell r="F43">
            <v>1760.7672398968191</v>
          </cell>
          <cell r="G43">
            <v>2274.1700773860712</v>
          </cell>
          <cell r="H43">
            <v>2432.1744625967322</v>
          </cell>
          <cell r="I43">
            <v>2619.528374892519</v>
          </cell>
          <cell r="J43">
            <v>2737.6314703353391</v>
          </cell>
          <cell r="K43">
            <v>3040.5421324161648</v>
          </cell>
          <cell r="L43">
            <v>3284.6468615649178</v>
          </cell>
          <cell r="M43">
            <v>4022.560705073086</v>
          </cell>
          <cell r="N43">
            <v>3687.9788478073951</v>
          </cell>
          <cell r="O43">
            <v>4074.7535683576948</v>
          </cell>
          <cell r="P43">
            <v>4238.6194325021497</v>
          </cell>
          <cell r="Q43">
            <v>4373.1161650902832</v>
          </cell>
          <cell r="R43">
            <v>4609.7668959587272</v>
          </cell>
          <cell r="S43">
            <v>4799.6865004299216</v>
          </cell>
          <cell r="T43">
            <v>5264.7644883920893</v>
          </cell>
          <cell r="U43">
            <v>5446.9133276010316</v>
          </cell>
          <cell r="V43">
            <v>5639.398194325021</v>
          </cell>
          <cell r="W43">
            <v>5843.3988822012034</v>
          </cell>
        </row>
        <row r="44">
          <cell r="B44">
            <v>0</v>
          </cell>
          <cell r="C44">
            <v>0</v>
          </cell>
          <cell r="D44">
            <v>0</v>
          </cell>
          <cell r="E44">
            <v>0.74041272570937233</v>
          </cell>
          <cell r="F44">
            <v>0.35829750644883918</v>
          </cell>
          <cell r="G44">
            <v>0.64488392089423896</v>
          </cell>
          <cell r="H44">
            <v>0.66878761822871879</v>
          </cell>
          <cell r="I44">
            <v>2.5795356835769558</v>
          </cell>
          <cell r="J44">
            <v>1.816165090283749</v>
          </cell>
          <cell r="K44">
            <v>4.3936371453138436</v>
          </cell>
          <cell r="L44">
            <v>4.2838349097162514</v>
          </cell>
          <cell r="M44">
            <v>5.1094582975064489</v>
          </cell>
          <cell r="N44">
            <v>5.3912295786758389</v>
          </cell>
          <cell r="O44">
            <v>6.0544282029234733</v>
          </cell>
          <cell r="P44">
            <v>10.794496990541701</v>
          </cell>
          <cell r="Q44">
            <v>9.761220980223559</v>
          </cell>
          <cell r="R44">
            <v>11.84282029234738</v>
          </cell>
          <cell r="S44">
            <v>12.05442820292347</v>
          </cell>
          <cell r="T44">
            <v>12.159157351676701</v>
          </cell>
          <cell r="U44">
            <v>11.516251074806529</v>
          </cell>
          <cell r="V44">
            <v>12.481255374032671</v>
          </cell>
          <cell r="W44">
            <v>10.104557179707649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9.8065348237317274</v>
          </cell>
          <cell r="F45">
            <v>1.5276870163370591</v>
          </cell>
          <cell r="G45">
            <v>1.6668099742046429</v>
          </cell>
          <cell r="H45">
            <v>1.766981943250215</v>
          </cell>
          <cell r="I45">
            <v>5.2405846947549426</v>
          </cell>
          <cell r="J45">
            <v>3.110232158211522</v>
          </cell>
          <cell r="K45">
            <v>4.0445399828030961</v>
          </cell>
          <cell r="L45">
            <v>28.39501289767842</v>
          </cell>
          <cell r="M45">
            <v>27.719346517626821</v>
          </cell>
          <cell r="N45">
            <v>5.3822871883061048</v>
          </cell>
          <cell r="O45">
            <v>6.2242476354256233</v>
          </cell>
          <cell r="P45">
            <v>6.0759243336199464</v>
          </cell>
          <cell r="Q45">
            <v>6.8508168529664646</v>
          </cell>
          <cell r="R45">
            <v>10.04299226139295</v>
          </cell>
          <cell r="S45">
            <v>10.184264832330181</v>
          </cell>
          <cell r="T45">
            <v>10.10464316423044</v>
          </cell>
          <cell r="U45">
            <v>11.936887360275151</v>
          </cell>
          <cell r="V45">
            <v>8.6846087704213222</v>
          </cell>
          <cell r="W45">
            <v>9.1500429922613922</v>
          </cell>
        </row>
        <row r="46">
          <cell r="B46">
            <v>1.1177987962166811E-3</v>
          </cell>
          <cell r="C46">
            <v>1.1177987962166811E-3</v>
          </cell>
          <cell r="D46">
            <v>1.1177987962166811E-3</v>
          </cell>
          <cell r="E46">
            <v>6.0189165950128966E-3</v>
          </cell>
          <cell r="F46">
            <v>1.917454858125537E-2</v>
          </cell>
          <cell r="G46">
            <v>1.917454858125537E-2</v>
          </cell>
          <cell r="H46">
            <v>2.897678417884781E-2</v>
          </cell>
          <cell r="I46">
            <v>3.043852106620808E-2</v>
          </cell>
          <cell r="J46">
            <v>3.6371453138435081E-2</v>
          </cell>
          <cell r="K46">
            <v>4.1186586414445399E-2</v>
          </cell>
          <cell r="L46">
            <v>4.4883920894239038E-2</v>
          </cell>
          <cell r="M46">
            <v>4.4883920894239038E-2</v>
          </cell>
          <cell r="N46">
            <v>4.4883920894239038E-2</v>
          </cell>
          <cell r="O46">
            <v>4.4883920894239038E-2</v>
          </cell>
          <cell r="P46">
            <v>4.4883920894239038E-2</v>
          </cell>
          <cell r="Q46">
            <v>4.4883920894239038E-2</v>
          </cell>
          <cell r="R46">
            <v>4.4539982803095443E-2</v>
          </cell>
          <cell r="S46">
            <v>4.4539982803095443E-2</v>
          </cell>
          <cell r="T46">
            <v>4.4539982803095443E-2</v>
          </cell>
          <cell r="U46">
            <v>4.4539982803095443E-2</v>
          </cell>
          <cell r="V46">
            <v>4.4539982803095443E-2</v>
          </cell>
          <cell r="W46">
            <v>4.3766122098022352E-2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0.26276870163370591</v>
          </cell>
          <cell r="F47">
            <v>0.2149613069647463</v>
          </cell>
          <cell r="G47">
            <v>0.28658641444539978</v>
          </cell>
          <cell r="H47">
            <v>0.2149613069647463</v>
          </cell>
          <cell r="I47">
            <v>0.28658641444539978</v>
          </cell>
          <cell r="J47">
            <v>0.31049011177987962</v>
          </cell>
          <cell r="K47">
            <v>0.35829750644883918</v>
          </cell>
          <cell r="L47">
            <v>0.3821152192605331</v>
          </cell>
          <cell r="M47">
            <v>0.40601891659501288</v>
          </cell>
          <cell r="N47">
            <v>0.14333619948409279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0.19105760963026661</v>
          </cell>
          <cell r="U47">
            <v>0.26276870163370591</v>
          </cell>
          <cell r="V47">
            <v>0</v>
          </cell>
          <cell r="W47">
            <v>0</v>
          </cell>
        </row>
        <row r="48">
          <cell r="B48">
            <v>4.4857070200854121</v>
          </cell>
          <cell r="C48">
            <v>4.4296882578019368</v>
          </cell>
          <cell r="D48">
            <v>4.5955747462637921</v>
          </cell>
          <cell r="E48">
            <v>4.8690801365747536</v>
          </cell>
          <cell r="F48">
            <v>5.1248441696505926</v>
          </cell>
          <cell r="G48">
            <v>5.7761205244919198</v>
          </cell>
          <cell r="H48">
            <v>6.7606329199583159</v>
          </cell>
          <cell r="I48">
            <v>7.2671095528653948</v>
          </cell>
          <cell r="J48">
            <v>6.0637453199717601</v>
          </cell>
          <cell r="K48">
            <v>6.0466818599726251</v>
          </cell>
          <cell r="L48">
            <v>6.4320507559605034</v>
          </cell>
          <cell r="M48">
            <v>8.0099293429787899</v>
          </cell>
          <cell r="N48">
            <v>9.3045501093294689</v>
          </cell>
          <cell r="O48">
            <v>9.9924988178749921</v>
          </cell>
          <cell r="P48">
            <v>32.570758050574902</v>
          </cell>
          <cell r="Q48">
            <v>38.956970808754768</v>
          </cell>
          <cell r="R48">
            <v>45.343976518402258</v>
          </cell>
          <cell r="S48">
            <v>50.449325506243902</v>
          </cell>
          <cell r="T48">
            <v>58.456188820613697</v>
          </cell>
          <cell r="U48">
            <v>63.93958154834381</v>
          </cell>
          <cell r="V48">
            <v>70.350566835604155</v>
          </cell>
          <cell r="W48">
            <v>76.043942763008133</v>
          </cell>
        </row>
        <row r="49">
          <cell r="B49">
            <v>152.5674978503869</v>
          </cell>
          <cell r="C49">
            <v>165.85993121238181</v>
          </cell>
          <cell r="D49">
            <v>138.7845227858985</v>
          </cell>
          <cell r="E49">
            <v>140.53800515907139</v>
          </cell>
          <cell r="F49">
            <v>235.4091143594153</v>
          </cell>
          <cell r="G49">
            <v>229.5068787618228</v>
          </cell>
          <cell r="H49">
            <v>241.88779019776439</v>
          </cell>
          <cell r="I49">
            <v>232.01478933791921</v>
          </cell>
          <cell r="J49">
            <v>211.44634565778151</v>
          </cell>
          <cell r="K49">
            <v>167.35503009458299</v>
          </cell>
          <cell r="L49">
            <v>194.41642304385209</v>
          </cell>
          <cell r="M49">
            <v>214.95554600171971</v>
          </cell>
          <cell r="N49">
            <v>217.67687016337061</v>
          </cell>
          <cell r="O49">
            <v>209.09836629406701</v>
          </cell>
          <cell r="P49">
            <v>229.72871883061049</v>
          </cell>
          <cell r="Q49">
            <v>278.71478933791923</v>
          </cell>
          <cell r="R49">
            <v>254.15984522785899</v>
          </cell>
          <cell r="S49">
            <v>240.9143594153052</v>
          </cell>
          <cell r="T49">
            <v>356.90429922613919</v>
          </cell>
          <cell r="U49">
            <v>278.77214101461738</v>
          </cell>
          <cell r="V49">
            <v>276.68039552880481</v>
          </cell>
          <cell r="W49">
            <v>246.8545141874462</v>
          </cell>
        </row>
        <row r="50">
          <cell r="B50">
            <v>6163.5260533104038</v>
          </cell>
          <cell r="C50">
            <v>6369.7349957007737</v>
          </cell>
          <cell r="D50">
            <v>6408.3613929492694</v>
          </cell>
          <cell r="E50">
            <v>6268.6345657781594</v>
          </cell>
          <cell r="F50">
            <v>6439.9442820292343</v>
          </cell>
          <cell r="G50">
            <v>6558.1704213241628</v>
          </cell>
          <cell r="H50">
            <v>6594.7874462596728</v>
          </cell>
          <cell r="I50">
            <v>6811.5173688736022</v>
          </cell>
          <cell r="J50">
            <v>6520.9062768701633</v>
          </cell>
          <cell r="K50">
            <v>5512.4529664660358</v>
          </cell>
          <cell r="L50">
            <v>5641.7283748925202</v>
          </cell>
          <cell r="M50">
            <v>5592.0788478073946</v>
          </cell>
          <cell r="N50">
            <v>5313.5682717110922</v>
          </cell>
          <cell r="O50">
            <v>5136.9585554600171</v>
          </cell>
          <cell r="P50">
            <v>5196.1676698194324</v>
          </cell>
          <cell r="Q50">
            <v>5265.3081685296638</v>
          </cell>
          <cell r="R50">
            <v>5358.3473774720542</v>
          </cell>
          <cell r="S50">
            <v>5473.7515907136703</v>
          </cell>
          <cell r="T50">
            <v>5543.9186586414444</v>
          </cell>
          <cell r="U50">
            <v>5517.2647463456569</v>
          </cell>
          <cell r="V50">
            <v>5294.3843508168529</v>
          </cell>
          <cell r="W50">
            <v>5707.8884780739463</v>
          </cell>
        </row>
        <row r="51">
          <cell r="B51">
            <v>41959.502474002024</v>
          </cell>
          <cell r="C51">
            <v>42111.030462118506</v>
          </cell>
          <cell r="D51">
            <v>41155.706408796133</v>
          </cell>
          <cell r="E51">
            <v>42493.504591744488</v>
          </cell>
          <cell r="F51">
            <v>43194.176778821406</v>
          </cell>
          <cell r="G51">
            <v>43838.53020478932</v>
          </cell>
          <cell r="H51">
            <v>42620.655301879538</v>
          </cell>
          <cell r="I51">
            <v>43766.501933284591</v>
          </cell>
          <cell r="J51">
            <v>41996.346892353504</v>
          </cell>
          <cell r="K51">
            <v>34058.263878764541</v>
          </cell>
          <cell r="L51">
            <v>34876.794389534982</v>
          </cell>
          <cell r="M51">
            <v>35615.234520916492</v>
          </cell>
          <cell r="N51">
            <v>32962.389674786886</v>
          </cell>
          <cell r="O51">
            <v>31836.45604138021</v>
          </cell>
          <cell r="P51">
            <v>31742.600594679978</v>
          </cell>
          <cell r="Q51">
            <v>32393.328423947183</v>
          </cell>
          <cell r="R51">
            <v>33011.531422778091</v>
          </cell>
          <cell r="S51">
            <v>32904.709170734102</v>
          </cell>
          <cell r="T51">
            <v>33886.727212036421</v>
          </cell>
          <cell r="U51">
            <v>33547.032616801996</v>
          </cell>
          <cell r="V51">
            <v>33047.62640518471</v>
          </cell>
          <cell r="W51">
            <v>34360.789600544609</v>
          </cell>
        </row>
        <row r="52">
          <cell r="B52">
            <v>18262.727712895081</v>
          </cell>
          <cell r="C52">
            <v>17905.35445934704</v>
          </cell>
          <cell r="D52">
            <v>17666.65748366556</v>
          </cell>
          <cell r="E52">
            <v>18042.231732801341</v>
          </cell>
          <cell r="F52">
            <v>18543.96269743449</v>
          </cell>
          <cell r="G52">
            <v>18439.647741826251</v>
          </cell>
          <cell r="H52">
            <v>19831.911971093079</v>
          </cell>
          <cell r="I52">
            <v>20042.656615896809</v>
          </cell>
          <cell r="J52">
            <v>18283.06601727198</v>
          </cell>
          <cell r="K52">
            <v>14682.918152036231</v>
          </cell>
          <cell r="L52">
            <v>14199.48441249644</v>
          </cell>
          <cell r="M52">
            <v>14251.064213821021</v>
          </cell>
          <cell r="N52">
            <v>12813.058428221861</v>
          </cell>
          <cell r="O52">
            <v>12109.80684175044</v>
          </cell>
          <cell r="P52">
            <v>12316.185034026001</v>
          </cell>
          <cell r="Q52">
            <v>12245.90845880316</v>
          </cell>
          <cell r="R52">
            <v>12238.148039164071</v>
          </cell>
          <cell r="S52">
            <v>12722.28188865113</v>
          </cell>
          <cell r="T52">
            <v>13056.547545507599</v>
          </cell>
          <cell r="U52">
            <v>12944.308438231141</v>
          </cell>
          <cell r="V52">
            <v>12824.896242264571</v>
          </cell>
          <cell r="W52">
            <v>12931.980560278769</v>
          </cell>
        </row>
        <row r="53">
          <cell r="B53">
            <v>17090.49317185285</v>
          </cell>
          <cell r="C53">
            <v>17556.200216104291</v>
          </cell>
          <cell r="D53">
            <v>16882.71500640492</v>
          </cell>
          <cell r="E53">
            <v>17889.111857796499</v>
          </cell>
          <cell r="F53">
            <v>18019.256406226199</v>
          </cell>
          <cell r="G53">
            <v>18967.1535421349</v>
          </cell>
          <cell r="H53">
            <v>16157.99244641467</v>
          </cell>
          <cell r="I53">
            <v>17150.997373491529</v>
          </cell>
          <cell r="J53">
            <v>17285.439545973459</v>
          </cell>
          <cell r="K53">
            <v>13688.55272737112</v>
          </cell>
          <cell r="L53">
            <v>14824.217761409551</v>
          </cell>
          <cell r="M53">
            <v>15514.208808397239</v>
          </cell>
          <cell r="N53">
            <v>14535.307361912481</v>
          </cell>
          <cell r="O53">
            <v>14354.96891498994</v>
          </cell>
          <cell r="P53">
            <v>13995.054097267581</v>
          </cell>
          <cell r="Q53">
            <v>14707.517245550011</v>
          </cell>
          <cell r="R53">
            <v>15218.039992110351</v>
          </cell>
          <cell r="S53">
            <v>14492.765449583139</v>
          </cell>
          <cell r="T53">
            <v>15122.58047876698</v>
          </cell>
          <cell r="U53">
            <v>15083.07067651193</v>
          </cell>
          <cell r="V53">
            <v>14935.413495451099</v>
          </cell>
          <cell r="W53">
            <v>16143.53202895373</v>
          </cell>
        </row>
        <row r="54">
          <cell r="B54">
            <v>6606.2815892540921</v>
          </cell>
          <cell r="C54">
            <v>6649.4757866671716</v>
          </cell>
          <cell r="D54">
            <v>6606.3339187256524</v>
          </cell>
          <cell r="E54">
            <v>6562.1610011466482</v>
          </cell>
          <cell r="F54">
            <v>6630.9576751607156</v>
          </cell>
          <cell r="G54">
            <v>6431.7289208281736</v>
          </cell>
          <cell r="H54">
            <v>6630.7508843717887</v>
          </cell>
          <cell r="I54">
            <v>6572.8479438962531</v>
          </cell>
          <cell r="J54">
            <v>6427.8413291080633</v>
          </cell>
          <cell r="K54">
            <v>5686.7929993571861</v>
          </cell>
          <cell r="L54">
            <v>5853.0922156289889</v>
          </cell>
          <cell r="M54">
            <v>5849.9614986982306</v>
          </cell>
          <cell r="N54">
            <v>5614.023884652549</v>
          </cell>
          <cell r="O54">
            <v>5371.6802846398286</v>
          </cell>
          <cell r="P54">
            <v>5431.361463386399</v>
          </cell>
          <cell r="Q54">
            <v>5439.9027195940143</v>
          </cell>
          <cell r="R54">
            <v>5555.3433915036721</v>
          </cell>
          <cell r="S54">
            <v>5689.6618324998362</v>
          </cell>
          <cell r="T54">
            <v>5707.5991877618471</v>
          </cell>
          <cell r="U54">
            <v>5519.6535020589236</v>
          </cell>
          <cell r="V54">
            <v>5287.3166674690401</v>
          </cell>
          <cell r="W54">
            <v>5285.2770113121096</v>
          </cell>
        </row>
        <row r="59">
          <cell r="B59">
            <v>241075.97124025394</v>
          </cell>
          <cell r="C59">
            <v>237537.59409121424</v>
          </cell>
          <cell r="D59">
            <v>233875.71111417242</v>
          </cell>
          <cell r="E59">
            <v>239135.84537128633</v>
          </cell>
          <cell r="F59">
            <v>246993.70245732646</v>
          </cell>
          <cell r="G59">
            <v>246982.36099881397</v>
          </cell>
          <cell r="H59">
            <v>247756.62693517277</v>
          </cell>
          <cell r="I59">
            <v>257278.09937135896</v>
          </cell>
          <cell r="J59">
            <v>246694.35281390842</v>
          </cell>
          <cell r="K59">
            <v>199537.95483277223</v>
          </cell>
          <cell r="L59">
            <v>203008.74679801954</v>
          </cell>
          <cell r="M59">
            <v>206682.55849409479</v>
          </cell>
          <cell r="N59">
            <v>192558.58607752205</v>
          </cell>
          <cell r="O59">
            <v>184417.81080907956</v>
          </cell>
          <cell r="P59">
            <v>187377.83557533438</v>
          </cell>
          <cell r="Q59">
            <v>187816.79374290392</v>
          </cell>
          <cell r="R59">
            <v>189587.93683408957</v>
          </cell>
          <cell r="S59">
            <v>190846.47471727958</v>
          </cell>
          <cell r="T59">
            <v>195878.25188238107</v>
          </cell>
          <cell r="U59">
            <v>193632.15385208934</v>
          </cell>
          <cell r="V59">
            <v>186633.89392370585</v>
          </cell>
          <cell r="W59">
            <v>193154.80642154621</v>
          </cell>
        </row>
        <row r="60">
          <cell r="B60">
            <v>167575.09887634113</v>
          </cell>
          <cell r="C60">
            <v>163438.2495353815</v>
          </cell>
          <cell r="D60">
            <v>161668.52368822769</v>
          </cell>
          <cell r="E60">
            <v>163965.60300413897</v>
          </cell>
          <cell r="F60">
            <v>170742.35790782937</v>
          </cell>
          <cell r="G60">
            <v>169150.26064693608</v>
          </cell>
          <cell r="H60">
            <v>176524.77764507907</v>
          </cell>
          <cell r="I60">
            <v>182965.59374503649</v>
          </cell>
          <cell r="J60">
            <v>171958.08880727584</v>
          </cell>
          <cell r="K60">
            <v>139236.34402452793</v>
          </cell>
          <cell r="L60">
            <v>138288.00068676713</v>
          </cell>
          <cell r="M60">
            <v>138099.25821719278</v>
          </cell>
          <cell r="N60">
            <v>128101.14398546492</v>
          </cell>
          <cell r="O60">
            <v>122216.36910903078</v>
          </cell>
          <cell r="P60">
            <v>126521.30549946023</v>
          </cell>
          <cell r="Q60">
            <v>125182.24931483492</v>
          </cell>
          <cell r="R60">
            <v>125215.11122275848</v>
          </cell>
          <cell r="S60">
            <v>128628.69407303707</v>
          </cell>
          <cell r="T60">
            <v>131706.90810839526</v>
          </cell>
          <cell r="U60">
            <v>130489.63646650652</v>
          </cell>
          <cell r="V60">
            <v>125343.08211782346</v>
          </cell>
          <cell r="W60">
            <v>128770.93336222201</v>
          </cell>
        </row>
        <row r="61">
          <cell r="B61">
            <v>55687.051566305818</v>
          </cell>
          <cell r="C61">
            <v>56552.36154877986</v>
          </cell>
          <cell r="D61">
            <v>54897.817913286104</v>
          </cell>
          <cell r="E61">
            <v>57743.249320140785</v>
          </cell>
          <cell r="F61">
            <v>58737.858993125861</v>
          </cell>
          <cell r="G61">
            <v>60765.066517896412</v>
          </cell>
          <cell r="H61">
            <v>53754.459749174341</v>
          </cell>
          <cell r="I61">
            <v>56573.602915706535</v>
          </cell>
          <cell r="J61">
            <v>57450.628119094545</v>
          </cell>
          <cell r="K61">
            <v>45519.140276521233</v>
          </cell>
          <cell r="L61">
            <v>49442.283274253197</v>
          </cell>
          <cell r="M61">
            <v>53014.095376113371</v>
          </cell>
          <cell r="N61">
            <v>49651.072337550257</v>
          </cell>
          <cell r="O61">
            <v>48036.809523755845</v>
          </cell>
          <cell r="P61">
            <v>46569.45869739871</v>
          </cell>
          <cell r="Q61">
            <v>48334.911120875127</v>
          </cell>
          <cell r="R61">
            <v>49813.339561895249</v>
          </cell>
          <cell r="S61">
            <v>47476.121515189981</v>
          </cell>
          <cell r="T61">
            <v>49274.969112984501</v>
          </cell>
          <cell r="U61">
            <v>48665.238725510266</v>
          </cell>
          <cell r="V61">
            <v>47367.416609227577</v>
          </cell>
          <cell r="W61">
            <v>50418.358315816979</v>
          </cell>
        </row>
        <row r="62">
          <cell r="B62">
            <v>17813.820797607026</v>
          </cell>
          <cell r="C62">
            <v>17546.983007052891</v>
          </cell>
          <cell r="D62">
            <v>17309.369512658632</v>
          </cell>
          <cell r="E62">
            <v>17426.993047006566</v>
          </cell>
          <cell r="F62">
            <v>17513.485556371234</v>
          </cell>
          <cell r="G62">
            <v>17067.033833981455</v>
          </cell>
          <cell r="H62">
            <v>17477.389540919379</v>
          </cell>
          <cell r="I62">
            <v>17738.902710615919</v>
          </cell>
          <cell r="J62">
            <v>17285.635887538025</v>
          </cell>
          <cell r="K62">
            <v>14782.470531723055</v>
          </cell>
          <cell r="L62">
            <v>15278.462836999221</v>
          </cell>
          <cell r="M62">
            <v>15569.204900788625</v>
          </cell>
          <cell r="N62">
            <v>14806.369754506892</v>
          </cell>
          <cell r="O62">
            <v>14164.632176292953</v>
          </cell>
          <cell r="P62">
            <v>14287.071378475437</v>
          </cell>
          <cell r="Q62">
            <v>14299.633307193872</v>
          </cell>
          <cell r="R62">
            <v>14559.486049435871</v>
          </cell>
          <cell r="S62">
            <v>14741.659129052514</v>
          </cell>
          <cell r="T62">
            <v>14896.3746610013</v>
          </cell>
          <cell r="U62">
            <v>14477.278660072558</v>
          </cell>
          <cell r="V62">
            <v>13923.395196654812</v>
          </cell>
          <cell r="W62">
            <v>13965.514743507194</v>
          </cell>
        </row>
        <row r="76">
          <cell r="B76">
            <v>5.7454439882747383</v>
          </cell>
          <cell r="C76">
            <v>5.640745227189206</v>
          </cell>
          <cell r="D76">
            <v>5.6827043324467539</v>
          </cell>
          <cell r="E76">
            <v>5.6275858550331224</v>
          </cell>
          <cell r="F76">
            <v>5.7182176135008618</v>
          </cell>
          <cell r="G76">
            <v>5.6339106225744624</v>
          </cell>
          <cell r="H76">
            <v>5.8130647025562485</v>
          </cell>
          <cell r="I76">
            <v>5.8784250055793921</v>
          </cell>
          <cell r="J76">
            <v>5.8741859963735408</v>
          </cell>
          <cell r="K76">
            <v>5.8587236138359042</v>
          </cell>
          <cell r="L76">
            <v>5.8207398458309481</v>
          </cell>
          <cell r="M76">
            <v>5.8032064444981284</v>
          </cell>
          <cell r="N76">
            <v>5.8417665702438795</v>
          </cell>
          <cell r="O76">
            <v>5.7926614246691912</v>
          </cell>
          <cell r="P76">
            <v>5.903039828650293</v>
          </cell>
          <cell r="Q76">
            <v>5.7980085060989888</v>
          </cell>
          <cell r="R76">
            <v>5.7430821492659723</v>
          </cell>
          <cell r="S76">
            <v>5.7999745181465103</v>
          </cell>
          <cell r="T76">
            <v>5.7803827043175167</v>
          </cell>
          <cell r="U76">
            <v>5.7719606995913217</v>
          </cell>
          <cell r="V76">
            <v>5.6474220458515472</v>
          </cell>
          <cell r="W76">
            <v>5.6213727526938078</v>
          </cell>
        </row>
        <row r="77">
          <cell r="B77">
            <v>9.175797915336517</v>
          </cell>
          <cell r="C77">
            <v>9.1278980210337402</v>
          </cell>
          <cell r="D77">
            <v>9.1510532673033946</v>
          </cell>
          <cell r="E77">
            <v>9.0878781202019692</v>
          </cell>
          <cell r="F77">
            <v>9.2074364413735115</v>
          </cell>
          <cell r="G77">
            <v>9.1731828620161888</v>
          </cell>
          <cell r="H77">
            <v>8.9010468532928613</v>
          </cell>
          <cell r="I77">
            <v>9.1288094812699399</v>
          </cell>
          <cell r="J77">
            <v>9.4053201276431064</v>
          </cell>
          <cell r="K77">
            <v>9.4828795327186786</v>
          </cell>
          <cell r="L77">
            <v>9.7389452088179329</v>
          </cell>
          <cell r="M77">
            <v>9.6904523160635847</v>
          </cell>
          <cell r="N77">
            <v>9.9977023208846969</v>
          </cell>
          <cell r="O77">
            <v>10.09234669934378</v>
          </cell>
          <cell r="P77">
            <v>10.272767512823089</v>
          </cell>
          <cell r="Q77">
            <v>10.222373434846782</v>
          </cell>
          <cell r="R77">
            <v>10.231540819905895</v>
          </cell>
          <cell r="S77">
            <v>10.110504954915349</v>
          </cell>
          <cell r="T77">
            <v>10.087422241548992</v>
          </cell>
          <cell r="U77">
            <v>10.080850366722112</v>
          </cell>
          <cell r="V77">
            <v>9.7734188058967764</v>
          </cell>
          <cell r="W77">
            <v>9.9575569853351329</v>
          </cell>
        </row>
        <row r="78">
          <cell r="B78">
            <v>3.2583642266110546</v>
          </cell>
          <cell r="C78">
            <v>3.2212187633235358</v>
          </cell>
          <cell r="D78">
            <v>3.2517173862414377</v>
          </cell>
          <cell r="E78">
            <v>3.2278432702054412</v>
          </cell>
          <cell r="F78">
            <v>3.2597271312943943</v>
          </cell>
          <cell r="G78">
            <v>3.2036998268036814</v>
          </cell>
          <cell r="H78">
            <v>3.326803124054067</v>
          </cell>
          <cell r="I78">
            <v>3.2985605258820883</v>
          </cell>
          <cell r="J78">
            <v>3.3236428825714954</v>
          </cell>
          <cell r="K78">
            <v>3.3253435321546343</v>
          </cell>
          <cell r="L78">
            <v>3.3352372496147149</v>
          </cell>
          <cell r="M78">
            <v>3.4171317423173329</v>
          </cell>
          <cell r="N78">
            <v>3.4158942154641458</v>
          </cell>
          <cell r="O78">
            <v>3.3463541306309756</v>
          </cell>
          <cell r="P78">
            <v>3.327565465180375</v>
          </cell>
          <cell r="Q78">
            <v>3.2864085973109849</v>
          </cell>
          <cell r="R78">
            <v>3.2733084935852781</v>
          </cell>
          <cell r="S78">
            <v>3.2758497113851761</v>
          </cell>
          <cell r="T78">
            <v>3.2583704336815762</v>
          </cell>
          <cell r="U78">
            <v>3.2264808518927164</v>
          </cell>
          <cell r="V78">
            <v>3.1714834426013274</v>
          </cell>
          <cell r="W78">
            <v>3.1231305655658685</v>
          </cell>
        </row>
        <row r="79">
          <cell r="B79">
            <v>2.696497349822832</v>
          </cell>
          <cell r="C79">
            <v>2.6388520794731298</v>
          </cell>
          <cell r="D79">
            <v>2.6201172580143468</v>
          </cell>
          <cell r="E79">
            <v>2.6556789819636299</v>
          </cell>
          <cell r="F79">
            <v>2.6411698602716172</v>
          </cell>
          <cell r="G79">
            <v>2.6535685884883096</v>
          </cell>
          <cell r="H79">
            <v>2.6358084997752442</v>
          </cell>
          <cell r="I79">
            <v>2.6988153175046143</v>
          </cell>
          <cell r="J79">
            <v>2.6891821067923911</v>
          </cell>
          <cell r="K79">
            <v>2.5994388284212229</v>
          </cell>
          <cell r="L79">
            <v>2.6103232742861127</v>
          </cell>
          <cell r="M79">
            <v>2.6614200630642064</v>
          </cell>
          <cell r="N79">
            <v>2.6373898755550549</v>
          </cell>
          <cell r="O79">
            <v>2.6369090164945832</v>
          </cell>
          <cell r="P79">
            <v>2.6304769945411794</v>
          </cell>
          <cell r="Q79">
            <v>2.6286560705741935</v>
          </cell>
          <cell r="R79">
            <v>2.6208075763062841</v>
          </cell>
          <cell r="S79">
            <v>2.590955238296746</v>
          </cell>
          <cell r="T79">
            <v>2.6099195425183139</v>
          </cell>
          <cell r="U79">
            <v>2.6228600499419557</v>
          </cell>
          <cell r="V79">
            <v>2.6333575369753168</v>
          </cell>
          <cell r="W79">
            <v>2.6423430056015458</v>
          </cell>
        </row>
      </sheetData>
      <sheetData sheetId="19"/>
      <sheetData sheetId="20"/>
      <sheetData sheetId="21"/>
      <sheetData sheetId="22">
        <row r="3">
          <cell r="B3">
            <v>102266.93474442216</v>
          </cell>
          <cell r="C3">
            <v>102223.72452620308</v>
          </cell>
          <cell r="D3">
            <v>98398.675120163884</v>
          </cell>
          <cell r="E3">
            <v>91628.116379127401</v>
          </cell>
          <cell r="F3">
            <v>91118.192800817487</v>
          </cell>
          <cell r="G3">
            <v>88785.749421314598</v>
          </cell>
          <cell r="H3">
            <v>88766.538006603078</v>
          </cell>
          <cell r="I3">
            <v>88320.331679067109</v>
          </cell>
          <cell r="J3">
            <v>81830.761216564046</v>
          </cell>
          <cell r="K3">
            <v>73686.302646395634</v>
          </cell>
          <cell r="L3">
            <v>74678.486841809528</v>
          </cell>
          <cell r="M3">
            <v>74257.053199031696</v>
          </cell>
          <cell r="N3">
            <v>72001.318629841961</v>
          </cell>
          <cell r="O3">
            <v>68584.705135404831</v>
          </cell>
          <cell r="P3">
            <v>69587.873021616455</v>
          </cell>
          <cell r="Q3">
            <v>69849.8</v>
          </cell>
          <cell r="R3">
            <v>70622.578129979956</v>
          </cell>
          <cell r="S3">
            <v>70124.090407309443</v>
          </cell>
          <cell r="T3">
            <v>71442.09664446277</v>
          </cell>
          <cell r="U3">
            <v>70516.38381107738</v>
          </cell>
          <cell r="V3">
            <v>64588.525769312924</v>
          </cell>
          <cell r="W3">
            <v>64997.424551010918</v>
          </cell>
        </row>
        <row r="5">
          <cell r="B5">
            <v>3836.0168956676248</v>
          </cell>
          <cell r="C5">
            <v>3726.9417361073852</v>
          </cell>
          <cell r="D5">
            <v>3451.5806651715088</v>
          </cell>
          <cell r="E5">
            <v>3226.419496996105</v>
          </cell>
          <cell r="F5">
            <v>3027.5179943753528</v>
          </cell>
          <cell r="G5">
            <v>2838.9293087774759</v>
          </cell>
          <cell r="H5">
            <v>2864.5393752805062</v>
          </cell>
          <cell r="I5">
            <v>2872.6666217941929</v>
          </cell>
          <cell r="J5">
            <v>2492.3242571084261</v>
          </cell>
          <cell r="K5">
            <v>1639.208110100134</v>
          </cell>
          <cell r="L5">
            <v>2900.972987869749</v>
          </cell>
          <cell r="M5">
            <v>2611.831374331583</v>
          </cell>
          <cell r="N5">
            <v>2235.775977911695</v>
          </cell>
          <cell r="O5">
            <v>2327.0318024450739</v>
          </cell>
          <cell r="P5">
            <v>2579.5008171484469</v>
          </cell>
          <cell r="Q5">
            <v>2892.5080319003359</v>
          </cell>
          <cell r="R5">
            <v>2800.4038210180252</v>
          </cell>
          <cell r="S5">
            <v>2927.74322275343</v>
          </cell>
          <cell r="T5">
            <v>3444.2698515978882</v>
          </cell>
          <cell r="U5">
            <v>2808.590377691864</v>
          </cell>
          <cell r="V5">
            <v>2331.858726253673</v>
          </cell>
          <cell r="W5">
            <v>2312.9137658340828</v>
          </cell>
        </row>
        <row r="6">
          <cell r="B6">
            <v>50660.307362693333</v>
          </cell>
          <cell r="C6">
            <v>51606.380272383518</v>
          </cell>
          <cell r="D6">
            <v>49260.601255134767</v>
          </cell>
          <cell r="E6">
            <v>46159.853015912071</v>
          </cell>
          <cell r="F6">
            <v>45559.870657473293</v>
          </cell>
          <cell r="G6">
            <v>42938.710485240183</v>
          </cell>
          <cell r="H6">
            <v>43131.988677766778</v>
          </cell>
          <cell r="I6">
            <v>43718.277522563993</v>
          </cell>
          <cell r="J6">
            <v>39913.442274932801</v>
          </cell>
          <cell r="K6">
            <v>37407.414811337723</v>
          </cell>
          <cell r="L6">
            <v>37452.834952710109</v>
          </cell>
          <cell r="M6">
            <v>38384.153339072123</v>
          </cell>
          <cell r="N6">
            <v>38378.478462379877</v>
          </cell>
          <cell r="O6">
            <v>36938.255301513833</v>
          </cell>
          <cell r="P6">
            <v>38395.482702722009</v>
          </cell>
          <cell r="Q6">
            <v>39223.091968099667</v>
          </cell>
          <cell r="R6">
            <v>39955.666913442939</v>
          </cell>
          <cell r="S6">
            <v>40179.723707755657</v>
          </cell>
          <cell r="T6">
            <v>42117.535494204683</v>
          </cell>
          <cell r="U6">
            <v>42504.965937242589</v>
          </cell>
          <cell r="V6">
            <v>39640.251601412972</v>
          </cell>
          <cell r="W6">
            <v>39759.80543088245</v>
          </cell>
        </row>
        <row r="7">
          <cell r="B7">
            <v>47770.610486061203</v>
          </cell>
          <cell r="C7">
            <v>46890.402517712173</v>
          </cell>
          <cell r="D7">
            <v>45686.493199857607</v>
          </cell>
          <cell r="E7">
            <v>42241.84386621922</v>
          </cell>
          <cell r="F7">
            <v>42530.80414896884</v>
          </cell>
          <cell r="G7">
            <v>43008.10962729693</v>
          </cell>
          <cell r="H7">
            <v>42770.009953555797</v>
          </cell>
          <cell r="I7">
            <v>41729.38753470892</v>
          </cell>
          <cell r="J7">
            <v>39424.994684522811</v>
          </cell>
          <cell r="K7">
            <v>34639.679724957787</v>
          </cell>
          <cell r="L7">
            <v>34324.678901229679</v>
          </cell>
          <cell r="M7">
            <v>33261.068485627991</v>
          </cell>
          <cell r="N7">
            <v>31387.06418955038</v>
          </cell>
          <cell r="O7">
            <v>29319.41803144593</v>
          </cell>
          <cell r="P7">
            <v>28612.889501746002</v>
          </cell>
          <cell r="Q7">
            <v>27734.2</v>
          </cell>
          <cell r="R7">
            <v>27866.507395518998</v>
          </cell>
          <cell r="S7">
            <v>27016.62347680036</v>
          </cell>
          <cell r="T7">
            <v>25880.291298660199</v>
          </cell>
          <cell r="U7">
            <v>25202.827496142931</v>
          </cell>
          <cell r="V7">
            <v>22616.415441646281</v>
          </cell>
          <cell r="W7">
            <v>22924.70535429438</v>
          </cell>
        </row>
        <row r="32">
          <cell r="B32">
            <v>32882.449742489604</v>
          </cell>
          <cell r="C32">
            <v>32066.054632213119</v>
          </cell>
          <cell r="D32">
            <v>32526.408978914111</v>
          </cell>
          <cell r="E32">
            <v>33594.820450665888</v>
          </cell>
          <cell r="F32">
            <v>33703.983448336723</v>
          </cell>
          <cell r="G32">
            <v>34234.452109585</v>
          </cell>
          <cell r="H32">
            <v>35078.519405896841</v>
          </cell>
          <cell r="I32">
            <v>36049.972855656713</v>
          </cell>
          <cell r="J32">
            <v>33835.767764447337</v>
          </cell>
          <cell r="K32">
            <v>31301.28072822763</v>
          </cell>
          <cell r="L32">
            <v>32964.446548669301</v>
          </cell>
          <cell r="M32">
            <v>32476.649304123632</v>
          </cell>
          <cell r="N32">
            <v>32231.274169951099</v>
          </cell>
          <cell r="O32">
            <v>32278.291351086289</v>
          </cell>
          <cell r="P32">
            <v>31932.81161710469</v>
          </cell>
          <cell r="Q32">
            <v>31947.26078303036</v>
          </cell>
          <cell r="R32">
            <v>32180.21214517151</v>
          </cell>
          <cell r="S32">
            <v>32506.097948250961</v>
          </cell>
          <cell r="T32">
            <v>32307.22214604192</v>
          </cell>
          <cell r="U32">
            <v>32514.902793954141</v>
          </cell>
          <cell r="V32">
            <v>31397.22269310656</v>
          </cell>
          <cell r="W32">
            <v>32932.051682794758</v>
          </cell>
        </row>
        <row r="33">
          <cell r="B33">
            <v>1482.67687016337</v>
          </cell>
          <cell r="C33">
            <v>1323.5641444539981</v>
          </cell>
          <cell r="D33">
            <v>1342.4924333619949</v>
          </cell>
          <cell r="E33">
            <v>1425.4002579535679</v>
          </cell>
          <cell r="F33">
            <v>1309.184178847808</v>
          </cell>
          <cell r="G33">
            <v>1349.7830610490109</v>
          </cell>
          <cell r="H33">
            <v>1316.4472055030089</v>
          </cell>
          <cell r="I33">
            <v>1163.4232158211521</v>
          </cell>
          <cell r="J33">
            <v>1101.3507308684441</v>
          </cell>
          <cell r="K33">
            <v>1097.574462596732</v>
          </cell>
          <cell r="L33">
            <v>1069.7895958727429</v>
          </cell>
          <cell r="M33">
            <v>1028.6710232158209</v>
          </cell>
          <cell r="N33">
            <v>1003.812123817713</v>
          </cell>
          <cell r="O33">
            <v>1012.478675838349</v>
          </cell>
          <cell r="P33">
            <v>1006.08581255374</v>
          </cell>
          <cell r="Q33">
            <v>1023.7420464316421</v>
          </cell>
          <cell r="R33">
            <v>1013.067669819432</v>
          </cell>
          <cell r="S33">
            <v>949.38392089423894</v>
          </cell>
          <cell r="T33">
            <v>909.39019776440227</v>
          </cell>
          <cell r="U33">
            <v>831.29372312983662</v>
          </cell>
          <cell r="V33">
            <v>698.73843508168522</v>
          </cell>
          <cell r="W33">
            <v>688.63147033533971</v>
          </cell>
        </row>
        <row r="35"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</row>
        <row r="36">
          <cell r="B36">
            <v>210.14651762682709</v>
          </cell>
          <cell r="C36">
            <v>233.82338779019781</v>
          </cell>
          <cell r="D36">
            <v>236.1367153912295</v>
          </cell>
          <cell r="E36">
            <v>258.96620808254511</v>
          </cell>
          <cell r="F36">
            <v>226.39664660361129</v>
          </cell>
          <cell r="G36">
            <v>205.57128116938949</v>
          </cell>
          <cell r="H36">
            <v>219.89871023215821</v>
          </cell>
          <cell r="I36">
            <v>215.83353396388651</v>
          </cell>
          <cell r="J36">
            <v>212.93404987102321</v>
          </cell>
          <cell r="K36">
            <v>180.78366294067069</v>
          </cell>
          <cell r="L36">
            <v>193.2452278589854</v>
          </cell>
          <cell r="M36">
            <v>183.98856405846939</v>
          </cell>
          <cell r="N36">
            <v>163.60025795356839</v>
          </cell>
          <cell r="O36">
            <v>156.32691315563201</v>
          </cell>
          <cell r="P36">
            <v>152.36113499570081</v>
          </cell>
          <cell r="Q36">
            <v>159.82648323301811</v>
          </cell>
          <cell r="R36">
            <v>139.85588993981079</v>
          </cell>
          <cell r="S36">
            <v>136.41848667239901</v>
          </cell>
          <cell r="T36">
            <v>137.04883920894241</v>
          </cell>
          <cell r="U36">
            <v>135.54196044711949</v>
          </cell>
          <cell r="V36">
            <v>127.75563198624251</v>
          </cell>
          <cell r="W36">
            <v>141.80240756663801</v>
          </cell>
        </row>
        <row r="37">
          <cell r="B37">
            <v>264.8397248495271</v>
          </cell>
          <cell r="C37">
            <v>240.6692175408426</v>
          </cell>
          <cell r="D37">
            <v>216.4349097162511</v>
          </cell>
          <cell r="E37">
            <v>319.44505588993979</v>
          </cell>
          <cell r="F37">
            <v>261.08512467755799</v>
          </cell>
          <cell r="G37">
            <v>248.76758383490969</v>
          </cell>
          <cell r="H37">
            <v>205.95812553740319</v>
          </cell>
          <cell r="I37">
            <v>223.7818572656922</v>
          </cell>
          <cell r="J37">
            <v>203.05193465176271</v>
          </cell>
          <cell r="K37">
            <v>199.31014617368871</v>
          </cell>
          <cell r="L37">
            <v>210.45425623387791</v>
          </cell>
          <cell r="M37">
            <v>171.68865004299221</v>
          </cell>
          <cell r="N37">
            <v>137.1159931212382</v>
          </cell>
          <cell r="O37">
            <v>122.21797076526229</v>
          </cell>
          <cell r="P37">
            <v>118.1821152192605</v>
          </cell>
          <cell r="Q37">
            <v>139.5532244196045</v>
          </cell>
          <cell r="R37">
            <v>137.11375752364569</v>
          </cell>
          <cell r="S37">
            <v>140.651418744626</v>
          </cell>
          <cell r="T37">
            <v>156.1518486672399</v>
          </cell>
          <cell r="U37">
            <v>151.05778159931211</v>
          </cell>
          <cell r="V37">
            <v>152.70214961306959</v>
          </cell>
          <cell r="W37">
            <v>184.40928632846089</v>
          </cell>
        </row>
        <row r="38">
          <cell r="B38">
            <v>1892.2063628546859</v>
          </cell>
          <cell r="C38">
            <v>1803.577214101462</v>
          </cell>
          <cell r="D38">
            <v>1745.172312983663</v>
          </cell>
          <cell r="E38">
            <v>1688.7107480653481</v>
          </cell>
          <cell r="F38">
            <v>1498.1192605331039</v>
          </cell>
          <cell r="G38">
            <v>1351.667841788478</v>
          </cell>
          <cell r="H38">
            <v>1387.9460877042129</v>
          </cell>
          <cell r="I38">
            <v>1246.8146173688731</v>
          </cell>
          <cell r="J38">
            <v>1212.265606190886</v>
          </cell>
          <cell r="K38">
            <v>869.52742906276853</v>
          </cell>
          <cell r="L38">
            <v>726.92338779019769</v>
          </cell>
          <cell r="M38">
            <v>673.68323301805663</v>
          </cell>
          <cell r="N38">
            <v>606.03551160791051</v>
          </cell>
          <cell r="O38">
            <v>507.91100601891651</v>
          </cell>
          <cell r="P38">
            <v>395.55631986242469</v>
          </cell>
          <cell r="Q38">
            <v>398.53129836629398</v>
          </cell>
          <cell r="R38">
            <v>435.79458297506449</v>
          </cell>
          <cell r="S38">
            <v>389.63482373172832</v>
          </cell>
          <cell r="T38">
            <v>362.90515907136711</v>
          </cell>
          <cell r="U38">
            <v>318.01324161650899</v>
          </cell>
          <cell r="V38">
            <v>322.13404987102319</v>
          </cell>
          <cell r="W38">
            <v>385.94462596732592</v>
          </cell>
        </row>
        <row r="39">
          <cell r="B39">
            <v>2.2717110920034389</v>
          </cell>
          <cell r="C39">
            <v>1.2512467755803951</v>
          </cell>
          <cell r="D39">
            <v>0.2047291487532244</v>
          </cell>
          <cell r="E39">
            <v>7.6057609630266558</v>
          </cell>
          <cell r="F39">
            <v>1.284006878761822</v>
          </cell>
          <cell r="G39">
            <v>1.4882201203783321</v>
          </cell>
          <cell r="H39">
            <v>7.4066208082545142</v>
          </cell>
          <cell r="I39">
            <v>7.4416165090283739</v>
          </cell>
          <cell r="J39">
            <v>1.1355975924333619</v>
          </cell>
          <cell r="K39">
            <v>1.1419604471195179</v>
          </cell>
          <cell r="L39">
            <v>1.196818572656922</v>
          </cell>
          <cell r="M39">
            <v>1.0774720550300949</v>
          </cell>
          <cell r="N39">
            <v>1.095442820292347</v>
          </cell>
          <cell r="O39">
            <v>1.241100601891659</v>
          </cell>
          <cell r="P39">
            <v>1.3531384350816851</v>
          </cell>
          <cell r="Q39">
            <v>0.99724849527085113</v>
          </cell>
          <cell r="R39">
            <v>1.0214961306964749</v>
          </cell>
          <cell r="S39">
            <v>2.2787618228718829</v>
          </cell>
          <cell r="T39">
            <v>24.109200343938081</v>
          </cell>
          <cell r="U39">
            <v>22.652966466036119</v>
          </cell>
          <cell r="V39">
            <v>2.348753224419605</v>
          </cell>
          <cell r="W39">
            <v>1.211865864144454</v>
          </cell>
        </row>
        <row r="41">
          <cell r="B41">
            <v>8507.1754944110053</v>
          </cell>
          <cell r="C41">
            <v>8119.7536543422166</v>
          </cell>
          <cell r="D41">
            <v>8286.2462596732585</v>
          </cell>
          <cell r="E41">
            <v>8499.952536543422</v>
          </cell>
          <cell r="F41">
            <v>7460.9395528804816</v>
          </cell>
          <cell r="G41">
            <v>7729.1186586414442</v>
          </cell>
          <cell r="H41">
            <v>7392.4924333619947</v>
          </cell>
          <cell r="I41">
            <v>7524.5351676698192</v>
          </cell>
          <cell r="J41">
            <v>7056.810748065348</v>
          </cell>
          <cell r="K41">
            <v>6581.2370593293199</v>
          </cell>
          <cell r="L41">
            <v>7118.507394668959</v>
          </cell>
          <cell r="M41">
            <v>6517.8748925193468</v>
          </cell>
          <cell r="N41">
            <v>6573.340412725709</v>
          </cell>
          <cell r="O41">
            <v>6756.7092003439366</v>
          </cell>
          <cell r="P41">
            <v>6667.3269991401548</v>
          </cell>
          <cell r="Q41">
            <v>6351.6587274290623</v>
          </cell>
          <cell r="R41">
            <v>6318.8134995700784</v>
          </cell>
          <cell r="S41">
            <v>6477.9651762682724</v>
          </cell>
          <cell r="T41">
            <v>6232.2093723129838</v>
          </cell>
          <cell r="U41">
            <v>6286.2363714531384</v>
          </cell>
          <cell r="V41">
            <v>6104.0739466895957</v>
          </cell>
          <cell r="W41">
            <v>7550.4635425623383</v>
          </cell>
        </row>
        <row r="42">
          <cell r="B42">
            <v>24.204643164230429</v>
          </cell>
          <cell r="C42">
            <v>21.56061908856406</v>
          </cell>
          <cell r="D42">
            <v>20.550300945829751</v>
          </cell>
          <cell r="E42">
            <v>0</v>
          </cell>
          <cell r="F42">
            <v>0</v>
          </cell>
          <cell r="G42">
            <v>2.149613069647463E-2</v>
          </cell>
          <cell r="H42">
            <v>2.149613069647463E-2</v>
          </cell>
          <cell r="I42">
            <v>2.149613069647463E-2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</row>
        <row r="44">
          <cell r="B44">
            <v>9695.0654342218404</v>
          </cell>
          <cell r="C44">
            <v>9301.1129836629407</v>
          </cell>
          <cell r="D44">
            <v>9551.3758383490967</v>
          </cell>
          <cell r="E44">
            <v>9981.250472914875</v>
          </cell>
          <cell r="F44">
            <v>10165.54436801376</v>
          </cell>
          <cell r="G44">
            <v>10556.79759243336</v>
          </cell>
          <cell r="H44">
            <v>11465.17781599312</v>
          </cell>
          <cell r="I44">
            <v>11826.547119518489</v>
          </cell>
          <cell r="J44">
            <v>11046.0592433362</v>
          </cell>
          <cell r="K44">
            <v>10814.668701633709</v>
          </cell>
          <cell r="L44">
            <v>11666.122184006879</v>
          </cell>
          <cell r="M44">
            <v>11413.54333619948</v>
          </cell>
          <cell r="N44">
            <v>11182.35348237317</v>
          </cell>
          <cell r="O44">
            <v>11507.899656061911</v>
          </cell>
          <cell r="P44">
            <v>11555.220980223559</v>
          </cell>
          <cell r="Q44">
            <v>11950.389595872741</v>
          </cell>
          <cell r="R44">
            <v>12336.7135855546</v>
          </cell>
          <cell r="S44">
            <v>12609.20834049871</v>
          </cell>
          <cell r="T44">
            <v>12958.20326741186</v>
          </cell>
          <cell r="U44">
            <v>13442.168357695609</v>
          </cell>
          <cell r="V44">
            <v>13186.325623387789</v>
          </cell>
          <cell r="W44">
            <v>12783.87815993121</v>
          </cell>
        </row>
        <row r="45">
          <cell r="B45">
            <v>11.560103181427341</v>
          </cell>
          <cell r="C45">
            <v>13.5664660361135</v>
          </cell>
          <cell r="D45">
            <v>15.262252794496989</v>
          </cell>
          <cell r="E45">
            <v>12.94548581255374</v>
          </cell>
          <cell r="F45">
            <v>19.537575236457439</v>
          </cell>
          <cell r="G45">
            <v>25.932072226999129</v>
          </cell>
          <cell r="H45">
            <v>20.89183147033534</v>
          </cell>
          <cell r="I45">
            <v>38.510576096302657</v>
          </cell>
          <cell r="J45">
            <v>32.588907996560621</v>
          </cell>
          <cell r="K45">
            <v>51.751762682717107</v>
          </cell>
          <cell r="L45">
            <v>55.011951848667238</v>
          </cell>
          <cell r="M45">
            <v>54.47979363714532</v>
          </cell>
          <cell r="N45">
            <v>56.831986242476347</v>
          </cell>
          <cell r="O45">
            <v>70.451848667239886</v>
          </cell>
          <cell r="P45">
            <v>89.94006878761823</v>
          </cell>
          <cell r="Q45">
            <v>100.4101461736887</v>
          </cell>
          <cell r="R45">
            <v>92.853138435081675</v>
          </cell>
          <cell r="S45">
            <v>146.46388650042991</v>
          </cell>
          <cell r="T45">
            <v>158.06612209802239</v>
          </cell>
          <cell r="U45">
            <v>187.13826311263969</v>
          </cell>
          <cell r="V45">
            <v>198.6877042132416</v>
          </cell>
          <cell r="W45">
            <v>199.47695614789339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9.37231298366294E-3</v>
          </cell>
          <cell r="H46">
            <v>2.579535683576956E-2</v>
          </cell>
          <cell r="I46">
            <v>2.6655202063628539E-2</v>
          </cell>
          <cell r="J46">
            <v>2.5623387790197759E-2</v>
          </cell>
          <cell r="K46">
            <v>5.9759243336199482E-2</v>
          </cell>
          <cell r="L46">
            <v>4.7635425623387781E-2</v>
          </cell>
          <cell r="M46">
            <v>4.2734307824591568E-2</v>
          </cell>
          <cell r="N46">
            <v>6.0447119518486657E-2</v>
          </cell>
          <cell r="O46">
            <v>3.361994840928634</v>
          </cell>
          <cell r="P46">
            <v>4.2444539982803082</v>
          </cell>
          <cell r="Q46">
            <v>3.8939810834049871</v>
          </cell>
          <cell r="R46">
            <v>5.1067927773000861</v>
          </cell>
          <cell r="S46">
            <v>9.290197764402409</v>
          </cell>
          <cell r="T46">
            <v>14.643852106620811</v>
          </cell>
          <cell r="U46">
            <v>10.31754084264832</v>
          </cell>
          <cell r="V46">
            <v>58.61625107480652</v>
          </cell>
          <cell r="W46">
            <v>70.690541702493533</v>
          </cell>
        </row>
        <row r="47">
          <cell r="B47">
            <v>1.031814273430782E-3</v>
          </cell>
          <cell r="C47">
            <v>1.031814273430782E-3</v>
          </cell>
          <cell r="D47">
            <v>7.3086844368013756E-3</v>
          </cell>
          <cell r="E47">
            <v>7.3086844368013756E-3</v>
          </cell>
          <cell r="F47">
            <v>1.16079105760963E-2</v>
          </cell>
          <cell r="G47">
            <v>1.16079105760963E-2</v>
          </cell>
          <cell r="H47">
            <v>1.16079105760963E-2</v>
          </cell>
          <cell r="I47">
            <v>1.917454858125537E-2</v>
          </cell>
          <cell r="J47">
            <v>1.917454858125537E-2</v>
          </cell>
          <cell r="K47">
            <v>2.91487532244196E-2</v>
          </cell>
          <cell r="L47">
            <v>2.91487532244196E-2</v>
          </cell>
          <cell r="M47">
            <v>2.91487532244196E-2</v>
          </cell>
          <cell r="N47">
            <v>2.91487532244196E-2</v>
          </cell>
          <cell r="O47">
            <v>2.91487532244196E-2</v>
          </cell>
          <cell r="P47">
            <v>2.91487532244196E-2</v>
          </cell>
          <cell r="Q47">
            <v>2.91487532244196E-2</v>
          </cell>
          <cell r="R47">
            <v>2.91487532244196E-2</v>
          </cell>
          <cell r="S47">
            <v>2.91487532244196E-2</v>
          </cell>
          <cell r="T47">
            <v>2.91487532244196E-2</v>
          </cell>
          <cell r="U47">
            <v>2.91487532244196E-2</v>
          </cell>
          <cell r="V47">
            <v>2.91487532244196E-2</v>
          </cell>
          <cell r="W47">
            <v>2.8202923473774719E-2</v>
          </cell>
        </row>
        <row r="48"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</row>
        <row r="49">
          <cell r="B49">
            <v>0.93856450163652694</v>
          </cell>
          <cell r="C49">
            <v>1.0044172518104459</v>
          </cell>
          <cell r="D49">
            <v>1.077508578770372</v>
          </cell>
          <cell r="E49">
            <v>1.1354979573748281</v>
          </cell>
          <cell r="F49">
            <v>1.145013255038174</v>
          </cell>
          <cell r="G49">
            <v>1.7893408833694979</v>
          </cell>
          <cell r="H49">
            <v>1.9549175047552929</v>
          </cell>
          <cell r="I49">
            <v>1.8929760350398559</v>
          </cell>
          <cell r="J49">
            <v>1.9619174997967119</v>
          </cell>
          <cell r="K49">
            <v>2.5251822259094712</v>
          </cell>
          <cell r="L49">
            <v>2.8763852987078051</v>
          </cell>
          <cell r="M49">
            <v>3.28713731365526</v>
          </cell>
          <cell r="N49">
            <v>3.018795918424694</v>
          </cell>
          <cell r="O49">
            <v>3.3983158326347018</v>
          </cell>
          <cell r="P49">
            <v>14.99567481852822</v>
          </cell>
          <cell r="Q49">
            <v>16.29638062280026</v>
          </cell>
          <cell r="R49">
            <v>17.317820150016949</v>
          </cell>
          <cell r="S49">
            <v>19.215489093615201</v>
          </cell>
          <cell r="T49">
            <v>22.31346160512129</v>
          </cell>
          <cell r="U49">
            <v>25.99944055775212</v>
          </cell>
          <cell r="V49">
            <v>27.34642483484361</v>
          </cell>
          <cell r="W49">
            <v>30.23508778186774</v>
          </cell>
        </row>
        <row r="50">
          <cell r="B50">
            <v>444.49217540842648</v>
          </cell>
          <cell r="C50">
            <v>471.29071367153921</v>
          </cell>
          <cell r="D50">
            <v>473.74591573516761</v>
          </cell>
          <cell r="E50">
            <v>721.46414445399819</v>
          </cell>
          <cell r="F50">
            <v>1516.6691315563201</v>
          </cell>
          <cell r="G50">
            <v>1542.6376612209799</v>
          </cell>
          <cell r="H50">
            <v>1630.103611349957</v>
          </cell>
          <cell r="I50">
            <v>2275.6640584694751</v>
          </cell>
          <cell r="J50">
            <v>2194.101805674979</v>
          </cell>
          <cell r="K50">
            <v>1801.012209802235</v>
          </cell>
          <cell r="L50">
            <v>1999.9160791057609</v>
          </cell>
          <cell r="M50">
            <v>2553.1182287188308</v>
          </cell>
          <cell r="N50">
            <v>2780.8823731728289</v>
          </cell>
          <cell r="O50">
            <v>2579.7224419604472</v>
          </cell>
          <cell r="P50">
            <v>2554.9379191745479</v>
          </cell>
          <cell r="Q50">
            <v>2625.2369733447981</v>
          </cell>
          <cell r="R50">
            <v>2555.331470335339</v>
          </cell>
          <cell r="S50">
            <v>2458.2123817712809</v>
          </cell>
          <cell r="T50">
            <v>2280.345141874463</v>
          </cell>
          <cell r="U50">
            <v>2197.635855546001</v>
          </cell>
          <cell r="V50">
            <v>2101.6478933791909</v>
          </cell>
          <cell r="W50">
            <v>2287.8486672398972</v>
          </cell>
        </row>
        <row r="51">
          <cell r="B51">
            <v>10346.87110920034</v>
          </cell>
          <cell r="C51">
            <v>10534.87953568358</v>
          </cell>
          <cell r="D51">
            <v>10637.70249355116</v>
          </cell>
          <cell r="E51">
            <v>10677.9369733448</v>
          </cell>
          <cell r="F51">
            <v>11244.06698194325</v>
          </cell>
          <cell r="G51">
            <v>11220.85631986242</v>
          </cell>
          <cell r="H51">
            <v>11430.183147033529</v>
          </cell>
          <cell r="I51">
            <v>11525.460791057611</v>
          </cell>
          <cell r="J51">
            <v>10773.46242476354</v>
          </cell>
          <cell r="K51">
            <v>9701.6592433361984</v>
          </cell>
          <cell r="L51">
            <v>9920.3264832330169</v>
          </cell>
          <cell r="M51">
            <v>9875.1650902837482</v>
          </cell>
          <cell r="N51">
            <v>9723.0981943250208</v>
          </cell>
          <cell r="O51">
            <v>9556.5430782459152</v>
          </cell>
          <cell r="P51">
            <v>9372.5778511425688</v>
          </cell>
          <cell r="Q51">
            <v>9176.6955288048139</v>
          </cell>
          <cell r="R51">
            <v>9127.1932932072232</v>
          </cell>
          <cell r="S51">
            <v>9167.3459157351663</v>
          </cell>
          <cell r="T51">
            <v>9051.8065348237324</v>
          </cell>
          <cell r="U51">
            <v>8906.8181427343079</v>
          </cell>
          <cell r="V51">
            <v>8416.8166809974191</v>
          </cell>
          <cell r="W51">
            <v>8607.4308684436801</v>
          </cell>
        </row>
        <row r="52">
          <cell r="B52">
            <v>32882.449742489604</v>
          </cell>
          <cell r="C52">
            <v>32066.054632213105</v>
          </cell>
          <cell r="D52">
            <v>32526.408978914114</v>
          </cell>
          <cell r="E52">
            <v>33594.820450665888</v>
          </cell>
          <cell r="F52">
            <v>33703.983448336723</v>
          </cell>
          <cell r="G52">
            <v>34234.452109584992</v>
          </cell>
          <cell r="H52">
            <v>35078.519405896848</v>
          </cell>
          <cell r="I52">
            <v>36049.972855656721</v>
          </cell>
          <cell r="J52">
            <v>33835.767764447344</v>
          </cell>
          <cell r="K52">
            <v>31301.280728227619</v>
          </cell>
          <cell r="L52">
            <v>32964.446548669293</v>
          </cell>
          <cell r="M52">
            <v>32476.649304123624</v>
          </cell>
          <cell r="N52">
            <v>32231.274169951103</v>
          </cell>
          <cell r="O52">
            <v>32278.291351086289</v>
          </cell>
          <cell r="P52">
            <v>31932.811617104693</v>
          </cell>
          <cell r="Q52">
            <v>31947.260783030364</v>
          </cell>
          <cell r="R52">
            <v>32180.21214517151</v>
          </cell>
          <cell r="S52">
            <v>32506.097948250968</v>
          </cell>
          <cell r="T52">
            <v>32307.222146041917</v>
          </cell>
          <cell r="U52">
            <v>32514.902793954134</v>
          </cell>
          <cell r="V52">
            <v>31397.222693106556</v>
          </cell>
          <cell r="W52">
            <v>32932.051682794758</v>
          </cell>
        </row>
        <row r="53">
          <cell r="B53">
            <v>11402.53607444471</v>
          </cell>
          <cell r="C53">
            <v>10875.65674741964</v>
          </cell>
          <cell r="D53">
            <v>10997.329301847791</v>
          </cell>
          <cell r="E53">
            <v>11336.454684213861</v>
          </cell>
          <cell r="F53">
            <v>11180.01619848665</v>
          </cell>
          <cell r="G53">
            <v>11193.386215439299</v>
          </cell>
          <cell r="H53">
            <v>11657.38450246631</v>
          </cell>
          <cell r="I53">
            <v>12202.24631280514</v>
          </cell>
          <cell r="J53">
            <v>11581.109890084181</v>
          </cell>
          <cell r="K53">
            <v>10418.99114514159</v>
          </cell>
          <cell r="L53">
            <v>11051.951415067449</v>
          </cell>
          <cell r="M53">
            <v>10999.902158157831</v>
          </cell>
          <cell r="N53">
            <v>10954.90807099598</v>
          </cell>
          <cell r="O53">
            <v>11013.078373249131</v>
          </cell>
          <cell r="P53">
            <v>10961.103648873701</v>
          </cell>
          <cell r="Q53">
            <v>10890.191207176609</v>
          </cell>
          <cell r="R53">
            <v>11013.455170628929</v>
          </cell>
          <cell r="S53">
            <v>11260.656354320459</v>
          </cell>
          <cell r="T53">
            <v>11360.387473772371</v>
          </cell>
          <cell r="U53">
            <v>11729.976843209841</v>
          </cell>
          <cell r="V53">
            <v>11552.307707557071</v>
          </cell>
          <cell r="W53">
            <v>11469.134497686749</v>
          </cell>
        </row>
        <row r="54">
          <cell r="B54">
            <v>19354.060189269159</v>
          </cell>
          <cell r="C54">
            <v>19094.39825408017</v>
          </cell>
          <cell r="D54">
            <v>19381.66126344393</v>
          </cell>
          <cell r="E54">
            <v>20003.926865816578</v>
          </cell>
          <cell r="F54">
            <v>20280.713725596939</v>
          </cell>
          <cell r="G54">
            <v>20738.535509738551</v>
          </cell>
          <cell r="H54">
            <v>21153.93053319371</v>
          </cell>
          <cell r="I54">
            <v>21559.856966056261</v>
          </cell>
          <cell r="J54">
            <v>20155.18695110636</v>
          </cell>
          <cell r="K54">
            <v>18924.819506032989</v>
          </cell>
          <cell r="L54">
            <v>19888.81274507293</v>
          </cell>
          <cell r="M54">
            <v>19519.239544854041</v>
          </cell>
          <cell r="N54">
            <v>19321.318110156972</v>
          </cell>
          <cell r="O54">
            <v>19357.547057923421</v>
          </cell>
          <cell r="P54">
            <v>19138.471337042181</v>
          </cell>
          <cell r="Q54">
            <v>19294.021427327742</v>
          </cell>
          <cell r="R54">
            <v>19334.268777224981</v>
          </cell>
          <cell r="S54">
            <v>19448.883396287791</v>
          </cell>
          <cell r="T54">
            <v>19191.17756357952</v>
          </cell>
          <cell r="U54">
            <v>19180.910626286812</v>
          </cell>
          <cell r="V54">
            <v>18330.926193788371</v>
          </cell>
          <cell r="W54">
            <v>19702.79271826784</v>
          </cell>
        </row>
        <row r="55">
          <cell r="B55">
            <v>2125.8534787757371</v>
          </cell>
          <cell r="C55">
            <v>2095.999630713296</v>
          </cell>
          <cell r="D55">
            <v>2147.4184136223939</v>
          </cell>
          <cell r="E55">
            <v>2254.4389006354472</v>
          </cell>
          <cell r="F55">
            <v>2243.2535242531321</v>
          </cell>
          <cell r="G55">
            <v>2302.530384407145</v>
          </cell>
          <cell r="H55">
            <v>2267.2043702368251</v>
          </cell>
          <cell r="I55">
            <v>2287.8695767953168</v>
          </cell>
          <cell r="J55">
            <v>2099.470923256803</v>
          </cell>
          <cell r="K55">
            <v>1957.4700770530401</v>
          </cell>
          <cell r="L55">
            <v>2023.682388528915</v>
          </cell>
          <cell r="M55">
            <v>1957.5076011117519</v>
          </cell>
          <cell r="N55">
            <v>1955.0479887981501</v>
          </cell>
          <cell r="O55">
            <v>1907.6659199137409</v>
          </cell>
          <cell r="P55">
            <v>1833.236631188812</v>
          </cell>
          <cell r="Q55">
            <v>1763.0481485260129</v>
          </cell>
          <cell r="R55">
            <v>1832.4881973175991</v>
          </cell>
          <cell r="S55">
            <v>1796.558197642717</v>
          </cell>
          <cell r="T55">
            <v>1755.6571086900269</v>
          </cell>
          <cell r="U55">
            <v>1604.0153244574849</v>
          </cell>
          <cell r="V55">
            <v>1513.988791761115</v>
          </cell>
          <cell r="W55">
            <v>1760.12446684017</v>
          </cell>
        </row>
        <row r="57">
          <cell r="B57">
            <v>33692.112104697975</v>
          </cell>
          <cell r="C57">
            <v>31840.824589669846</v>
          </cell>
          <cell r="D57">
            <v>32090.994424647281</v>
          </cell>
          <cell r="E57">
            <v>33467.593642911583</v>
          </cell>
          <cell r="F57">
            <v>29624.605058512283</v>
          </cell>
          <cell r="G57">
            <v>29859.565610325626</v>
          </cell>
          <cell r="H57">
            <v>29023.837569634405</v>
          </cell>
          <cell r="I57">
            <v>28379.268032764106</v>
          </cell>
          <cell r="J57">
            <v>26513.434141818263</v>
          </cell>
          <cell r="K57">
            <v>24526.141740006944</v>
          </cell>
          <cell r="L57">
            <v>25083.606184866327</v>
          </cell>
          <cell r="M57">
            <v>23014.083379054817</v>
          </cell>
          <cell r="N57">
            <v>22671.335721310923</v>
          </cell>
          <cell r="O57">
            <v>23006.987003570259</v>
          </cell>
          <cell r="P57">
            <v>22380.049567956277</v>
          </cell>
          <cell r="Q57">
            <v>21812.69418226961</v>
          </cell>
          <cell r="R57">
            <v>21757.071759998649</v>
          </cell>
          <cell r="S57">
            <v>21840.881384401713</v>
          </cell>
          <cell r="T57">
            <v>21332.156869514809</v>
          </cell>
          <cell r="U57">
            <v>21132.976471279911</v>
          </cell>
          <cell r="V57">
            <v>20159.093053371231</v>
          </cell>
          <cell r="W57">
            <v>23875.568614421816</v>
          </cell>
        </row>
        <row r="58">
          <cell r="B58">
            <v>7749.2955768014699</v>
          </cell>
          <cell r="C58">
            <v>6893.7744960704986</v>
          </cell>
          <cell r="D58">
            <v>6773.6744931010153</v>
          </cell>
          <cell r="E58">
            <v>7436.0852837847342</v>
          </cell>
          <cell r="F58">
            <v>6392.2952072386261</v>
          </cell>
          <cell r="G58">
            <v>6481.0250001235163</v>
          </cell>
          <cell r="H58">
            <v>6266.9702229353707</v>
          </cell>
          <cell r="I58">
            <v>6030.5437487943009</v>
          </cell>
          <cell r="J58">
            <v>5647.3073289228232</v>
          </cell>
          <cell r="K58">
            <v>4949.1324416800726</v>
          </cell>
          <cell r="L58">
            <v>5008.9859960205558</v>
          </cell>
          <cell r="M58">
            <v>4769.5791541354547</v>
          </cell>
          <cell r="N58">
            <v>4715.8139536747094</v>
          </cell>
          <cell r="O58">
            <v>4670.7451049767669</v>
          </cell>
          <cell r="P58">
            <v>4439.3131794760202</v>
          </cell>
          <cell r="Q58">
            <v>4163.136328636464</v>
          </cell>
          <cell r="R58">
            <v>4204.3145223580941</v>
          </cell>
          <cell r="S58">
            <v>4322.2634000482103</v>
          </cell>
          <cell r="T58">
            <v>4302.5525543324893</v>
          </cell>
          <cell r="U58">
            <v>4328.922770260122</v>
          </cell>
          <cell r="V58">
            <v>4134.2784077830556</v>
          </cell>
          <cell r="W58">
            <v>4311.1540405939904</v>
          </cell>
        </row>
        <row r="59">
          <cell r="B59">
            <v>25195.934280008831</v>
          </cell>
          <cell r="C59">
            <v>24355.610010296608</v>
          </cell>
          <cell r="D59">
            <v>24665.84515380616</v>
          </cell>
          <cell r="E59">
            <v>25260.84039912677</v>
          </cell>
          <cell r="F59">
            <v>22661.723079186351</v>
          </cell>
          <cell r="G59">
            <v>22804.61437591082</v>
          </cell>
          <cell r="H59">
            <v>22217.582177402001</v>
          </cell>
          <cell r="I59">
            <v>21778.075711939779</v>
          </cell>
          <cell r="J59">
            <v>20390.415760970202</v>
          </cell>
          <cell r="K59">
            <v>19100.061323683291</v>
          </cell>
          <cell r="L59">
            <v>19555.82172009024</v>
          </cell>
          <cell r="M59">
            <v>17794.749509329889</v>
          </cell>
          <cell r="N59">
            <v>17460.201753808909</v>
          </cell>
          <cell r="O59">
            <v>17868.741638479922</v>
          </cell>
          <cell r="P59">
            <v>17484.916856048822</v>
          </cell>
          <cell r="Q59">
            <v>17203.163111670769</v>
          </cell>
          <cell r="R59">
            <v>17075.296669686999</v>
          </cell>
          <cell r="S59">
            <v>17014.29133283913</v>
          </cell>
          <cell r="T59">
            <v>16566.16450437485</v>
          </cell>
          <cell r="U59">
            <v>16373.12577012526</v>
          </cell>
          <cell r="V59">
            <v>15611.893943270181</v>
          </cell>
          <cell r="W59">
            <v>18846.09158764753</v>
          </cell>
        </row>
        <row r="60">
          <cell r="B60">
            <v>746.88224788767843</v>
          </cell>
          <cell r="C60">
            <v>591.44008330273959</v>
          </cell>
          <cell r="D60">
            <v>651.47477774010554</v>
          </cell>
          <cell r="E60">
            <v>770.66796000007753</v>
          </cell>
          <cell r="F60">
            <v>570.58677208730637</v>
          </cell>
          <cell r="G60">
            <v>573.92623429129185</v>
          </cell>
          <cell r="H60">
            <v>539.28516929703108</v>
          </cell>
          <cell r="I60">
            <v>570.64857203002612</v>
          </cell>
          <cell r="J60">
            <v>475.7110519252397</v>
          </cell>
          <cell r="K60">
            <v>476.94797464357879</v>
          </cell>
          <cell r="L60">
            <v>518.79846875553244</v>
          </cell>
          <cell r="M60">
            <v>449.7547155894714</v>
          </cell>
          <cell r="N60">
            <v>495.3200138273067</v>
          </cell>
          <cell r="O60">
            <v>467.50026011357232</v>
          </cell>
          <cell r="P60">
            <v>455.81953243143761</v>
          </cell>
          <cell r="Q60">
            <v>446.39474196237597</v>
          </cell>
          <cell r="R60">
            <v>477.46056795355668</v>
          </cell>
          <cell r="S60">
            <v>504.32665151437459</v>
          </cell>
          <cell r="T60">
            <v>463.43981080746897</v>
          </cell>
          <cell r="U60">
            <v>430.92793089453102</v>
          </cell>
          <cell r="V60">
            <v>412.92070231799431</v>
          </cell>
          <cell r="W60">
            <v>718.32298618029495</v>
          </cell>
        </row>
        <row r="74">
          <cell r="B74">
            <v>1.0246229331618852</v>
          </cell>
          <cell r="C74">
            <v>0.99297606003836236</v>
          </cell>
          <cell r="D74">
            <v>0.9866135067492664</v>
          </cell>
          <cell r="E74">
            <v>0.99621290407129459</v>
          </cell>
          <cell r="F74">
            <v>0.87896450293249373</v>
          </cell>
          <cell r="G74">
            <v>0.87220807608501261</v>
          </cell>
          <cell r="H74">
            <v>0.82739631150895654</v>
          </cell>
          <cell r="I74">
            <v>0.78722023304688904</v>
          </cell>
          <cell r="J74">
            <v>0.78359191747606916</v>
          </cell>
          <cell r="K74">
            <v>0.78355074199533226</v>
          </cell>
          <cell r="L74">
            <v>0.76092908606344856</v>
          </cell>
          <cell r="M74">
            <v>0.70863478444288508</v>
          </cell>
          <cell r="N74">
            <v>0.70339557790263174</v>
          </cell>
          <cell r="O74">
            <v>0.71276966780324902</v>
          </cell>
          <cell r="P74">
            <v>0.70084807552519068</v>
          </cell>
          <cell r="Q74">
            <v>0.68277197004182599</v>
          </cell>
          <cell r="R74">
            <v>0.6761009424626554</v>
          </cell>
          <cell r="S74">
            <v>0.6719010512788075</v>
          </cell>
          <cell r="T74">
            <v>0.66029065492182204</v>
          </cell>
          <cell r="U74">
            <v>0.64994739812691082</v>
          </cell>
          <cell r="V74">
            <v>0.64206612318602552</v>
          </cell>
          <cell r="W74">
            <v>0.7249948726059946</v>
          </cell>
        </row>
        <row r="75">
          <cell r="B75">
            <v>0.67961158168744062</v>
          </cell>
          <cell r="C75">
            <v>0.63387201859842779</v>
          </cell>
          <cell r="D75">
            <v>0.61593813435802913</v>
          </cell>
          <cell r="E75">
            <v>0.65594451624629746</v>
          </cell>
          <cell r="F75">
            <v>0.57176081803029055</v>
          </cell>
          <cell r="G75">
            <v>0.57900485834966431</v>
          </cell>
          <cell r="H75">
            <v>0.53759659566942231</v>
          </cell>
          <cell r="I75">
            <v>0.49421586765264663</v>
          </cell>
          <cell r="J75">
            <v>0.48763092505996192</v>
          </cell>
          <cell r="K75">
            <v>0.47501071579160226</v>
          </cell>
          <cell r="L75">
            <v>0.45322186172404433</v>
          </cell>
          <cell r="M75">
            <v>0.43360196168637766</v>
          </cell>
          <cell r="N75">
            <v>0.43047499103714204</v>
          </cell>
          <cell r="O75">
            <v>0.42410894998459742</v>
          </cell>
          <cell r="P75">
            <v>0.40500603969128401</v>
          </cell>
          <cell r="Q75">
            <v>0.38228312519370344</v>
          </cell>
          <cell r="R75">
            <v>0.38174346353815541</v>
          </cell>
          <cell r="S75">
            <v>0.38383760804403338</v>
          </cell>
          <cell r="T75">
            <v>0.37873290539303833</v>
          </cell>
          <cell r="U75">
            <v>0.36904785304550841</v>
          </cell>
          <cell r="V75">
            <v>0.35787467858725502</v>
          </cell>
          <cell r="W75">
            <v>0.37589183747592481</v>
          </cell>
        </row>
        <row r="76">
          <cell r="B76">
            <v>1.3018423025251669</v>
          </cell>
          <cell r="C76">
            <v>1.27553692377251</v>
          </cell>
          <cell r="D76">
            <v>1.2726383367523204</v>
          </cell>
          <cell r="E76">
            <v>1.2627940788112655</v>
          </cell>
          <cell r="F76">
            <v>1.1174026410413882</v>
          </cell>
          <cell r="G76">
            <v>1.0996251092658913</v>
          </cell>
          <cell r="H76">
            <v>1.0502815135248393</v>
          </cell>
          <cell r="I76">
            <v>1.0101215303156732</v>
          </cell>
          <cell r="J76">
            <v>1.0116708820629883</v>
          </cell>
          <cell r="K76">
            <v>1.0092598937387189</v>
          </cell>
          <cell r="L76">
            <v>0.98325737039958894</v>
          </cell>
          <cell r="M76">
            <v>0.91165178174275807</v>
          </cell>
          <cell r="N76">
            <v>0.90367549740979125</v>
          </cell>
          <cell r="O76">
            <v>0.92308914889946747</v>
          </cell>
          <cell r="P76">
            <v>0.91360049337937799</v>
          </cell>
          <cell r="Q76">
            <v>0.89163180296381783</v>
          </cell>
          <cell r="R76">
            <v>0.88316226832436695</v>
          </cell>
          <cell r="S76">
            <v>0.87482098515160245</v>
          </cell>
          <cell r="T76">
            <v>0.86321771811510173</v>
          </cell>
          <cell r="U76">
            <v>0.8536156645079418</v>
          </cell>
          <cell r="V76">
            <v>0.8516696744194211</v>
          </cell>
          <cell r="W76">
            <v>0.95651879696089981</v>
          </cell>
        </row>
        <row r="77">
          <cell r="B77">
            <v>0.35133289069282531</v>
          </cell>
          <cell r="C77">
            <v>0.28217566197827276</v>
          </cell>
          <cell r="D77">
            <v>0.30337579933533254</v>
          </cell>
          <cell r="E77">
            <v>0.34184468684551766</v>
          </cell>
          <cell r="F77">
            <v>0.25435679289850988</v>
          </cell>
          <cell r="G77">
            <v>0.24925891887375298</v>
          </cell>
          <cell r="H77">
            <v>0.23786350113673213</v>
          </cell>
          <cell r="I77">
            <v>0.24942355885047854</v>
          </cell>
          <cell r="J77">
            <v>0.22658615875817573</v>
          </cell>
          <cell r="K77">
            <v>0.24365530806050492</v>
          </cell>
          <cell r="L77">
            <v>0.25636358338457699</v>
          </cell>
          <cell r="M77">
            <v>0.22975886036612914</v>
          </cell>
          <cell r="N77">
            <v>0.25335440186908181</v>
          </cell>
          <cell r="O77">
            <v>0.24506401002053405</v>
          </cell>
          <cell r="P77">
            <v>0.24864195089525845</v>
          </cell>
          <cell r="Q77">
            <v>0.25319486727324036</v>
          </cell>
          <cell r="R77">
            <v>0.26055314771056354</v>
          </cell>
          <cell r="S77">
            <v>0.28071823789293715</v>
          </cell>
          <cell r="T77">
            <v>0.26396943259225703</v>
          </cell>
          <cell r="U77">
            <v>0.26865574432107175</v>
          </cell>
          <cell r="V77">
            <v>0.27273696117503826</v>
          </cell>
          <cell r="W77">
            <v>0.4081091989306021</v>
          </cell>
        </row>
      </sheetData>
      <sheetData sheetId="23"/>
      <sheetData sheetId="24"/>
      <sheetData sheetId="25"/>
      <sheetData sheetId="26">
        <row r="3">
          <cell r="B3">
            <v>208952.20180473241</v>
          </cell>
          <cell r="C3">
            <v>211827.24054880411</v>
          </cell>
          <cell r="D3">
            <v>215633.03696090929</v>
          </cell>
          <cell r="E3">
            <v>216594.91211557441</v>
          </cell>
          <cell r="F3">
            <v>219048.6263626393</v>
          </cell>
          <cell r="G3">
            <v>216546.2741676672</v>
          </cell>
          <cell r="H3">
            <v>213861.76983858109</v>
          </cell>
          <cell r="I3">
            <v>217217.69008836269</v>
          </cell>
          <cell r="J3">
            <v>214855.6756222914</v>
          </cell>
          <cell r="K3">
            <v>213807.58166139899</v>
          </cell>
          <cell r="L3">
            <v>214795.03596897531</v>
          </cell>
          <cell r="M3">
            <v>216449.2027307766</v>
          </cell>
          <cell r="N3">
            <v>217013.4857065611</v>
          </cell>
          <cell r="O3">
            <v>217959.5205214422</v>
          </cell>
          <cell r="P3">
            <v>224040.601021707</v>
          </cell>
          <cell r="Q3">
            <v>229714.2</v>
          </cell>
          <cell r="R3">
            <v>234383.50473402269</v>
          </cell>
          <cell r="S3">
            <v>234928.49710076541</v>
          </cell>
          <cell r="T3">
            <v>236469.68500669979</v>
          </cell>
          <cell r="U3">
            <v>238194.58758428961</v>
          </cell>
          <cell r="V3">
            <v>232367.29321775431</v>
          </cell>
          <cell r="W3">
            <v>229494.03909983649</v>
          </cell>
        </row>
        <row r="12">
          <cell r="B12">
            <v>27523.25816929981</v>
          </cell>
          <cell r="C12">
            <v>28034.955352477238</v>
          </cell>
          <cell r="D12">
            <v>29053.04392349772</v>
          </cell>
          <cell r="E12">
            <v>29365.400563834621</v>
          </cell>
          <cell r="F12">
            <v>29139.458361590681</v>
          </cell>
          <cell r="G12">
            <v>27792.686394242239</v>
          </cell>
          <cell r="H12">
            <v>26413.492767191179</v>
          </cell>
          <cell r="I12">
            <v>26711.057493967441</v>
          </cell>
          <cell r="J12">
            <v>26302.938714967459</v>
          </cell>
          <cell r="K12">
            <v>25165.32891267577</v>
          </cell>
          <cell r="L12">
            <v>25924.70347593445</v>
          </cell>
          <cell r="M12">
            <v>26021.623806725231</v>
          </cell>
          <cell r="N12">
            <v>26285.649636682068</v>
          </cell>
          <cell r="O12">
            <v>25946.13472219032</v>
          </cell>
          <cell r="P12">
            <v>26314.230365099051</v>
          </cell>
          <cell r="Q12">
            <v>26517.30364199225</v>
          </cell>
          <cell r="R12">
            <v>27419.80826410908</v>
          </cell>
          <cell r="S12">
            <v>27542.163707114749</v>
          </cell>
          <cell r="T12">
            <v>28005.02209125381</v>
          </cell>
          <cell r="U12">
            <v>27554.67990115867</v>
          </cell>
          <cell r="V12">
            <v>27240.01392304432</v>
          </cell>
          <cell r="W12">
            <v>28856.389928361201</v>
          </cell>
        </row>
        <row r="13">
          <cell r="B13">
            <v>2153.943422184007</v>
          </cell>
          <cell r="C13">
            <v>1968.1328460877039</v>
          </cell>
          <cell r="D13">
            <v>1965.43516766982</v>
          </cell>
          <cell r="E13">
            <v>1862.5846947549439</v>
          </cell>
          <cell r="F13">
            <v>1907.1730868443681</v>
          </cell>
          <cell r="G13">
            <v>1902.823215821152</v>
          </cell>
          <cell r="H13">
            <v>1767.948495270851</v>
          </cell>
          <cell r="I13">
            <v>1797.981341358555</v>
          </cell>
          <cell r="J13">
            <v>1533.527687016337</v>
          </cell>
          <cell r="K13">
            <v>1462.1107480653479</v>
          </cell>
          <cell r="L13">
            <v>1461.9562338779019</v>
          </cell>
          <cell r="M13">
            <v>1415.1315563198621</v>
          </cell>
          <cell r="N13">
            <v>1502.743164230438</v>
          </cell>
          <cell r="O13">
            <v>1237.6916595012899</v>
          </cell>
          <cell r="P13">
            <v>1210.2681857265691</v>
          </cell>
          <cell r="Q13">
            <v>1258.3791057609631</v>
          </cell>
          <cell r="R13">
            <v>1227.2644024075671</v>
          </cell>
          <cell r="S13">
            <v>1304.777300085985</v>
          </cell>
          <cell r="T13">
            <v>1383.434651762683</v>
          </cell>
          <cell r="U13">
            <v>1135.664402407567</v>
          </cell>
          <cell r="V13">
            <v>1080.455202063629</v>
          </cell>
          <cell r="W13">
            <v>1079.15554600172</v>
          </cell>
        </row>
        <row r="15"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</row>
        <row r="16">
          <cell r="B16">
            <v>499.63800515907133</v>
          </cell>
          <cell r="C16">
            <v>518.15331040412718</v>
          </cell>
          <cell r="D16">
            <v>521.46534823731724</v>
          </cell>
          <cell r="E16">
            <v>453.52106620808252</v>
          </cell>
          <cell r="F16">
            <v>427.22484952708521</v>
          </cell>
          <cell r="G16">
            <v>377.84823731728278</v>
          </cell>
          <cell r="H16">
            <v>390.22880481513317</v>
          </cell>
          <cell r="I16">
            <v>434.22209802235602</v>
          </cell>
          <cell r="J16">
            <v>348.31169389509881</v>
          </cell>
          <cell r="K16">
            <v>312.66852966466041</v>
          </cell>
          <cell r="L16">
            <v>357.4760103181427</v>
          </cell>
          <cell r="M16">
            <v>322.7535683576956</v>
          </cell>
          <cell r="N16">
            <v>321.73559759243341</v>
          </cell>
          <cell r="O16">
            <v>358.91625107480661</v>
          </cell>
          <cell r="P16">
            <v>373.73637145313847</v>
          </cell>
          <cell r="Q16">
            <v>365.53791917454862</v>
          </cell>
          <cell r="R16">
            <v>432.15374032674117</v>
          </cell>
          <cell r="S16">
            <v>432.81375752364579</v>
          </cell>
          <cell r="T16">
            <v>452.19122957867592</v>
          </cell>
          <cell r="U16">
            <v>458.50103181427352</v>
          </cell>
          <cell r="V16">
            <v>449.29767841788481</v>
          </cell>
          <cell r="W16">
            <v>461.30550300945828</v>
          </cell>
        </row>
        <row r="17">
          <cell r="B17">
            <v>1609.980489513759</v>
          </cell>
          <cell r="C17">
            <v>1672.1909533483761</v>
          </cell>
          <cell r="D17">
            <v>1616.6139303400889</v>
          </cell>
          <cell r="E17">
            <v>1478.60556623245</v>
          </cell>
          <cell r="F17">
            <v>1489.808871040904</v>
          </cell>
          <cell r="G17">
            <v>1419.661765310077</v>
          </cell>
          <cell r="H17">
            <v>1151.274364970104</v>
          </cell>
          <cell r="I17">
            <v>1244.573750588941</v>
          </cell>
          <cell r="J17">
            <v>1168.3426709381399</v>
          </cell>
          <cell r="K17">
            <v>949.18534845536192</v>
          </cell>
          <cell r="L17">
            <v>961.64067388941976</v>
          </cell>
          <cell r="M17">
            <v>835.05817395229815</v>
          </cell>
          <cell r="N17">
            <v>784.53766122098011</v>
          </cell>
          <cell r="O17">
            <v>747.07050730868434</v>
          </cell>
          <cell r="P17">
            <v>695.9135855546001</v>
          </cell>
          <cell r="Q17">
            <v>711.6602751504729</v>
          </cell>
          <cell r="R17">
            <v>701.5957007738607</v>
          </cell>
          <cell r="S17">
            <v>664.00963026655199</v>
          </cell>
          <cell r="T17">
            <v>631.22175408426483</v>
          </cell>
          <cell r="U17">
            <v>598.06113499570074</v>
          </cell>
          <cell r="V17">
            <v>607.98478073946683</v>
          </cell>
          <cell r="W17">
            <v>601.44428202923461</v>
          </cell>
        </row>
        <row r="18">
          <cell r="B18">
            <v>2795.7814273430781</v>
          </cell>
          <cell r="C18">
            <v>2890.2877042132409</v>
          </cell>
          <cell r="D18">
            <v>2950.3219260533101</v>
          </cell>
          <cell r="E18">
            <v>2868.280137575236</v>
          </cell>
          <cell r="F18">
            <v>2593.775666380051</v>
          </cell>
          <cell r="G18">
            <v>2194.5036113499568</v>
          </cell>
          <cell r="H18">
            <v>2223.9022355975922</v>
          </cell>
          <cell r="I18">
            <v>1899.87162510748</v>
          </cell>
          <cell r="J18">
            <v>1813.261134995701</v>
          </cell>
          <cell r="K18">
            <v>1363.490197764402</v>
          </cell>
          <cell r="L18">
            <v>1090.581513327601</v>
          </cell>
          <cell r="M18">
            <v>912.56534823731727</v>
          </cell>
          <cell r="N18">
            <v>788.03834909716238</v>
          </cell>
          <cell r="O18">
            <v>654.17833190025794</v>
          </cell>
          <cell r="P18">
            <v>571.4734307824591</v>
          </cell>
          <cell r="Q18">
            <v>602.09062768701642</v>
          </cell>
          <cell r="R18">
            <v>628.23955288048148</v>
          </cell>
          <cell r="S18">
            <v>525.79871023215821</v>
          </cell>
          <cell r="T18">
            <v>439.80197764402408</v>
          </cell>
          <cell r="U18">
            <v>391.75262252794499</v>
          </cell>
          <cell r="V18">
            <v>348.19819432502152</v>
          </cell>
          <cell r="W18">
            <v>359.39329320722271</v>
          </cell>
        </row>
        <row r="19">
          <cell r="B19">
            <v>33.041702493551163</v>
          </cell>
          <cell r="C19">
            <v>36.244883920894232</v>
          </cell>
          <cell r="D19">
            <v>44.525107480653482</v>
          </cell>
          <cell r="E19">
            <v>24.542304385210659</v>
          </cell>
          <cell r="F19">
            <v>17.181771281169389</v>
          </cell>
          <cell r="G19">
            <v>23.530868443680141</v>
          </cell>
          <cell r="H19">
            <v>26.889595872742909</v>
          </cell>
          <cell r="I19">
            <v>23.535339638865</v>
          </cell>
          <cell r="J19">
            <v>15.128632846087701</v>
          </cell>
          <cell r="K19">
            <v>8.7767841788478069</v>
          </cell>
          <cell r="L19">
            <v>10.056835769561481</v>
          </cell>
          <cell r="M19">
            <v>6.6785898538263124</v>
          </cell>
          <cell r="N19">
            <v>5.3740326741186584</v>
          </cell>
          <cell r="O19">
            <v>4.5466036113499566</v>
          </cell>
          <cell r="P19">
            <v>4.26938950988822</v>
          </cell>
          <cell r="Q19">
            <v>4.4288907996560622</v>
          </cell>
          <cell r="R19">
            <v>5.201633705932931</v>
          </cell>
          <cell r="S19">
            <v>6.3546001719690448</v>
          </cell>
          <cell r="T19">
            <v>4.4373172828890803</v>
          </cell>
          <cell r="U19">
            <v>5.2243336199484096</v>
          </cell>
          <cell r="V19">
            <v>2.903611349957008</v>
          </cell>
          <cell r="W19">
            <v>2.327343078245915</v>
          </cell>
        </row>
        <row r="21">
          <cell r="B21">
            <v>11424.28865004299</v>
          </cell>
          <cell r="C21">
            <v>11784.75580395529</v>
          </cell>
          <cell r="D21">
            <v>12458.1543422184</v>
          </cell>
          <cell r="E21">
            <v>12850.12244196045</v>
          </cell>
          <cell r="F21">
            <v>12425.80533104041</v>
          </cell>
          <cell r="G21">
            <v>11535.47747205503</v>
          </cell>
          <cell r="H21">
            <v>10647.873172828889</v>
          </cell>
          <cell r="I21">
            <v>10781.696732588131</v>
          </cell>
          <cell r="J21">
            <v>10758.981083404989</v>
          </cell>
          <cell r="K21">
            <v>10701.419432502151</v>
          </cell>
          <cell r="L21">
            <v>11527.23336199484</v>
          </cell>
          <cell r="M21">
            <v>11657.748237317281</v>
          </cell>
          <cell r="N21">
            <v>11804.89303525365</v>
          </cell>
          <cell r="O21">
            <v>12018.993723129841</v>
          </cell>
          <cell r="P21">
            <v>12077.985296646601</v>
          </cell>
          <cell r="Q21">
            <v>12103.82854686156</v>
          </cell>
          <cell r="R21">
            <v>12487.76190885641</v>
          </cell>
          <cell r="S21">
            <v>12640.762166809969</v>
          </cell>
          <cell r="T21">
            <v>12828.569475494411</v>
          </cell>
          <cell r="U21">
            <v>12585.11762682717</v>
          </cell>
          <cell r="V21">
            <v>12361.133190025799</v>
          </cell>
          <cell r="W21">
            <v>13687.47042132416</v>
          </cell>
        </row>
        <row r="22">
          <cell r="B22">
            <v>51.827171109200343</v>
          </cell>
          <cell r="C22">
            <v>46.711092003439383</v>
          </cell>
          <cell r="D22">
            <v>45.550300945829747</v>
          </cell>
          <cell r="E22">
            <v>4.5356835769561474</v>
          </cell>
          <cell r="F22">
            <v>6.1478933791917454</v>
          </cell>
          <cell r="G22">
            <v>0.73086844368013759</v>
          </cell>
          <cell r="H22">
            <v>0.23645743766122099</v>
          </cell>
          <cell r="I22">
            <v>2.149613069647463E-2</v>
          </cell>
          <cell r="J22">
            <v>0.30094582975064482</v>
          </cell>
          <cell r="K22">
            <v>2.149613069647463E-2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</row>
        <row r="24">
          <cell r="B24">
            <v>694.65485812553732</v>
          </cell>
          <cell r="C24">
            <v>680.23774720550296</v>
          </cell>
          <cell r="D24">
            <v>730.03233018056756</v>
          </cell>
          <cell r="E24">
            <v>749.9331040412726</v>
          </cell>
          <cell r="F24">
            <v>779.72209802235591</v>
          </cell>
          <cell r="G24">
            <v>764.06620808254513</v>
          </cell>
          <cell r="H24">
            <v>803.8134135855546</v>
          </cell>
          <cell r="I24">
            <v>817.59991401547711</v>
          </cell>
          <cell r="J24">
            <v>896.44170249355113</v>
          </cell>
          <cell r="K24">
            <v>845.33267411865847</v>
          </cell>
          <cell r="L24">
            <v>881.11418744625951</v>
          </cell>
          <cell r="M24">
            <v>861.77136715391225</v>
          </cell>
          <cell r="N24">
            <v>834.39484092863279</v>
          </cell>
          <cell r="O24">
            <v>740.41745485812544</v>
          </cell>
          <cell r="P24">
            <v>830.31736887360273</v>
          </cell>
          <cell r="Q24">
            <v>882.53164230438517</v>
          </cell>
          <cell r="R24">
            <v>1083.341014617369</v>
          </cell>
          <cell r="S24">
            <v>1077.089165950129</v>
          </cell>
          <cell r="T24">
            <v>1138.3322441960449</v>
          </cell>
          <cell r="U24">
            <v>1121.9562338779019</v>
          </cell>
          <cell r="V24">
            <v>1181.803955288048</v>
          </cell>
          <cell r="W24">
            <v>1095.378675838349</v>
          </cell>
        </row>
        <row r="25">
          <cell r="B25">
            <v>51.065176268271713</v>
          </cell>
          <cell r="C25">
            <v>53.334307824591548</v>
          </cell>
          <cell r="D25">
            <v>55.006276870163369</v>
          </cell>
          <cell r="E25">
            <v>67.9993981083405</v>
          </cell>
          <cell r="F25">
            <v>70.650558899398106</v>
          </cell>
          <cell r="G25">
            <v>65.221496130696465</v>
          </cell>
          <cell r="H25">
            <v>74.910404127257081</v>
          </cell>
          <cell r="I25">
            <v>79.452966466036116</v>
          </cell>
          <cell r="J25">
            <v>73.448409286328456</v>
          </cell>
          <cell r="K25">
            <v>80.324419604471188</v>
          </cell>
          <cell r="L25">
            <v>107.4853826311264</v>
          </cell>
          <cell r="M25">
            <v>99.40352536543422</v>
          </cell>
          <cell r="N25">
            <v>120.8076526225279</v>
          </cell>
          <cell r="O25">
            <v>153.3996560619089</v>
          </cell>
          <cell r="P25">
            <v>153.96147893379191</v>
          </cell>
          <cell r="Q25">
            <v>125.7412725709372</v>
          </cell>
          <cell r="R25">
            <v>155.11109200343941</v>
          </cell>
          <cell r="S25">
            <v>156.06887360275149</v>
          </cell>
          <cell r="T25">
            <v>171.29277730008599</v>
          </cell>
          <cell r="U25">
            <v>192.39200343938089</v>
          </cell>
          <cell r="V25">
            <v>206.67721410146169</v>
          </cell>
          <cell r="W25">
            <v>205.18916595012891</v>
          </cell>
        </row>
        <row r="26">
          <cell r="B26">
            <v>0</v>
          </cell>
          <cell r="C26">
            <v>0</v>
          </cell>
          <cell r="D26">
            <v>0</v>
          </cell>
          <cell r="E26">
            <v>5.8839208942390373</v>
          </cell>
          <cell r="F26">
            <v>2.2915735167669822</v>
          </cell>
          <cell r="G26">
            <v>6.6489251934651756</v>
          </cell>
          <cell r="H26">
            <v>13.93069647463456</v>
          </cell>
          <cell r="I26">
            <v>9.6143594153052447</v>
          </cell>
          <cell r="J26">
            <v>13.270421324161649</v>
          </cell>
          <cell r="K26">
            <v>14.9895958727429</v>
          </cell>
          <cell r="L26">
            <v>6.7720550300945819</v>
          </cell>
          <cell r="M26">
            <v>1.628460877042132</v>
          </cell>
          <cell r="N26">
            <v>2.293121238177128</v>
          </cell>
          <cell r="O26">
            <v>4.1404127257093721</v>
          </cell>
          <cell r="P26">
            <v>7.6846947549441094</v>
          </cell>
          <cell r="Q26">
            <v>5.6687016337059326</v>
          </cell>
          <cell r="R26">
            <v>8.5766981943250205</v>
          </cell>
          <cell r="S26">
            <v>5.1681857265692166</v>
          </cell>
          <cell r="T26">
            <v>47.794582975064493</v>
          </cell>
          <cell r="U26">
            <v>53.80533104041271</v>
          </cell>
          <cell r="V26">
            <v>56.701547721410151</v>
          </cell>
          <cell r="W26">
            <v>22.768959587274288</v>
          </cell>
        </row>
        <row r="27">
          <cell r="B27">
            <v>4.2390369733447973E-2</v>
          </cell>
          <cell r="C27">
            <v>0.11246775580395529</v>
          </cell>
          <cell r="D27">
            <v>0.13310404127257089</v>
          </cell>
          <cell r="E27">
            <v>0.21427343078245911</v>
          </cell>
          <cell r="F27">
            <v>0.30361134995700773</v>
          </cell>
          <cell r="G27">
            <v>0.40988822012037829</v>
          </cell>
          <cell r="H27">
            <v>0.41865864144454001</v>
          </cell>
          <cell r="I27">
            <v>0.47196904557179697</v>
          </cell>
          <cell r="J27">
            <v>0.57841788478073941</v>
          </cell>
          <cell r="K27">
            <v>0.63404987102321575</v>
          </cell>
          <cell r="L27">
            <v>0.72063628546861558</v>
          </cell>
          <cell r="M27">
            <v>0.80705073086844359</v>
          </cell>
          <cell r="N27">
            <v>1.0703353396388651</v>
          </cell>
          <cell r="O27">
            <v>1.0848667239896821</v>
          </cell>
          <cell r="P27">
            <v>1.404471195184867</v>
          </cell>
          <cell r="Q27">
            <v>1.4173688736027521</v>
          </cell>
          <cell r="R27">
            <v>1.432846087704214</v>
          </cell>
          <cell r="S27">
            <v>1.4760963026655201</v>
          </cell>
          <cell r="T27">
            <v>1.256233877901977</v>
          </cell>
          <cell r="U27">
            <v>1.256663800515907</v>
          </cell>
          <cell r="V27">
            <v>1.3159071367153909</v>
          </cell>
          <cell r="W27">
            <v>1.3422184006878759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0.3821152192605331</v>
          </cell>
          <cell r="P28">
            <v>0.50154772141014614</v>
          </cell>
          <cell r="Q28">
            <v>0.50154772141014614</v>
          </cell>
          <cell r="R28">
            <v>0.50154772141014614</v>
          </cell>
          <cell r="S28">
            <v>1.146431642304385</v>
          </cell>
          <cell r="T28">
            <v>0.45382631126397238</v>
          </cell>
          <cell r="U28">
            <v>0.40601891659501288</v>
          </cell>
          <cell r="V28">
            <v>0.42992261392949271</v>
          </cell>
          <cell r="W28">
            <v>0.47773000859845233</v>
          </cell>
        </row>
        <row r="29">
          <cell r="B29">
            <v>5.3217038617120522</v>
          </cell>
          <cell r="C29">
            <v>5.5321549328190791</v>
          </cell>
          <cell r="D29">
            <v>5.7824437165367693</v>
          </cell>
          <cell r="E29">
            <v>5.5367860802446023</v>
          </cell>
          <cell r="F29">
            <v>5.5864638945777836</v>
          </cell>
          <cell r="G29">
            <v>6.4450932485876127</v>
          </cell>
          <cell r="H29">
            <v>7.2951863999223789</v>
          </cell>
          <cell r="I29">
            <v>7.1116023638880481</v>
          </cell>
          <cell r="J29">
            <v>8.2430775632812061</v>
          </cell>
          <cell r="K29">
            <v>8.9832030854140505</v>
          </cell>
          <cell r="L29">
            <v>10.21258708373084</v>
          </cell>
          <cell r="M29">
            <v>10.52513406269815</v>
          </cell>
          <cell r="N29">
            <v>11.1224655728705</v>
          </cell>
          <cell r="O29">
            <v>11.924662001148929</v>
          </cell>
          <cell r="P29">
            <v>27.414801900427431</v>
          </cell>
          <cell r="Q29">
            <v>30.4473221298285</v>
          </cell>
          <cell r="R29">
            <v>35.347902974090751</v>
          </cell>
          <cell r="S29">
            <v>37.964996882589801</v>
          </cell>
          <cell r="T29">
            <v>41.848832440399718</v>
          </cell>
          <cell r="U29">
            <v>47.039144494867159</v>
          </cell>
          <cell r="V29">
            <v>52.657689166425243</v>
          </cell>
          <cell r="W29">
            <v>57.485457166011827</v>
          </cell>
        </row>
        <row r="30">
          <cell r="B30">
            <v>693.85477214101456</v>
          </cell>
          <cell r="C30">
            <v>672.70541702493551</v>
          </cell>
          <cell r="D30">
            <v>736.30601891659501</v>
          </cell>
          <cell r="E30">
            <v>727.37489251934642</v>
          </cell>
          <cell r="F30">
            <v>1008.974978503869</v>
          </cell>
          <cell r="G30">
            <v>925.12244196044708</v>
          </cell>
          <cell r="H30">
            <v>874.02957867583837</v>
          </cell>
          <cell r="I30">
            <v>1047.2208082545139</v>
          </cell>
          <cell r="J30">
            <v>1025.6102321582121</v>
          </cell>
          <cell r="K30">
            <v>942.87257093723122</v>
          </cell>
          <cell r="L30">
            <v>914.41840068787621</v>
          </cell>
          <cell r="M30">
            <v>1147.957609630266</v>
          </cell>
          <cell r="N30">
            <v>1249.26543422184</v>
          </cell>
          <cell r="O30">
            <v>1227.3887360275151</v>
          </cell>
          <cell r="P30">
            <v>1342.634135855546</v>
          </cell>
          <cell r="Q30">
            <v>1342.297162510748</v>
          </cell>
          <cell r="R30">
            <v>1438.4073086844371</v>
          </cell>
          <cell r="S30">
            <v>1495.283748925194</v>
          </cell>
          <cell r="T30">
            <v>1473.144024075666</v>
          </cell>
          <cell r="U30">
            <v>1414.241100601892</v>
          </cell>
          <cell r="V30">
            <v>1514.938607050731</v>
          </cell>
          <cell r="W30">
            <v>1578.065176268271</v>
          </cell>
        </row>
        <row r="31">
          <cell r="B31">
            <v>7509.8184006878764</v>
          </cell>
          <cell r="C31">
            <v>7706.5566638005166</v>
          </cell>
          <cell r="D31">
            <v>7923.7176268271714</v>
          </cell>
          <cell r="E31">
            <v>8266.2662940670671</v>
          </cell>
          <cell r="F31">
            <v>8404.8116079105766</v>
          </cell>
          <cell r="G31">
            <v>8570.1963026655194</v>
          </cell>
          <cell r="H31">
            <v>8430.7417024935512</v>
          </cell>
          <cell r="I31">
            <v>8567.6834909716254</v>
          </cell>
          <cell r="J31">
            <v>8647.4926053310392</v>
          </cell>
          <cell r="K31">
            <v>8474.5198624247641</v>
          </cell>
          <cell r="L31">
            <v>8595.0355975924322</v>
          </cell>
          <cell r="M31">
            <v>8749.5951848667246</v>
          </cell>
          <cell r="N31">
            <v>8859.373946689595</v>
          </cell>
          <cell r="O31">
            <v>8785.9997420464315</v>
          </cell>
          <cell r="P31">
            <v>9016.6656061908852</v>
          </cell>
          <cell r="Q31">
            <v>9082.7732588134113</v>
          </cell>
          <cell r="R31">
            <v>9214.8729148753227</v>
          </cell>
          <cell r="S31">
            <v>9193.4500429922609</v>
          </cell>
          <cell r="T31">
            <v>9391.2431642304382</v>
          </cell>
          <cell r="U31">
            <v>9549.2622527944968</v>
          </cell>
          <cell r="V31">
            <v>9375.5164230438513</v>
          </cell>
          <cell r="W31">
            <v>9704.5861564918323</v>
          </cell>
        </row>
        <row r="33">
          <cell r="B33">
            <v>51166.587886429079</v>
          </cell>
          <cell r="C33">
            <v>51835.489201686672</v>
          </cell>
          <cell r="D33">
            <v>53406.479714273613</v>
          </cell>
          <cell r="E33">
            <v>52863.473638872383</v>
          </cell>
          <cell r="F33">
            <v>51121.078002176117</v>
          </cell>
          <cell r="G33">
            <v>47383.360028388517</v>
          </cell>
          <cell r="H33">
            <v>44069.75673019531</v>
          </cell>
          <cell r="I33">
            <v>43822.876838360608</v>
          </cell>
          <cell r="J33">
            <v>41957.340643199517</v>
          </cell>
          <cell r="K33">
            <v>39299.001636830937</v>
          </cell>
          <cell r="L33">
            <v>40562.739342685883</v>
          </cell>
          <cell r="M33">
            <v>39602.787193244287</v>
          </cell>
          <cell r="N33">
            <v>39805.18400590348</v>
          </cell>
          <cell r="O33">
            <v>38745.361423943883</v>
          </cell>
          <cell r="P33">
            <v>38366.280204946423</v>
          </cell>
          <cell r="Q33">
            <v>38730.411026652349</v>
          </cell>
          <cell r="R33">
            <v>39715.47001046237</v>
          </cell>
          <cell r="S33">
            <v>39944.160885413992</v>
          </cell>
          <cell r="T33">
            <v>40366.778554979472</v>
          </cell>
          <cell r="U33">
            <v>38569.743059494562</v>
          </cell>
          <cell r="V33">
            <v>37677.357712858568</v>
          </cell>
          <cell r="W33">
            <v>40826.85679298875</v>
          </cell>
        </row>
        <row r="38">
          <cell r="B38">
            <v>1.8590309174769752</v>
          </cell>
          <cell r="C38">
            <v>1.8489592207289305</v>
          </cell>
          <cell r="D38">
            <v>1.8382404217232176</v>
          </cell>
          <cell r="E38">
            <v>1.8001958980248731</v>
          </cell>
          <cell r="F38">
            <v>1.7543592392080924</v>
          </cell>
          <cell r="G38">
            <v>1.7048859313651969</v>
          </cell>
          <cell r="H38">
            <v>1.6684562363117457</v>
          </cell>
          <cell r="I38">
            <v>1.6406268021495511</v>
          </cell>
          <cell r="J38">
            <v>1.5951579060374748</v>
          </cell>
          <cell r="K38">
            <v>1.5616327437324311</v>
          </cell>
          <cell r="L38">
            <v>1.5646365784025158</v>
          </cell>
          <cell r="M38">
            <v>1.5219183663322746</v>
          </cell>
          <cell r="N38">
            <v>1.5143313768572291</v>
          </cell>
          <cell r="O38">
            <v>1.4932999400025115</v>
          </cell>
          <cell r="P38">
            <v>1.4580050289379614</v>
          </cell>
          <cell r="Q38">
            <v>1.4605712386729877</v>
          </cell>
          <cell r="R38">
            <v>1.448422601205698</v>
          </cell>
          <cell r="S38">
            <v>1.4502913173483001</v>
          </cell>
          <cell r="T38">
            <v>1.4414121304187915</v>
          </cell>
          <cell r="U38">
            <v>1.399752898522066</v>
          </cell>
          <cell r="V38">
            <v>1.3831622046633587</v>
          </cell>
          <cell r="W38">
            <v>1.4148289822235351</v>
          </cell>
        </row>
      </sheetData>
      <sheetData sheetId="27"/>
      <sheetData sheetId="28"/>
      <sheetData sheetId="29"/>
      <sheetData sheetId="30">
        <row r="3">
          <cell r="B3">
            <v>184730.92965160121</v>
          </cell>
          <cell r="C3">
            <v>193947.10201477641</v>
          </cell>
          <cell r="D3">
            <v>194249.0323489455</v>
          </cell>
          <cell r="E3">
            <v>197587.54149659199</v>
          </cell>
          <cell r="F3">
            <v>196620.47119695201</v>
          </cell>
          <cell r="G3">
            <v>196350.5715481104</v>
          </cell>
          <cell r="H3">
            <v>210530.75708566821</v>
          </cell>
          <cell r="I3">
            <v>219816.87832345409</v>
          </cell>
          <cell r="J3">
            <v>205893.42301663529</v>
          </cell>
          <cell r="K3">
            <v>168487.09432379709</v>
          </cell>
          <cell r="L3">
            <v>206452.3082363646</v>
          </cell>
          <cell r="M3">
            <v>220702.89525825129</v>
          </cell>
          <cell r="N3">
            <v>216832.21509234159</v>
          </cell>
          <cell r="O3">
            <v>220796.61239328311</v>
          </cell>
          <cell r="P3">
            <v>240376.3639571637</v>
          </cell>
          <cell r="Q3">
            <v>254354.6</v>
          </cell>
          <cell r="R3">
            <v>272228.84896915709</v>
          </cell>
          <cell r="S3">
            <v>283808.11213137727</v>
          </cell>
          <cell r="T3">
            <v>281001.05896667222</v>
          </cell>
          <cell r="U3">
            <v>281001.04305100709</v>
          </cell>
          <cell r="V3">
            <v>230571.63993552001</v>
          </cell>
          <cell r="W3">
            <v>245089.0848580719</v>
          </cell>
        </row>
        <row r="12">
          <cell r="B12">
            <v>7903.1142656489919</v>
          </cell>
          <cell r="C12">
            <v>8116.6777554290175</v>
          </cell>
          <cell r="D12">
            <v>7786.9555494451361</v>
          </cell>
          <cell r="E12">
            <v>8372.7357654130192</v>
          </cell>
          <cell r="F12">
            <v>8534.5876614076078</v>
          </cell>
          <cell r="G12">
            <v>8168.2974040075924</v>
          </cell>
          <cell r="H12">
            <v>7960.6090500287301</v>
          </cell>
          <cell r="I12">
            <v>8048.9764396013661</v>
          </cell>
          <cell r="J12">
            <v>7620.316686491853</v>
          </cell>
          <cell r="K12">
            <v>6609.572050763205</v>
          </cell>
          <cell r="L12">
            <v>7209.1986953616888</v>
          </cell>
          <cell r="M12">
            <v>6970.2776744777766</v>
          </cell>
          <cell r="N12">
            <v>6990.5928031038957</v>
          </cell>
          <cell r="O12">
            <v>7157.1658580446392</v>
          </cell>
          <cell r="P12">
            <v>6819.5574207925947</v>
          </cell>
          <cell r="Q12">
            <v>6848.1310827617854</v>
          </cell>
          <cell r="R12">
            <v>7312.2467199409084</v>
          </cell>
          <cell r="S12">
            <v>7407.4817893164327</v>
          </cell>
          <cell r="T12">
            <v>7541.5283091164956</v>
          </cell>
          <cell r="U12">
            <v>7418.4927259860069</v>
          </cell>
          <cell r="V12">
            <v>6740.0749777418832</v>
          </cell>
          <cell r="W12">
            <v>7101.3573241381127</v>
          </cell>
        </row>
        <row r="13">
          <cell r="B13">
            <v>297.80283748925189</v>
          </cell>
          <cell r="C13">
            <v>248.21212381771281</v>
          </cell>
          <cell r="D13">
            <v>211.87936371453139</v>
          </cell>
          <cell r="E13">
            <v>192.61685296646601</v>
          </cell>
          <cell r="F13">
            <v>118.2517626827171</v>
          </cell>
          <cell r="G13">
            <v>102.29896818572659</v>
          </cell>
          <cell r="H13">
            <v>104.318056749785</v>
          </cell>
          <cell r="I13">
            <v>99.089509888220093</v>
          </cell>
          <cell r="J13">
            <v>81.11556319862423</v>
          </cell>
          <cell r="K13">
            <v>55.169217540842638</v>
          </cell>
          <cell r="L13">
            <v>65.282631126397249</v>
          </cell>
          <cell r="M13">
            <v>60.124763542562327</v>
          </cell>
          <cell r="N13">
            <v>54.682201203783329</v>
          </cell>
          <cell r="O13">
            <v>49.796560619088552</v>
          </cell>
          <cell r="P13">
            <v>36.261736887360271</v>
          </cell>
          <cell r="Q13">
            <v>29.35657781599312</v>
          </cell>
          <cell r="R13">
            <v>199.88168529664659</v>
          </cell>
          <cell r="S13">
            <v>206.9179707652622</v>
          </cell>
          <cell r="T13">
            <v>156.1709372312983</v>
          </cell>
          <cell r="U13">
            <v>200.96328460877041</v>
          </cell>
          <cell r="V13">
            <v>169.48099742046429</v>
          </cell>
          <cell r="W13">
            <v>174.98108340498709</v>
          </cell>
        </row>
        <row r="15"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</row>
        <row r="16">
          <cell r="B16">
            <v>156.60180567497849</v>
          </cell>
          <cell r="C16">
            <v>181.39759243336201</v>
          </cell>
          <cell r="D16">
            <v>149.9393809114359</v>
          </cell>
          <cell r="E16">
            <v>71.779535683576952</v>
          </cell>
          <cell r="F16">
            <v>75.401203783318991</v>
          </cell>
          <cell r="G16">
            <v>70.961478933791909</v>
          </cell>
          <cell r="H16">
            <v>74.304213241616495</v>
          </cell>
          <cell r="I16">
            <v>77.851074806534811</v>
          </cell>
          <cell r="J16">
            <v>70.004901117798781</v>
          </cell>
          <cell r="K16">
            <v>55.639122957867571</v>
          </cell>
          <cell r="L16">
            <v>76.154170249355104</v>
          </cell>
          <cell r="M16">
            <v>57.404557179707652</v>
          </cell>
          <cell r="N16">
            <v>57.20868443680137</v>
          </cell>
          <cell r="O16">
            <v>59.976440240756652</v>
          </cell>
          <cell r="P16">
            <v>51.871797076526221</v>
          </cell>
          <cell r="Q16">
            <v>51.741788478073943</v>
          </cell>
          <cell r="R16">
            <v>57.257781599312118</v>
          </cell>
          <cell r="S16">
            <v>57.097764402407563</v>
          </cell>
          <cell r="T16">
            <v>62.129578675838331</v>
          </cell>
          <cell r="U16">
            <v>56.976870163370577</v>
          </cell>
          <cell r="V16">
            <v>52.287704213241618</v>
          </cell>
          <cell r="W16">
            <v>51.063800515907133</v>
          </cell>
        </row>
        <row r="17">
          <cell r="B17">
            <v>324.97282889079958</v>
          </cell>
          <cell r="C17">
            <v>345.95846947549438</v>
          </cell>
          <cell r="D17">
            <v>306.21066208082539</v>
          </cell>
          <cell r="E17">
            <v>318.30507308684429</v>
          </cell>
          <cell r="F17">
            <v>318.24419604471188</v>
          </cell>
          <cell r="G17">
            <v>316.32003439380912</v>
          </cell>
          <cell r="H17">
            <v>299.60395528804821</v>
          </cell>
          <cell r="I17">
            <v>286.86010318142729</v>
          </cell>
          <cell r="J17">
            <v>240.057437661221</v>
          </cell>
          <cell r="K17">
            <v>223.83404987102321</v>
          </cell>
          <cell r="L17">
            <v>250.80937231298361</v>
          </cell>
          <cell r="M17">
            <v>181.17592433361989</v>
          </cell>
          <cell r="N17">
            <v>166.17919174548581</v>
          </cell>
          <cell r="O17">
            <v>137.5902837489252</v>
          </cell>
          <cell r="P17">
            <v>129.5910576096303</v>
          </cell>
          <cell r="Q17">
            <v>133.35193465176269</v>
          </cell>
          <cell r="R17">
            <v>127.9481513327601</v>
          </cell>
          <cell r="S17">
            <v>119.2345657781599</v>
          </cell>
          <cell r="T17">
            <v>133.81203783319</v>
          </cell>
          <cell r="U17">
            <v>101.1314703353396</v>
          </cell>
          <cell r="V17">
            <v>90.346603611349948</v>
          </cell>
          <cell r="W17">
            <v>92.406448839208934</v>
          </cell>
        </row>
        <row r="18">
          <cell r="B18">
            <v>193.56723989681859</v>
          </cell>
          <cell r="C18">
            <v>190.6350816852966</v>
          </cell>
          <cell r="D18">
            <v>166.40687876182281</v>
          </cell>
          <cell r="E18">
            <v>171.8149613069647</v>
          </cell>
          <cell r="F18">
            <v>129.1884780739467</v>
          </cell>
          <cell r="G18">
            <v>103.18288907996561</v>
          </cell>
          <cell r="H18">
            <v>135.0412725709372</v>
          </cell>
          <cell r="I18">
            <v>98.450816852966454</v>
          </cell>
          <cell r="J18">
            <v>82.635597592433356</v>
          </cell>
          <cell r="K18">
            <v>64.951848667239901</v>
          </cell>
          <cell r="L18">
            <v>41.654428202923476</v>
          </cell>
          <cell r="M18">
            <v>40.463284608770422</v>
          </cell>
          <cell r="N18">
            <v>28.943164230438519</v>
          </cell>
          <cell r="O18">
            <v>8.7509888220120384</v>
          </cell>
          <cell r="P18">
            <v>6.2486672398968182</v>
          </cell>
          <cell r="Q18">
            <v>3.129492691315563</v>
          </cell>
          <cell r="R18">
            <v>6.7850386930352542</v>
          </cell>
          <cell r="S18">
            <v>5.0102321582115206</v>
          </cell>
          <cell r="T18">
            <v>4.8913155631986243</v>
          </cell>
          <cell r="U18">
            <v>4.1466895958727434</v>
          </cell>
          <cell r="V18">
            <v>13.873430782459151</v>
          </cell>
          <cell r="W18">
            <v>5.1212381771281157</v>
          </cell>
        </row>
        <row r="19">
          <cell r="B19">
            <v>9.0415305245055873</v>
          </cell>
          <cell r="C19">
            <v>3.1856405846947551</v>
          </cell>
          <cell r="D19">
            <v>1.127171109200344</v>
          </cell>
          <cell r="E19">
            <v>4.2272570937231286</v>
          </cell>
          <cell r="F19">
            <v>2.15262252794497</v>
          </cell>
          <cell r="G19">
            <v>2.409286328460877</v>
          </cell>
          <cell r="H19">
            <v>5.6862424763542556</v>
          </cell>
          <cell r="I19">
            <v>7.7184006878761808</v>
          </cell>
          <cell r="J19">
            <v>1.3228718830610491</v>
          </cell>
          <cell r="K19">
            <v>4.7730008598452276</v>
          </cell>
          <cell r="L19">
            <v>4.903095442820292</v>
          </cell>
          <cell r="M19">
            <v>4.1240756663800511</v>
          </cell>
          <cell r="N19">
            <v>10.874978503869301</v>
          </cell>
          <cell r="O19">
            <v>8.0462596732588132</v>
          </cell>
          <cell r="P19">
            <v>5.3258813413585564</v>
          </cell>
          <cell r="Q19">
            <v>6.4245055889939806</v>
          </cell>
          <cell r="R19">
            <v>6.972742906276868</v>
          </cell>
          <cell r="S19">
            <v>1.777730008598452</v>
          </cell>
          <cell r="T19">
            <v>7.3058469475494414</v>
          </cell>
          <cell r="U19">
            <v>11.76638005159071</v>
          </cell>
          <cell r="V19">
            <v>7.3953568357695616</v>
          </cell>
          <cell r="W19">
            <v>6.0638005159071371</v>
          </cell>
        </row>
        <row r="21">
          <cell r="B21">
            <v>2582.5539300695632</v>
          </cell>
          <cell r="C21">
            <v>2778.6582975064489</v>
          </cell>
          <cell r="D21">
            <v>2613.732932072227</v>
          </cell>
          <cell r="E21">
            <v>2935.7169389509882</v>
          </cell>
          <cell r="F21">
            <v>2937.6872742906271</v>
          </cell>
          <cell r="G21">
            <v>2586.0329320722271</v>
          </cell>
          <cell r="H21">
            <v>2442.6584694754938</v>
          </cell>
          <cell r="I21">
            <v>2518.0843508168532</v>
          </cell>
          <cell r="J21">
            <v>2258.8437661220978</v>
          </cell>
          <cell r="K21">
            <v>1978.4803095442819</v>
          </cell>
          <cell r="L21">
            <v>2172.24041272571</v>
          </cell>
          <cell r="M21">
            <v>2112.3895098882199</v>
          </cell>
          <cell r="N21">
            <v>2071.4727429062768</v>
          </cell>
          <cell r="O21">
            <v>2229.8338779019768</v>
          </cell>
          <cell r="P21">
            <v>1912.444282029235</v>
          </cell>
          <cell r="Q21">
            <v>1957.403009458297</v>
          </cell>
          <cell r="R21">
            <v>2106.0734307824591</v>
          </cell>
          <cell r="S21">
            <v>2188.905846947549</v>
          </cell>
          <cell r="T21">
            <v>2247.5935511607909</v>
          </cell>
          <cell r="U21">
            <v>2231.8023215821149</v>
          </cell>
          <cell r="V21">
            <v>2013.625021496131</v>
          </cell>
          <cell r="W21">
            <v>2224.56173688736</v>
          </cell>
        </row>
        <row r="22">
          <cell r="B22">
            <v>12.59673258813414</v>
          </cell>
          <cell r="C22">
            <v>11.306964746345651</v>
          </cell>
          <cell r="D22">
            <v>10.576096302665521</v>
          </cell>
          <cell r="E22">
            <v>0</v>
          </cell>
          <cell r="F22">
            <v>6.4488392089423904E-2</v>
          </cell>
          <cell r="G22">
            <v>0</v>
          </cell>
          <cell r="H22">
            <v>10.36113499570077</v>
          </cell>
          <cell r="I22">
            <v>9.0498710232158217</v>
          </cell>
          <cell r="J22">
            <v>9.114359415305243</v>
          </cell>
          <cell r="K22">
            <v>7.9320722269991393</v>
          </cell>
          <cell r="L22">
            <v>8.3619948409286327</v>
          </cell>
          <cell r="M22">
            <v>37.231298366294062</v>
          </cell>
          <cell r="N22">
            <v>36.758383490971617</v>
          </cell>
          <cell r="O22">
            <v>31.384350816852962</v>
          </cell>
          <cell r="P22">
            <v>35.877042132416157</v>
          </cell>
          <cell r="Q22">
            <v>39.746345657781603</v>
          </cell>
          <cell r="R22">
            <v>39.853826311263973</v>
          </cell>
          <cell r="S22">
            <v>37.274290627687023</v>
          </cell>
          <cell r="T22">
            <v>32.437661220980218</v>
          </cell>
          <cell r="U22">
            <v>27.214101461736881</v>
          </cell>
          <cell r="V22">
            <v>20.031556319862421</v>
          </cell>
          <cell r="W22">
            <v>14.28873602751505</v>
          </cell>
        </row>
        <row r="24">
          <cell r="B24">
            <v>0.81203783319002576</v>
          </cell>
          <cell r="C24">
            <v>1.1226139294926909</v>
          </cell>
          <cell r="D24">
            <v>1.194153052450559</v>
          </cell>
          <cell r="E24">
            <v>3.9171109200343932</v>
          </cell>
          <cell r="F24">
            <v>5.7084264832330192</v>
          </cell>
          <cell r="G24">
            <v>6.9109200343938078</v>
          </cell>
          <cell r="H24">
            <v>9.4962166809974189</v>
          </cell>
          <cell r="I24">
            <v>7.304987102321582</v>
          </cell>
          <cell r="J24">
            <v>7.6043852106620804</v>
          </cell>
          <cell r="K24">
            <v>6.4670679277730008</v>
          </cell>
          <cell r="L24">
            <v>13.43379191745486</v>
          </cell>
          <cell r="M24">
            <v>10.687274290627689</v>
          </cell>
          <cell r="N24">
            <v>15.02149613069647</v>
          </cell>
          <cell r="O24">
            <v>12.58435081685297</v>
          </cell>
          <cell r="P24">
            <v>15.575838349097159</v>
          </cell>
          <cell r="Q24">
            <v>16.20920034393809</v>
          </cell>
          <cell r="R24">
            <v>15.56285468615649</v>
          </cell>
          <cell r="S24">
            <v>14.70593293207223</v>
          </cell>
          <cell r="T24">
            <v>12.863284608770419</v>
          </cell>
          <cell r="U24">
            <v>16.409888220120379</v>
          </cell>
          <cell r="V24">
            <v>19.346517626827168</v>
          </cell>
          <cell r="W24">
            <v>22.417540842648322</v>
          </cell>
        </row>
        <row r="25"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1.2897678417884779E-3</v>
          </cell>
          <cell r="K25">
            <v>5.1160791057609643E-2</v>
          </cell>
          <cell r="L25">
            <v>5.5030094582975064E-3</v>
          </cell>
          <cell r="M25">
            <v>0.32476354256233869</v>
          </cell>
          <cell r="N25">
            <v>0.6972484952708512</v>
          </cell>
          <cell r="O25">
            <v>0.23886500429922619</v>
          </cell>
          <cell r="P25">
            <v>5.9673258813413579E-2</v>
          </cell>
          <cell r="Q25">
            <v>5.0386930352536538E-2</v>
          </cell>
          <cell r="R25">
            <v>0.1113499570077386</v>
          </cell>
          <cell r="S25">
            <v>0.1116079105760963</v>
          </cell>
          <cell r="T25">
            <v>1.131900257953568</v>
          </cell>
          <cell r="U25">
            <v>2.937833190025795</v>
          </cell>
          <cell r="V25">
            <v>12.978933791917459</v>
          </cell>
          <cell r="W25">
            <v>7.0844368013757526</v>
          </cell>
        </row>
        <row r="26"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1.7110920034393809E-2</v>
          </cell>
          <cell r="H26">
            <v>0.94987102321582118</v>
          </cell>
          <cell r="I26">
            <v>1.020808254514187</v>
          </cell>
          <cell r="J26">
            <v>0.93826311263972473</v>
          </cell>
          <cell r="K26">
            <v>0.99019776440240759</v>
          </cell>
          <cell r="L26">
            <v>2.668185726569217</v>
          </cell>
          <cell r="M26">
            <v>1.6483233018056751</v>
          </cell>
          <cell r="N26">
            <v>1.888907996560619</v>
          </cell>
          <cell r="O26">
            <v>2.2012037833190021</v>
          </cell>
          <cell r="P26">
            <v>3.578073946689595</v>
          </cell>
          <cell r="Q26">
            <v>3.2621668099742052</v>
          </cell>
          <cell r="R26">
            <v>3.5641444539982801</v>
          </cell>
          <cell r="S26">
            <v>3.0736887360275151</v>
          </cell>
          <cell r="T26">
            <v>3.4976784178847811</v>
          </cell>
          <cell r="U26">
            <v>4.2911435941530529</v>
          </cell>
          <cell r="V26">
            <v>3.3113499570077392</v>
          </cell>
          <cell r="W26">
            <v>2.0855546001719678</v>
          </cell>
        </row>
        <row r="27">
          <cell r="B27">
            <v>7.7386070507308674E-4</v>
          </cell>
          <cell r="C27">
            <v>4.6431642304385207E-3</v>
          </cell>
          <cell r="D27">
            <v>2.089423903697334E-2</v>
          </cell>
          <cell r="E27">
            <v>2.089423903697334E-2</v>
          </cell>
          <cell r="F27">
            <v>2.1152192605331039E-2</v>
          </cell>
          <cell r="G27">
            <v>2.2441960447119519E-2</v>
          </cell>
          <cell r="H27">
            <v>7.540842648323301E-2</v>
          </cell>
          <cell r="I27">
            <v>8.4436801375752352E-2</v>
          </cell>
          <cell r="J27">
            <v>0.1100601891659501</v>
          </cell>
          <cell r="K27">
            <v>0.19028374892519351</v>
          </cell>
          <cell r="L27">
            <v>0.1950988822012038</v>
          </cell>
          <cell r="M27">
            <v>0.1950988822012038</v>
          </cell>
          <cell r="N27">
            <v>0.1950988822012038</v>
          </cell>
          <cell r="O27">
            <v>0.20283748925193459</v>
          </cell>
          <cell r="P27">
            <v>0.20696474634565781</v>
          </cell>
          <cell r="Q27">
            <v>0.20696474634565781</v>
          </cell>
          <cell r="R27">
            <v>0.20748065348237321</v>
          </cell>
          <cell r="S27">
            <v>0.229664660361135</v>
          </cell>
          <cell r="T27">
            <v>0.26543422184006882</v>
          </cell>
          <cell r="U27">
            <v>0.26474634565778149</v>
          </cell>
          <cell r="V27">
            <v>0.28065348237317289</v>
          </cell>
          <cell r="W27">
            <v>0.28022355975924329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0.40601891659501288</v>
          </cell>
          <cell r="F28">
            <v>0.42992261392949271</v>
          </cell>
          <cell r="G28">
            <v>0.42992261392949271</v>
          </cell>
          <cell r="H28">
            <v>0.42992261392949271</v>
          </cell>
          <cell r="I28">
            <v>0.40601891659501288</v>
          </cell>
          <cell r="J28">
            <v>0.40601891659501288</v>
          </cell>
          <cell r="K28">
            <v>0.40601891659501288</v>
          </cell>
          <cell r="L28">
            <v>0.50154772141014614</v>
          </cell>
          <cell r="M28">
            <v>0.52545141874462586</v>
          </cell>
          <cell r="N28">
            <v>7.1625107480653469E-2</v>
          </cell>
          <cell r="O28">
            <v>7.1625107480653469E-2</v>
          </cell>
          <cell r="P28">
            <v>0.1194325021496131</v>
          </cell>
          <cell r="Q28">
            <v>0.16715391229578669</v>
          </cell>
          <cell r="R28">
            <v>9.5528804815133275E-2</v>
          </cell>
          <cell r="S28">
            <v>0.14333619948409279</v>
          </cell>
          <cell r="T28">
            <v>0.18607050730868441</v>
          </cell>
          <cell r="U28">
            <v>0.16225279449699051</v>
          </cell>
          <cell r="V28">
            <v>0.14574376612209811</v>
          </cell>
          <cell r="W28">
            <v>0.19208942390369729</v>
          </cell>
        </row>
        <row r="29">
          <cell r="B29">
            <v>0.26688817693702638</v>
          </cell>
          <cell r="C29">
            <v>0.28239455346663889</v>
          </cell>
          <cell r="D29">
            <v>0.30258297910130039</v>
          </cell>
          <cell r="E29">
            <v>0.31478518946038841</v>
          </cell>
          <cell r="F29">
            <v>0.32093741792667058</v>
          </cell>
          <cell r="G29">
            <v>0.44297580466994069</v>
          </cell>
          <cell r="H29">
            <v>0.53389955581539339</v>
          </cell>
          <cell r="I29">
            <v>0.54961243025705819</v>
          </cell>
          <cell r="J29">
            <v>0.51049560621278023</v>
          </cell>
          <cell r="K29">
            <v>0.61512900912143365</v>
          </cell>
          <cell r="L29">
            <v>0.75879854311659289</v>
          </cell>
          <cell r="M29">
            <v>0.78945435739948544</v>
          </cell>
          <cell r="N29">
            <v>0.72513328446316128</v>
          </cell>
          <cell r="O29">
            <v>0.92948659150182467</v>
          </cell>
          <cell r="P29">
            <v>3.8417716094482701</v>
          </cell>
          <cell r="Q29">
            <v>4.4088127703849391</v>
          </cell>
          <cell r="R29">
            <v>5.7609933716917761</v>
          </cell>
          <cell r="S29">
            <v>6.5188486457539003</v>
          </cell>
          <cell r="T29">
            <v>7.8407768722996796</v>
          </cell>
          <cell r="U29">
            <v>9.2520553067302451</v>
          </cell>
          <cell r="V29">
            <v>9.4400680256329217</v>
          </cell>
          <cell r="W29">
            <v>10.387246752043509</v>
          </cell>
        </row>
        <row r="30">
          <cell r="B30">
            <v>303.47042132416158</v>
          </cell>
          <cell r="C30">
            <v>325.64806534823731</v>
          </cell>
          <cell r="D30">
            <v>316.23723129836623</v>
          </cell>
          <cell r="E30">
            <v>720.6120378331899</v>
          </cell>
          <cell r="F30">
            <v>850.14729148753224</v>
          </cell>
          <cell r="G30">
            <v>805.33766122098007</v>
          </cell>
          <cell r="H30">
            <v>704.91384350816861</v>
          </cell>
          <cell r="I30">
            <v>662.94325021496127</v>
          </cell>
          <cell r="J30">
            <v>646.73628546861573</v>
          </cell>
          <cell r="K30">
            <v>613.43344797936368</v>
          </cell>
          <cell r="L30">
            <v>754.77360275150465</v>
          </cell>
          <cell r="M30">
            <v>642.19045571797085</v>
          </cell>
          <cell r="N30">
            <v>769.24892519346508</v>
          </cell>
          <cell r="O30">
            <v>732.3608770421323</v>
          </cell>
          <cell r="P30">
            <v>630.44153052450554</v>
          </cell>
          <cell r="Q30">
            <v>584.59595872742898</v>
          </cell>
          <cell r="R30">
            <v>618.17497850386928</v>
          </cell>
          <cell r="S30">
            <v>592.03688736027516</v>
          </cell>
          <cell r="T30">
            <v>595.16414445399823</v>
          </cell>
          <cell r="U30">
            <v>571.38753224419588</v>
          </cell>
          <cell r="V30">
            <v>568.44376612209794</v>
          </cell>
          <cell r="W30">
            <v>574.60558899398097</v>
          </cell>
        </row>
        <row r="31">
          <cell r="B31">
            <v>4021.4272393199458</v>
          </cell>
          <cell r="C31">
            <v>4030.265868184234</v>
          </cell>
          <cell r="D31">
            <v>4009.3282029234729</v>
          </cell>
          <cell r="E31">
            <v>3953.0042992261392</v>
          </cell>
          <cell r="F31">
            <v>4096.9699054170251</v>
          </cell>
          <cell r="G31">
            <v>4173.9307824591569</v>
          </cell>
          <cell r="H31">
            <v>4172.2365434221838</v>
          </cell>
          <cell r="I31">
            <v>4279.5631986242479</v>
          </cell>
          <cell r="J31">
            <v>4220.9153912295787</v>
          </cell>
          <cell r="K31">
            <v>3596.6391229578671</v>
          </cell>
          <cell r="L31">
            <v>3817.4560619088561</v>
          </cell>
          <cell r="M31">
            <v>3821.003439380911</v>
          </cell>
          <cell r="N31">
            <v>3776.625021496131</v>
          </cell>
          <cell r="O31">
            <v>3883.19785038693</v>
          </cell>
          <cell r="P31">
            <v>3988.1136715391231</v>
          </cell>
          <cell r="Q31">
            <v>4018.076784178847</v>
          </cell>
          <cell r="R31">
            <v>4123.9967325881344</v>
          </cell>
          <cell r="S31">
            <v>4174.4434221840074</v>
          </cell>
          <cell r="T31">
            <v>4276.238091143593</v>
          </cell>
          <cell r="U31">
            <v>4179.7861564918312</v>
          </cell>
          <cell r="V31">
            <v>3759.0872742906281</v>
          </cell>
          <cell r="W31">
            <v>3915.8177987962158</v>
          </cell>
        </row>
        <row r="33">
          <cell r="B33">
            <v>9374.8241194317652</v>
          </cell>
          <cell r="C33">
            <v>9737.1502874041416</v>
          </cell>
          <cell r="D33">
            <v>8908.9941183985193</v>
          </cell>
          <cell r="E33">
            <v>9427.0641798115939</v>
          </cell>
          <cell r="F33">
            <v>9014.4595990281505</v>
          </cell>
          <cell r="G33">
            <v>8019.1084993166514</v>
          </cell>
          <cell r="H33">
            <v>7782.296023240373</v>
          </cell>
          <cell r="I33">
            <v>7798.919066549649</v>
          </cell>
          <cell r="J33">
            <v>6872.0489062397201</v>
          </cell>
          <cell r="K33">
            <v>5961.7887545710664</v>
          </cell>
          <cell r="L33">
            <v>6521.9937837325724</v>
          </cell>
          <cell r="M33">
            <v>6142.9451025243334</v>
          </cell>
          <cell r="N33">
            <v>5964.2060909763031</v>
          </cell>
          <cell r="O33">
            <v>6145.6608815129557</v>
          </cell>
          <cell r="P33">
            <v>5285.2390874654448</v>
          </cell>
          <cell r="Q33">
            <v>5375.8735563852106</v>
          </cell>
          <cell r="R33">
            <v>6429.7661826168523</v>
          </cell>
          <cell r="S33">
            <v>6602.0680696573781</v>
          </cell>
          <cell r="T33">
            <v>6598.1412631345829</v>
          </cell>
          <cell r="U33">
            <v>6640.2263653147966</v>
          </cell>
          <cell r="V33">
            <v>5955.1995754079244</v>
          </cell>
          <cell r="W33">
            <v>6431.2612227651771</v>
          </cell>
        </row>
        <row r="38">
          <cell r="B38">
            <v>1.1862189770151221</v>
          </cell>
          <cell r="C38">
            <v>1.199647267121235</v>
          </cell>
          <cell r="D38">
            <v>1.1440920731894166</v>
          </cell>
          <cell r="E38">
            <v>1.1259240042847054</v>
          </cell>
          <cell r="F38">
            <v>1.0562267278348392</v>
          </cell>
          <cell r="G38">
            <v>0.98173561792476549</v>
          </cell>
          <cell r="H38">
            <v>0.97760057984662452</v>
          </cell>
          <cell r="I38">
            <v>0.96893302211428745</v>
          </cell>
          <cell r="J38">
            <v>0.90180620950064327</v>
          </cell>
          <cell r="K38">
            <v>0.90199315610496456</v>
          </cell>
          <cell r="L38">
            <v>0.90467665816018417</v>
          </cell>
          <cell r="M38">
            <v>0.8813056508519328</v>
          </cell>
          <cell r="N38">
            <v>0.85317601224435979</v>
          </cell>
          <cell r="O38">
            <v>0.858672413551133</v>
          </cell>
          <cell r="P38">
            <v>0.77501203690300102</v>
          </cell>
          <cell r="Q38">
            <v>0.78501323812528023</v>
          </cell>
          <cell r="R38">
            <v>0.87931472075231243</v>
          </cell>
          <cell r="S38">
            <v>0.89127023966219177</v>
          </cell>
          <cell r="T38">
            <v>0.87490771004048218</v>
          </cell>
          <cell r="U38">
            <v>0.8950910394580498</v>
          </cell>
          <cell r="V38">
            <v>0.88355093898422565</v>
          </cell>
          <cell r="W38">
            <v>0.9056383067649304</v>
          </cell>
        </row>
      </sheetData>
      <sheetData sheetId="31"/>
      <sheetData sheetId="32"/>
      <sheetData sheetId="33"/>
      <sheetData sheetId="34">
        <row r="3">
          <cell r="B3">
            <v>530368.93316041469</v>
          </cell>
          <cell r="C3">
            <v>521725.08834846999</v>
          </cell>
          <cell r="D3">
            <v>507363.14935852349</v>
          </cell>
          <cell r="E3">
            <v>502102.51249155949</v>
          </cell>
          <cell r="F3">
            <v>517713.14359723008</v>
          </cell>
          <cell r="G3">
            <v>523898.57663143758</v>
          </cell>
          <cell r="H3">
            <v>558963.23944405245</v>
          </cell>
          <cell r="I3">
            <v>587943.8361339171</v>
          </cell>
          <cell r="J3">
            <v>582346.13094670197</v>
          </cell>
          <cell r="K3">
            <v>476307.14344496722</v>
          </cell>
          <cell r="L3">
            <v>518593.22979366581</v>
          </cell>
          <cell r="M3">
            <v>545971.14132986253</v>
          </cell>
          <cell r="N3">
            <v>534308.00460499455</v>
          </cell>
          <cell r="O3">
            <v>527526.51731021865</v>
          </cell>
          <cell r="P3">
            <v>540617.83434036444</v>
          </cell>
          <cell r="Q3">
            <v>546672.64778807689</v>
          </cell>
          <cell r="R3">
            <v>557910.79079072329</v>
          </cell>
          <cell r="S3">
            <v>573302.51274662779</v>
          </cell>
          <cell r="T3">
            <v>585323.77363899536</v>
          </cell>
          <cell r="U3">
            <v>583333.08801664691</v>
          </cell>
          <cell r="V3">
            <v>537387.61373900354</v>
          </cell>
          <cell r="W3">
            <v>582681.33828187198</v>
          </cell>
        </row>
        <row r="12">
          <cell r="B12">
            <v>16979.065129156948</v>
          </cell>
          <cell r="C12">
            <v>17468.02990151526</v>
          </cell>
          <cell r="D12">
            <v>17198.763323457719</v>
          </cell>
          <cell r="E12">
            <v>18906.962616392051</v>
          </cell>
          <cell r="F12">
            <v>19102.152387673679</v>
          </cell>
          <cell r="G12">
            <v>18915.426755402841</v>
          </cell>
          <cell r="H12">
            <v>18976.04358500781</v>
          </cell>
          <cell r="I12">
            <v>18962.08405100026</v>
          </cell>
          <cell r="J12">
            <v>19855.489421689021</v>
          </cell>
          <cell r="K12">
            <v>17118.529826000671</v>
          </cell>
          <cell r="L12">
            <v>18413.480829242329</v>
          </cell>
          <cell r="M12">
            <v>17949.656679729978</v>
          </cell>
          <cell r="N12">
            <v>17477.503218557511</v>
          </cell>
          <cell r="O12">
            <v>17722.459628901881</v>
          </cell>
          <cell r="P12">
            <v>17059.180117630029</v>
          </cell>
          <cell r="Q12">
            <v>16690.72087495833</v>
          </cell>
          <cell r="R12">
            <v>16920.817248715579</v>
          </cell>
          <cell r="S12">
            <v>17271.15273475261</v>
          </cell>
          <cell r="T12">
            <v>17197.301842514069</v>
          </cell>
          <cell r="U12">
            <v>16962.77053723787</v>
          </cell>
          <cell r="V12">
            <v>15701.61806572388</v>
          </cell>
          <cell r="W12">
            <v>17200.31978595928</v>
          </cell>
        </row>
        <row r="13">
          <cell r="B13">
            <v>543.06973344797939</v>
          </cell>
          <cell r="C13">
            <v>475.05331040412727</v>
          </cell>
          <cell r="D13">
            <v>412.97179707652617</v>
          </cell>
          <cell r="E13">
            <v>401.85889939810829</v>
          </cell>
          <cell r="F13">
            <v>242.4466036113499</v>
          </cell>
          <cell r="G13">
            <v>229.76044711951849</v>
          </cell>
          <cell r="H13">
            <v>199.5987102321582</v>
          </cell>
          <cell r="I13">
            <v>166.6883920894239</v>
          </cell>
          <cell r="J13">
            <v>157.21186586414439</v>
          </cell>
          <cell r="K13">
            <v>112.7587274290628</v>
          </cell>
          <cell r="L13">
            <v>117.5248495270851</v>
          </cell>
          <cell r="M13">
            <v>108.37704213241619</v>
          </cell>
          <cell r="N13">
            <v>93.634995700773842</v>
          </cell>
          <cell r="O13">
            <v>93.417110920034389</v>
          </cell>
          <cell r="P13">
            <v>85.180481513327592</v>
          </cell>
          <cell r="Q13">
            <v>93.801375752364564</v>
          </cell>
          <cell r="R13">
            <v>70.087962166809959</v>
          </cell>
          <cell r="S13">
            <v>101.9306104901118</v>
          </cell>
          <cell r="T13">
            <v>78.839208942390371</v>
          </cell>
          <cell r="U13">
            <v>68.875150472914868</v>
          </cell>
          <cell r="V13">
            <v>85.759501289767826</v>
          </cell>
          <cell r="W13">
            <v>69.837919174548574</v>
          </cell>
        </row>
        <row r="15"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0.100859845227859</v>
          </cell>
          <cell r="W15">
            <v>8.2029234737747203E-2</v>
          </cell>
        </row>
        <row r="16">
          <cell r="B16">
            <v>340.36663800515907</v>
          </cell>
          <cell r="C16">
            <v>347.91986242476349</v>
          </cell>
          <cell r="D16">
            <v>339.943766122098</v>
          </cell>
          <cell r="E16">
            <v>500.34479793637138</v>
          </cell>
          <cell r="F16">
            <v>390.84144453998277</v>
          </cell>
          <cell r="G16">
            <v>389.47454858125542</v>
          </cell>
          <cell r="H16">
            <v>472.24342218400687</v>
          </cell>
          <cell r="I16">
            <v>427.79570077386069</v>
          </cell>
          <cell r="J16">
            <v>376.77093723129832</v>
          </cell>
          <cell r="K16">
            <v>322.27222699914012</v>
          </cell>
          <cell r="L16">
            <v>310.42055030094582</v>
          </cell>
          <cell r="M16">
            <v>294.30687876182287</v>
          </cell>
          <cell r="N16">
            <v>272.96913155631978</v>
          </cell>
          <cell r="O16">
            <v>293.52373172828891</v>
          </cell>
          <cell r="P16">
            <v>247.51831470335341</v>
          </cell>
          <cell r="Q16">
            <v>250.16276870163369</v>
          </cell>
          <cell r="R16">
            <v>250.89208942390371</v>
          </cell>
          <cell r="S16">
            <v>262.6650042992261</v>
          </cell>
          <cell r="T16">
            <v>264.83000859845231</v>
          </cell>
          <cell r="U16">
            <v>250.52656921754081</v>
          </cell>
          <cell r="V16">
            <v>201.88925193465181</v>
          </cell>
          <cell r="W16">
            <v>216.35313843508169</v>
          </cell>
        </row>
        <row r="17">
          <cell r="B17">
            <v>1065.91788478074</v>
          </cell>
          <cell r="C17">
            <v>1076.6103181427341</v>
          </cell>
          <cell r="D17">
            <v>1073.6358555460019</v>
          </cell>
          <cell r="E17">
            <v>1123.657695614789</v>
          </cell>
          <cell r="F17">
            <v>1045.576096302666</v>
          </cell>
          <cell r="G17">
            <v>974.76509028374892</v>
          </cell>
          <cell r="H17">
            <v>871.13774720550293</v>
          </cell>
          <cell r="I17">
            <v>921.82691315563193</v>
          </cell>
          <cell r="J17">
            <v>909.7149613069646</v>
          </cell>
          <cell r="K17">
            <v>1013.466552020636</v>
          </cell>
          <cell r="L17">
            <v>942.87549441100589</v>
          </cell>
          <cell r="M17">
            <v>759.28013757523638</v>
          </cell>
          <cell r="N17">
            <v>705.96990541702485</v>
          </cell>
          <cell r="O17">
            <v>691.85941530524497</v>
          </cell>
          <cell r="P17">
            <v>584.29656061908861</v>
          </cell>
          <cell r="Q17">
            <v>515.5737747205502</v>
          </cell>
          <cell r="R17">
            <v>528.26156491831466</v>
          </cell>
          <cell r="S17">
            <v>513.84797936371456</v>
          </cell>
          <cell r="T17">
            <v>518.24110060189162</v>
          </cell>
          <cell r="U17">
            <v>504.07807394668953</v>
          </cell>
          <cell r="V17">
            <v>505.1613929492691</v>
          </cell>
          <cell r="W17">
            <v>502.44376612209811</v>
          </cell>
        </row>
        <row r="18">
          <cell r="B18">
            <v>695.45021496130698</v>
          </cell>
          <cell r="C18">
            <v>736.37033533963881</v>
          </cell>
          <cell r="D18">
            <v>774.31745485812553</v>
          </cell>
          <cell r="E18">
            <v>746.31926053310394</v>
          </cell>
          <cell r="F18">
            <v>627.74135855546001</v>
          </cell>
          <cell r="G18">
            <v>568.80120378331901</v>
          </cell>
          <cell r="H18">
            <v>614.00051590713667</v>
          </cell>
          <cell r="I18">
            <v>509.53138435081672</v>
          </cell>
          <cell r="J18">
            <v>539.91478933791916</v>
          </cell>
          <cell r="K18">
            <v>334.29982803095442</v>
          </cell>
          <cell r="L18">
            <v>221.98796216680989</v>
          </cell>
          <cell r="M18">
            <v>174.85855546001719</v>
          </cell>
          <cell r="N18">
            <v>184.38830610490109</v>
          </cell>
          <cell r="O18">
            <v>268.62390369733441</v>
          </cell>
          <cell r="P18">
            <v>228.01771281169391</v>
          </cell>
          <cell r="Q18">
            <v>211.63061049011171</v>
          </cell>
          <cell r="R18">
            <v>210.8709372312984</v>
          </cell>
          <cell r="S18">
            <v>146.23551160791061</v>
          </cell>
          <cell r="T18">
            <v>131.41375752364581</v>
          </cell>
          <cell r="U18">
            <v>103.3239896818573</v>
          </cell>
          <cell r="V18">
            <v>81.831986242476347</v>
          </cell>
          <cell r="W18">
            <v>91.143852106620812</v>
          </cell>
        </row>
        <row r="19">
          <cell r="B19">
            <v>195.15442820292341</v>
          </cell>
          <cell r="C19">
            <v>196.23740326741179</v>
          </cell>
          <cell r="D19">
            <v>204.38761822871879</v>
          </cell>
          <cell r="E19">
            <v>196.16569217540851</v>
          </cell>
          <cell r="F19">
            <v>184.20662080825451</v>
          </cell>
          <cell r="G19">
            <v>184.27781599312121</v>
          </cell>
          <cell r="H19">
            <v>183.36371453138429</v>
          </cell>
          <cell r="I19">
            <v>154.27429062768701</v>
          </cell>
          <cell r="J19">
            <v>140.58478073946691</v>
          </cell>
          <cell r="K19">
            <v>136.61539122957871</v>
          </cell>
          <cell r="L19">
            <v>171.1636285468615</v>
          </cell>
          <cell r="M19">
            <v>137.07566638005159</v>
          </cell>
          <cell r="N19">
            <v>130.83112639724851</v>
          </cell>
          <cell r="O19">
            <v>94.830610490111781</v>
          </cell>
          <cell r="P19">
            <v>54.872226999140153</v>
          </cell>
          <cell r="Q19">
            <v>46.919174548581253</v>
          </cell>
          <cell r="R19">
            <v>32.781341358555458</v>
          </cell>
          <cell r="S19">
            <v>28.772312983662928</v>
          </cell>
          <cell r="T19">
            <v>29.209372312983671</v>
          </cell>
          <cell r="U19">
            <v>27.28357695614789</v>
          </cell>
          <cell r="V19">
            <v>24.236715391229581</v>
          </cell>
          <cell r="W19">
            <v>29.233791917454859</v>
          </cell>
        </row>
        <row r="21">
          <cell r="B21">
            <v>6807.0722269991411</v>
          </cell>
          <cell r="C21">
            <v>7080.9903697334466</v>
          </cell>
          <cell r="D21">
            <v>6869.0324161650888</v>
          </cell>
          <cell r="E21">
            <v>6652.2743766122076</v>
          </cell>
          <cell r="F21">
            <v>7281.4587274290634</v>
          </cell>
          <cell r="G21">
            <v>7264.0826311263954</v>
          </cell>
          <cell r="H21">
            <v>7196.1460017196896</v>
          </cell>
          <cell r="I21">
            <v>7136.801375752364</v>
          </cell>
          <cell r="J21">
            <v>6834.3283748925178</v>
          </cell>
          <cell r="K21">
            <v>6031.5757523645752</v>
          </cell>
          <cell r="L21">
            <v>6495.9149613069631</v>
          </cell>
          <cell r="M21">
            <v>6317.3300945829742</v>
          </cell>
          <cell r="N21">
            <v>5985.8559759243344</v>
          </cell>
          <cell r="O21">
            <v>6105.5077386070498</v>
          </cell>
          <cell r="P21">
            <v>5605.625967325881</v>
          </cell>
          <cell r="Q21">
            <v>5803.8456577815987</v>
          </cell>
          <cell r="R21">
            <v>5916.2577815993118</v>
          </cell>
          <cell r="S21">
            <v>6058.7688736027503</v>
          </cell>
          <cell r="T21">
            <v>5836.4819432502136</v>
          </cell>
          <cell r="U21">
            <v>5717.6062768701631</v>
          </cell>
          <cell r="V21">
            <v>5254.3554600171974</v>
          </cell>
          <cell r="W21">
            <v>6054.7790197764407</v>
          </cell>
        </row>
        <row r="22">
          <cell r="B22">
            <v>72.766809974204634</v>
          </cell>
          <cell r="C22">
            <v>81.885898538263106</v>
          </cell>
          <cell r="D22">
            <v>76.848667239896812</v>
          </cell>
          <cell r="E22">
            <v>18.443680137575232</v>
          </cell>
          <cell r="F22">
            <v>33.244969905417022</v>
          </cell>
          <cell r="G22">
            <v>30.70601891659501</v>
          </cell>
          <cell r="H22">
            <v>39.827515047291477</v>
          </cell>
          <cell r="I22">
            <v>42.51693895098883</v>
          </cell>
          <cell r="J22">
            <v>31.5085124677558</v>
          </cell>
          <cell r="K22">
            <v>15.823559759243331</v>
          </cell>
          <cell r="L22">
            <v>13.54496990541702</v>
          </cell>
          <cell r="M22">
            <v>5.5006018916595014</v>
          </cell>
          <cell r="N22">
            <v>16.291659501289772</v>
          </cell>
          <cell r="O22">
            <v>16.755030094582981</v>
          </cell>
          <cell r="P22">
            <v>14.256749785038689</v>
          </cell>
          <cell r="Q22">
            <v>15.522613929492691</v>
          </cell>
          <cell r="R22">
            <v>14.619432502149611</v>
          </cell>
          <cell r="S22">
            <v>12.737833190025791</v>
          </cell>
          <cell r="T22">
            <v>7.4036973344797934</v>
          </cell>
          <cell r="U22">
            <v>8.7946689595872733</v>
          </cell>
          <cell r="V22">
            <v>9.1694754944110048</v>
          </cell>
          <cell r="W22">
            <v>7.4178847807394659</v>
          </cell>
        </row>
        <row r="24">
          <cell r="B24">
            <v>21.782717110920029</v>
          </cell>
          <cell r="C24">
            <v>31.432072226999139</v>
          </cell>
          <cell r="D24">
            <v>36.017970765262248</v>
          </cell>
          <cell r="E24">
            <v>46.527085124677548</v>
          </cell>
          <cell r="F24">
            <v>52.546173688736019</v>
          </cell>
          <cell r="G24">
            <v>76.675752364574379</v>
          </cell>
          <cell r="H24">
            <v>96.953482373172818</v>
          </cell>
          <cell r="I24">
            <v>85.507910576096293</v>
          </cell>
          <cell r="J24">
            <v>85.089681857265688</v>
          </cell>
          <cell r="K24">
            <v>88.272398968185712</v>
          </cell>
          <cell r="L24">
            <v>114.6460017196904</v>
          </cell>
          <cell r="M24">
            <v>99.078761822871869</v>
          </cell>
          <cell r="N24">
            <v>102.6479793637145</v>
          </cell>
          <cell r="O24">
            <v>145.7175408426483</v>
          </cell>
          <cell r="P24">
            <v>106.74978503869301</v>
          </cell>
          <cell r="Q24">
            <v>102.31023215821151</v>
          </cell>
          <cell r="R24">
            <v>135.29673258813409</v>
          </cell>
          <cell r="S24">
            <v>87.823731728288905</v>
          </cell>
          <cell r="T24">
            <v>114.6126397248495</v>
          </cell>
          <cell r="U24">
            <v>109.1139294926913</v>
          </cell>
          <cell r="V24">
            <v>125.48624247635421</v>
          </cell>
          <cell r="W24">
            <v>127.19509888220119</v>
          </cell>
        </row>
        <row r="25">
          <cell r="B25">
            <v>0</v>
          </cell>
          <cell r="C25">
            <v>0</v>
          </cell>
          <cell r="D25">
            <v>0</v>
          </cell>
          <cell r="E25">
            <v>2.3903697334479789E-2</v>
          </cell>
          <cell r="F25">
            <v>4.7807394668959592E-2</v>
          </cell>
          <cell r="G25">
            <v>1.050902837489252</v>
          </cell>
          <cell r="H25">
            <v>4.7807394668959592E-2</v>
          </cell>
          <cell r="I25">
            <v>2.07798796216681</v>
          </cell>
          <cell r="J25">
            <v>1.132330180567497</v>
          </cell>
          <cell r="K25">
            <v>1.290885640584694</v>
          </cell>
          <cell r="L25">
            <v>0.82166809974204635</v>
          </cell>
          <cell r="M25">
            <v>12.503783319002579</v>
          </cell>
          <cell r="N25">
            <v>2.5035253654342209</v>
          </cell>
          <cell r="O25">
            <v>2.3803095442820301</v>
          </cell>
          <cell r="P25">
            <v>4.035339638865004</v>
          </cell>
          <cell r="Q25">
            <v>9.3780739466895948</v>
          </cell>
          <cell r="R25">
            <v>9.9501289767841783</v>
          </cell>
          <cell r="S25">
            <v>3.9513327601031811</v>
          </cell>
          <cell r="T25">
            <v>5.5340498710232149</v>
          </cell>
          <cell r="U25">
            <v>9.1671539122957864</v>
          </cell>
          <cell r="V25">
            <v>11.74677558039553</v>
          </cell>
          <cell r="W25">
            <v>10.03095442820292</v>
          </cell>
        </row>
        <row r="26">
          <cell r="B26">
            <v>0</v>
          </cell>
          <cell r="C26">
            <v>0</v>
          </cell>
          <cell r="D26">
            <v>0</v>
          </cell>
          <cell r="E26">
            <v>0.49036973344797941</v>
          </cell>
          <cell r="F26">
            <v>0</v>
          </cell>
          <cell r="G26">
            <v>1.3024075666380051</v>
          </cell>
          <cell r="H26">
            <v>0.93791917454858131</v>
          </cell>
          <cell r="I26">
            <v>1.8350816852966469</v>
          </cell>
          <cell r="J26">
            <v>3.0456577815993131</v>
          </cell>
          <cell r="K26">
            <v>4.7590713671539113</v>
          </cell>
          <cell r="L26">
            <v>5.035081685296646</v>
          </cell>
          <cell r="M26">
            <v>2.2878761822871878</v>
          </cell>
          <cell r="N26">
            <v>1.7018916595012901</v>
          </cell>
          <cell r="O26">
            <v>3.023215821152192</v>
          </cell>
          <cell r="P26">
            <v>3.7159931212381769</v>
          </cell>
          <cell r="Q26">
            <v>4.8311263972484957</v>
          </cell>
          <cell r="R26">
            <v>5.4739466895958726</v>
          </cell>
          <cell r="S26">
            <v>6.897678417884781</v>
          </cell>
          <cell r="T26">
            <v>7.5431642304385207</v>
          </cell>
          <cell r="U26">
            <v>6.2781599312123806</v>
          </cell>
          <cell r="V26">
            <v>5.1374892519346513</v>
          </cell>
          <cell r="W26">
            <v>4.5756663800515902</v>
          </cell>
        </row>
        <row r="27">
          <cell r="B27">
            <v>0</v>
          </cell>
          <cell r="C27">
            <v>2.8374892519346519E-3</v>
          </cell>
          <cell r="D27">
            <v>2.8374892519346519E-3</v>
          </cell>
          <cell r="E27">
            <v>3.9122957867583831E-2</v>
          </cell>
          <cell r="F27">
            <v>8.2631126397248483E-2</v>
          </cell>
          <cell r="G27">
            <v>9.3809114359415302E-2</v>
          </cell>
          <cell r="H27">
            <v>9.7936371453138424E-2</v>
          </cell>
          <cell r="I27">
            <v>0.11573516766981939</v>
          </cell>
          <cell r="J27">
            <v>0.12932072226999139</v>
          </cell>
          <cell r="K27">
            <v>0.17007738607050729</v>
          </cell>
          <cell r="L27">
            <v>0.19466895958727429</v>
          </cell>
          <cell r="M27">
            <v>0.24342218400687871</v>
          </cell>
          <cell r="N27">
            <v>0.28013757523645738</v>
          </cell>
          <cell r="O27">
            <v>0.47962166809974188</v>
          </cell>
          <cell r="P27">
            <v>0.57695614789337935</v>
          </cell>
          <cell r="Q27">
            <v>0.55485812553740321</v>
          </cell>
          <cell r="R27">
            <v>0.5552880481513327</v>
          </cell>
          <cell r="S27">
            <v>0.92063628546861553</v>
          </cell>
          <cell r="T27">
            <v>0.95520206362854676</v>
          </cell>
          <cell r="U27">
            <v>0.98280309544282018</v>
          </cell>
          <cell r="V27">
            <v>0.9780739466895958</v>
          </cell>
          <cell r="W27">
            <v>0.98435081685296644</v>
          </cell>
        </row>
        <row r="28">
          <cell r="B28">
            <v>0.1194325021496131</v>
          </cell>
          <cell r="C28">
            <v>2.3903697334479789E-2</v>
          </cell>
          <cell r="D28">
            <v>0.3821152192605331</v>
          </cell>
          <cell r="E28">
            <v>1.313585554600172</v>
          </cell>
          <cell r="F28">
            <v>0.95537403267411869</v>
          </cell>
          <cell r="G28">
            <v>0.95537403267411869</v>
          </cell>
          <cell r="H28">
            <v>0.7165090283748925</v>
          </cell>
          <cell r="I28">
            <v>0.52545141874462586</v>
          </cell>
          <cell r="J28">
            <v>0.52545141874462586</v>
          </cell>
          <cell r="K28">
            <v>0.40601891659501288</v>
          </cell>
          <cell r="L28">
            <v>0.47773000859845233</v>
          </cell>
          <cell r="M28">
            <v>1.4569217540842649</v>
          </cell>
          <cell r="N28">
            <v>1.050988822012038</v>
          </cell>
          <cell r="O28">
            <v>0.3343938091143594</v>
          </cell>
          <cell r="P28">
            <v>0.50163370593293211</v>
          </cell>
          <cell r="Q28">
            <v>0.47773000859845222</v>
          </cell>
          <cell r="R28">
            <v>3.4393809114359408</v>
          </cell>
          <cell r="S28">
            <v>0.72381771281169383</v>
          </cell>
          <cell r="T28">
            <v>0.34574376612209812</v>
          </cell>
          <cell r="U28">
            <v>0.21496130696474641</v>
          </cell>
          <cell r="V28">
            <v>0.3141014617368873</v>
          </cell>
          <cell r="W28">
            <v>0.45864144453998279</v>
          </cell>
        </row>
        <row r="29">
          <cell r="B29">
            <v>2.2137104123222788</v>
          </cell>
          <cell r="C29">
            <v>2.3164879297092442</v>
          </cell>
          <cell r="D29">
            <v>2.470804111203766</v>
          </cell>
          <cell r="E29">
            <v>2.5930549131242571</v>
          </cell>
          <cell r="F29">
            <v>2.618079849085043</v>
          </cell>
          <cell r="G29">
            <v>2.9558181715497529</v>
          </cell>
          <cell r="H29">
            <v>3.4343846638702371</v>
          </cell>
          <cell r="I29">
            <v>3.5733029349115539</v>
          </cell>
          <cell r="J29">
            <v>4.0476332109483089</v>
          </cell>
          <cell r="K29">
            <v>4.6051484426288507</v>
          </cell>
          <cell r="L29">
            <v>5.0258851322671081</v>
          </cell>
          <cell r="M29">
            <v>5.0455017420202344</v>
          </cell>
          <cell r="N29">
            <v>5.4057121086755711</v>
          </cell>
          <cell r="O29">
            <v>5.5806951099705149</v>
          </cell>
          <cell r="P29">
            <v>10.83583560079787</v>
          </cell>
          <cell r="Q29">
            <v>12.718897314304179</v>
          </cell>
          <cell r="R29">
            <v>13.19188328136199</v>
          </cell>
          <cell r="S29">
            <v>14.321952293450179</v>
          </cell>
          <cell r="T29">
            <v>17.08567742378829</v>
          </cell>
          <cell r="U29">
            <v>18.958499404677251</v>
          </cell>
          <cell r="V29">
            <v>20.51583012628668</v>
          </cell>
          <cell r="W29">
            <v>22.532683637700199</v>
          </cell>
        </row>
        <row r="30">
          <cell r="B30">
            <v>379.41461736887362</v>
          </cell>
          <cell r="C30">
            <v>418.51298366294071</v>
          </cell>
          <cell r="D30">
            <v>353.82459157351673</v>
          </cell>
          <cell r="E30">
            <v>862.38056749785039</v>
          </cell>
          <cell r="F30">
            <v>769.98134135855548</v>
          </cell>
          <cell r="G30">
            <v>744.45313843508154</v>
          </cell>
          <cell r="H30">
            <v>560.1717970765261</v>
          </cell>
          <cell r="I30">
            <v>628.23465176268269</v>
          </cell>
          <cell r="J30">
            <v>701.07067927772994</v>
          </cell>
          <cell r="K30">
            <v>673.92459157351664</v>
          </cell>
          <cell r="L30">
            <v>721.92037833190022</v>
          </cell>
          <cell r="M30">
            <v>671.11255374032669</v>
          </cell>
          <cell r="N30">
            <v>698.32846087704195</v>
          </cell>
          <cell r="O30">
            <v>630.5045571797076</v>
          </cell>
          <cell r="P30">
            <v>584.18271711091995</v>
          </cell>
          <cell r="Q30">
            <v>539.34187446259682</v>
          </cell>
          <cell r="R30">
            <v>577.46852966466031</v>
          </cell>
          <cell r="S30">
            <v>587.07807394668953</v>
          </cell>
          <cell r="T30">
            <v>578.02321582115212</v>
          </cell>
          <cell r="U30">
            <v>608.01298366294054</v>
          </cell>
          <cell r="V30">
            <v>651.34686156491819</v>
          </cell>
          <cell r="W30">
            <v>666.85038693035244</v>
          </cell>
        </row>
        <row r="31">
          <cell r="B31">
            <v>6855.7367153912292</v>
          </cell>
          <cell r="C31">
            <v>7020.6741186586414</v>
          </cell>
          <cell r="D31">
            <v>7054.9274290627682</v>
          </cell>
          <cell r="E31">
            <v>8354.5305245055879</v>
          </cell>
          <cell r="F31">
            <v>8470.4051590713661</v>
          </cell>
          <cell r="G31">
            <v>8446.0717970765254</v>
          </cell>
          <cell r="H31">
            <v>8737.3661220980212</v>
          </cell>
          <cell r="I31">
            <v>8880.7789337919166</v>
          </cell>
          <cell r="J31">
            <v>10070.414445399831</v>
          </cell>
          <cell r="K31">
            <v>8378.2895958727404</v>
          </cell>
          <cell r="L31">
            <v>9291.9269991401543</v>
          </cell>
          <cell r="M31">
            <v>9361.1988822012045</v>
          </cell>
          <cell r="N31">
            <v>9275.6434221840045</v>
          </cell>
          <cell r="O31">
            <v>9369.9217540842637</v>
          </cell>
          <cell r="P31">
            <v>9528.8138435081673</v>
          </cell>
          <cell r="Q31">
            <v>9083.6521066208079</v>
          </cell>
          <cell r="R31">
            <v>9151.6702493551147</v>
          </cell>
          <cell r="S31">
            <v>9444.4773860705063</v>
          </cell>
          <cell r="T31">
            <v>9606.7830610490109</v>
          </cell>
          <cell r="U31">
            <v>9529.5537403267408</v>
          </cell>
          <cell r="V31">
            <v>8723.5880481513323</v>
          </cell>
          <cell r="W31">
            <v>9396.4006018916589</v>
          </cell>
        </row>
        <row r="33">
          <cell r="B33">
            <v>25565.32646474614</v>
          </cell>
          <cell r="C33">
            <v>26270.169505793579</v>
          </cell>
          <cell r="D33">
            <v>25603.35006206841</v>
          </cell>
          <cell r="E33">
            <v>25277.544327340049</v>
          </cell>
          <cell r="F33">
            <v>25173.855381078742</v>
          </cell>
          <cell r="G33">
            <v>24712.453759892789</v>
          </cell>
          <cell r="H33">
            <v>24547.11906036011</v>
          </cell>
          <cell r="I33">
            <v>23899.23184356709</v>
          </cell>
          <cell r="J33">
            <v>22932.347417366389</v>
          </cell>
          <cell r="K33">
            <v>20293.52882807513</v>
          </cell>
          <cell r="L33">
            <v>20909.566162639239</v>
          </cell>
          <cell r="M33">
            <v>19529.089555302009</v>
          </cell>
          <cell r="N33">
            <v>18488.375075216689</v>
          </cell>
          <cell r="O33">
            <v>18909.708827595459</v>
          </cell>
          <cell r="P33">
            <v>16955.467342045878</v>
          </cell>
          <cell r="Q33">
            <v>17177.130053217741</v>
          </cell>
          <cell r="R33">
            <v>17330.752725335791</v>
          </cell>
          <cell r="S33">
            <v>17558.59200388216</v>
          </cell>
          <cell r="T33">
            <v>16925.600685358411</v>
          </cell>
          <cell r="U33">
            <v>16433.31757832627</v>
          </cell>
          <cell r="V33">
            <v>15216.14693485421</v>
          </cell>
          <cell r="W33">
            <v>17084.44295356351</v>
          </cell>
        </row>
        <row r="38">
          <cell r="B38">
            <v>1.5056969432813243</v>
          </cell>
          <cell r="C38">
            <v>1.5038999620394959</v>
          </cell>
          <cell r="D38">
            <v>1.4886738994278452</v>
          </cell>
          <cell r="E38">
            <v>1.3369436878996523</v>
          </cell>
          <cell r="F38">
            <v>1.3178543899232549</v>
          </cell>
          <cell r="G38">
            <v>1.3064708546865924</v>
          </cell>
          <cell r="H38">
            <v>1.2935846690273085</v>
          </cell>
          <cell r="I38">
            <v>1.2603694709551925</v>
          </cell>
          <cell r="J38">
            <v>1.154962586432968</v>
          </cell>
          <cell r="K38">
            <v>1.1854714764846264</v>
          </cell>
          <cell r="L38">
            <v>1.1355574948889018</v>
          </cell>
          <cell r="M38">
            <v>1.0879923724310359</v>
          </cell>
          <cell r="N38">
            <v>1.0578384591905461</v>
          </cell>
          <cell r="O38">
            <v>1.0669912203810246</v>
          </cell>
          <cell r="P38">
            <v>0.99392041265353859</v>
          </cell>
          <cell r="Q38">
            <v>1.0291424907230453</v>
          </cell>
          <cell r="R38">
            <v>1.0242266948809065</v>
          </cell>
          <cell r="S38">
            <v>1.0166427379540899</v>
          </cell>
          <cell r="T38">
            <v>0.9842009427034667</v>
          </cell>
          <cell r="U38">
            <v>0.96878735359006907</v>
          </cell>
          <cell r="V38">
            <v>0.96908145843074367</v>
          </cell>
          <cell r="W38">
            <v>0.99326310011454777</v>
          </cell>
        </row>
      </sheetData>
      <sheetData sheetId="35"/>
      <sheetData sheetId="36"/>
      <sheetData sheetId="37"/>
      <sheetData sheetId="38">
        <row r="3">
          <cell r="B3">
            <v>94515.906644736853</v>
          </cell>
          <cell r="C3">
            <v>94538.194791471469</v>
          </cell>
          <cell r="D3">
            <v>90429.905474966508</v>
          </cell>
          <cell r="E3">
            <v>85771.891854971051</v>
          </cell>
          <cell r="F3">
            <v>81650.685471928635</v>
          </cell>
          <cell r="G3">
            <v>76713.903599334211</v>
          </cell>
          <cell r="H3">
            <v>75545.395009004962</v>
          </cell>
          <cell r="I3">
            <v>76023.827745405797</v>
          </cell>
          <cell r="J3">
            <v>71876.526185114417</v>
          </cell>
          <cell r="K3">
            <v>61041.575758887913</v>
          </cell>
          <cell r="L3">
            <v>64075.639152276373</v>
          </cell>
          <cell r="M3">
            <v>68021.994407371283</v>
          </cell>
          <cell r="N3">
            <v>63786.417797252478</v>
          </cell>
          <cell r="O3">
            <v>63159.849298623507</v>
          </cell>
          <cell r="P3">
            <v>64334.579840322011</v>
          </cell>
          <cell r="Q3">
            <v>64583.499999999993</v>
          </cell>
          <cell r="R3">
            <v>65276.392469425809</v>
          </cell>
          <cell r="S3">
            <v>66106.467792740747</v>
          </cell>
          <cell r="T3">
            <v>65969.04869974649</v>
          </cell>
          <cell r="U3">
            <v>64965.127165543388</v>
          </cell>
          <cell r="V3">
            <v>55106.165529239552</v>
          </cell>
          <cell r="W3">
            <v>60759.690924492337</v>
          </cell>
        </row>
        <row r="12">
          <cell r="B12">
            <v>9756.8662398830947</v>
          </cell>
          <cell r="C12">
            <v>9639.1340192065236</v>
          </cell>
          <cell r="D12">
            <v>9577.9514878856571</v>
          </cell>
          <cell r="E12">
            <v>9479.1234255713989</v>
          </cell>
          <cell r="F12">
            <v>8837.7845369247043</v>
          </cell>
          <cell r="G12">
            <v>7195.1620461023522</v>
          </cell>
          <cell r="H12">
            <v>6577.9182499998969</v>
          </cell>
          <cell r="I12">
            <v>5987.7417663941942</v>
          </cell>
          <cell r="J12">
            <v>5302.7821912963354</v>
          </cell>
          <cell r="K12">
            <v>4491.0012738593696</v>
          </cell>
          <cell r="L12">
            <v>4438.2117314182751</v>
          </cell>
          <cell r="M12">
            <v>4203.9990079951294</v>
          </cell>
          <cell r="N12">
            <v>3998.9402781878398</v>
          </cell>
          <cell r="O12">
            <v>3858.8471079985638</v>
          </cell>
          <cell r="P12">
            <v>3713.952911655902</v>
          </cell>
          <cell r="Q12">
            <v>3698.662445394973</v>
          </cell>
          <cell r="R12">
            <v>3691.6152720225869</v>
          </cell>
          <cell r="S12">
            <v>3718.8140354366369</v>
          </cell>
          <cell r="T12">
            <v>3698.3110142804039</v>
          </cell>
          <cell r="U12">
            <v>3612.7445365838248</v>
          </cell>
          <cell r="V12">
            <v>3216.7386299486652</v>
          </cell>
          <cell r="W12">
            <v>3385.3200318119311</v>
          </cell>
        </row>
        <row r="13">
          <cell r="B13">
            <v>317.79337919174537</v>
          </cell>
          <cell r="C13">
            <v>263.42889079965602</v>
          </cell>
          <cell r="D13">
            <v>237.02295786758381</v>
          </cell>
          <cell r="E13">
            <v>189.5333619948409</v>
          </cell>
          <cell r="F13">
            <v>172.61306964746339</v>
          </cell>
          <cell r="G13">
            <v>139.5591573516767</v>
          </cell>
          <cell r="H13">
            <v>113.2676698194325</v>
          </cell>
          <cell r="I13">
            <v>90.632588134135844</v>
          </cell>
          <cell r="J13">
            <v>74.095614789337915</v>
          </cell>
          <cell r="K13">
            <v>41.681427343078226</v>
          </cell>
          <cell r="L13">
            <v>38.413671539122952</v>
          </cell>
          <cell r="M13">
            <v>27.119518486672401</v>
          </cell>
          <cell r="N13">
            <v>21.73912295786759</v>
          </cell>
          <cell r="O13">
            <v>24.51375752364574</v>
          </cell>
          <cell r="P13">
            <v>21.864230438521059</v>
          </cell>
          <cell r="Q13">
            <v>21.684780739466891</v>
          </cell>
          <cell r="R13">
            <v>20.531556319862421</v>
          </cell>
          <cell r="S13">
            <v>17.260017196904549</v>
          </cell>
          <cell r="T13">
            <v>30.561049011177989</v>
          </cell>
          <cell r="U13">
            <v>28.908512467755791</v>
          </cell>
          <cell r="V13">
            <v>21.0749785038693</v>
          </cell>
          <cell r="W13">
            <v>14.49372312983663</v>
          </cell>
        </row>
        <row r="15"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</row>
        <row r="16">
          <cell r="B16">
            <v>102.0517626827171</v>
          </cell>
          <cell r="C16">
            <v>136.89312123817709</v>
          </cell>
          <cell r="D16">
            <v>122.912467755804</v>
          </cell>
          <cell r="E16">
            <v>134.42063628546859</v>
          </cell>
          <cell r="F16">
            <v>101.5647463456578</v>
          </cell>
          <cell r="G16">
            <v>81.978847807394658</v>
          </cell>
          <cell r="H16">
            <v>73.098968185726562</v>
          </cell>
          <cell r="I16">
            <v>61.162854686156493</v>
          </cell>
          <cell r="J16">
            <v>50.221582115219249</v>
          </cell>
          <cell r="K16">
            <v>45.266981943250222</v>
          </cell>
          <cell r="L16">
            <v>49.651160791057599</v>
          </cell>
          <cell r="M16">
            <v>43.020550300945821</v>
          </cell>
          <cell r="N16">
            <v>47.079105760963017</v>
          </cell>
          <cell r="O16">
            <v>48.205073086844358</v>
          </cell>
          <cell r="P16">
            <v>48.288650042992259</v>
          </cell>
          <cell r="Q16">
            <v>42.342734307824578</v>
          </cell>
          <cell r="R16">
            <v>41.876612209802232</v>
          </cell>
          <cell r="S16">
            <v>41.447807394668963</v>
          </cell>
          <cell r="T16">
            <v>40.517282889079972</v>
          </cell>
          <cell r="U16">
            <v>45.032072226999126</v>
          </cell>
          <cell r="V16">
            <v>37.090627687016337</v>
          </cell>
          <cell r="W16">
            <v>40.018314703353397</v>
          </cell>
        </row>
        <row r="17">
          <cell r="B17">
            <v>380.34737747205497</v>
          </cell>
          <cell r="C17">
            <v>412.84737747205497</v>
          </cell>
          <cell r="D17">
            <v>384.73061049011181</v>
          </cell>
          <cell r="E17">
            <v>379.86362854686149</v>
          </cell>
          <cell r="F17">
            <v>356.52682717110918</v>
          </cell>
          <cell r="G17">
            <v>373.20610490111773</v>
          </cell>
          <cell r="H17">
            <v>236.62029234737739</v>
          </cell>
          <cell r="I17">
            <v>274.27644024075659</v>
          </cell>
          <cell r="J17">
            <v>205.64428202923469</v>
          </cell>
          <cell r="K17">
            <v>179.77067927773001</v>
          </cell>
          <cell r="L17">
            <v>174.11625107480651</v>
          </cell>
          <cell r="M17">
            <v>150.27110920034389</v>
          </cell>
          <cell r="N17">
            <v>130.73757523645739</v>
          </cell>
          <cell r="O17">
            <v>92.016852966466033</v>
          </cell>
          <cell r="P17">
            <v>93.047377472055032</v>
          </cell>
          <cell r="Q17">
            <v>101.143766122098</v>
          </cell>
          <cell r="R17">
            <v>96.088048151332742</v>
          </cell>
          <cell r="S17">
            <v>85.768615649183133</v>
          </cell>
          <cell r="T17">
            <v>79.114273430782461</v>
          </cell>
          <cell r="U17">
            <v>71.597936371453144</v>
          </cell>
          <cell r="V17">
            <v>68.463800515907124</v>
          </cell>
          <cell r="W17">
            <v>80.801547721410145</v>
          </cell>
        </row>
        <row r="18">
          <cell r="B18">
            <v>971.87506448839201</v>
          </cell>
          <cell r="C18">
            <v>820.75649183147038</v>
          </cell>
          <cell r="D18">
            <v>794.77618228718813</v>
          </cell>
          <cell r="E18">
            <v>767.28426483233011</v>
          </cell>
          <cell r="F18">
            <v>641.0047291487532</v>
          </cell>
          <cell r="G18">
            <v>436.74823731728281</v>
          </cell>
          <cell r="H18">
            <v>415.67411865864142</v>
          </cell>
          <cell r="I18">
            <v>430.3734307824592</v>
          </cell>
          <cell r="J18">
            <v>355.77059329320718</v>
          </cell>
          <cell r="K18">
            <v>254.04557179707649</v>
          </cell>
          <cell r="L18">
            <v>178.42106620808249</v>
          </cell>
          <cell r="M18">
            <v>102.0563198624247</v>
          </cell>
          <cell r="N18">
            <v>109.1650902837489</v>
          </cell>
          <cell r="O18">
            <v>82.650816852966443</v>
          </cell>
          <cell r="P18">
            <v>67.322098022355988</v>
          </cell>
          <cell r="Q18">
            <v>68.688907996560616</v>
          </cell>
          <cell r="R18">
            <v>73.825365434221837</v>
          </cell>
          <cell r="S18">
            <v>51.901547721410147</v>
          </cell>
          <cell r="T18">
            <v>49.40412725709372</v>
          </cell>
          <cell r="U18">
            <v>26.861994840928631</v>
          </cell>
          <cell r="V18">
            <v>14.220120378331901</v>
          </cell>
          <cell r="W18">
            <v>23.432416165090292</v>
          </cell>
        </row>
        <row r="19">
          <cell r="B19">
            <v>5.9762682717110911</v>
          </cell>
          <cell r="C19">
            <v>8.2367153912295787</v>
          </cell>
          <cell r="D19">
            <v>6.8804815133275996</v>
          </cell>
          <cell r="E19">
            <v>4.5707652622527952</v>
          </cell>
          <cell r="F19">
            <v>4.3931212381771294</v>
          </cell>
          <cell r="G19">
            <v>1.503955288048151</v>
          </cell>
          <cell r="H19">
            <v>5.5296646603611359</v>
          </cell>
          <cell r="I19">
            <v>1.2809974204643171</v>
          </cell>
          <cell r="J19">
            <v>1.254772141014618</v>
          </cell>
          <cell r="K19">
            <v>0.1784178847807395</v>
          </cell>
          <cell r="L19">
            <v>1.200773860705074</v>
          </cell>
          <cell r="M19">
            <v>7.394668959587275E-2</v>
          </cell>
          <cell r="N19">
            <v>8.2373172828890798E-2</v>
          </cell>
          <cell r="O19">
            <v>8.7618228718830599E-2</v>
          </cell>
          <cell r="P19">
            <v>8.9681857265692166E-2</v>
          </cell>
          <cell r="Q19">
            <v>5.9157351676698201E-2</v>
          </cell>
          <cell r="R19">
            <v>0.97936371453138438</v>
          </cell>
          <cell r="S19">
            <v>0.2990541702493551</v>
          </cell>
          <cell r="T19">
            <v>0.3065348237317283</v>
          </cell>
          <cell r="U19">
            <v>0.39277730008598438</v>
          </cell>
          <cell r="V19">
            <v>0.40739466895958731</v>
          </cell>
          <cell r="W19">
            <v>2.0083404987102318</v>
          </cell>
        </row>
        <row r="21">
          <cell r="B21">
            <v>4518.1771281169385</v>
          </cell>
          <cell r="C21">
            <v>4513.1515047291487</v>
          </cell>
          <cell r="D21">
            <v>4596.1316423043854</v>
          </cell>
          <cell r="E21">
            <v>4728.285038693034</v>
          </cell>
          <cell r="F21">
            <v>4381.8196044711949</v>
          </cell>
          <cell r="G21">
            <v>3179.0307824591569</v>
          </cell>
          <cell r="H21">
            <v>2998.798624247635</v>
          </cell>
          <cell r="I21">
            <v>2486.2851246775581</v>
          </cell>
          <cell r="J21">
            <v>2208.776440240757</v>
          </cell>
          <cell r="K21">
            <v>2010.607824591573</v>
          </cell>
          <cell r="L21">
            <v>1903.811521926053</v>
          </cell>
          <cell r="M21">
            <v>1877.0940670679281</v>
          </cell>
          <cell r="N21">
            <v>1818.2874462596731</v>
          </cell>
          <cell r="O21">
            <v>1836.907480653482</v>
          </cell>
          <cell r="P21">
            <v>1751.4506448839211</v>
          </cell>
          <cell r="Q21">
            <v>1707.8045571797079</v>
          </cell>
          <cell r="R21">
            <v>1760.034479793637</v>
          </cell>
          <cell r="S21">
            <v>1836.25279449699</v>
          </cell>
          <cell r="T21">
            <v>1742.1822012037831</v>
          </cell>
          <cell r="U21">
            <v>1700.7477214101459</v>
          </cell>
          <cell r="V21">
            <v>1553.174634565778</v>
          </cell>
          <cell r="W21">
            <v>1690.3392089423901</v>
          </cell>
        </row>
        <row r="22">
          <cell r="B22">
            <v>7.1367153912295782</v>
          </cell>
          <cell r="C22">
            <v>6.3628546861564912</v>
          </cell>
          <cell r="D22">
            <v>6.1049011177987964</v>
          </cell>
          <cell r="E22">
            <v>0</v>
          </cell>
          <cell r="F22">
            <v>0</v>
          </cell>
          <cell r="G22">
            <v>0</v>
          </cell>
          <cell r="H22">
            <v>0.1934651762682717</v>
          </cell>
          <cell r="I22">
            <v>0.1934651762682717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</row>
        <row r="24">
          <cell r="B24">
            <v>63.29406706792777</v>
          </cell>
          <cell r="C24">
            <v>67.545657781599303</v>
          </cell>
          <cell r="D24">
            <v>61.789423903697333</v>
          </cell>
          <cell r="E24">
            <v>75.355889939810837</v>
          </cell>
          <cell r="F24">
            <v>68.620378331900255</v>
          </cell>
          <cell r="G24">
            <v>69.020120378331896</v>
          </cell>
          <cell r="H24">
            <v>82.321582115219243</v>
          </cell>
          <cell r="I24">
            <v>71.21659501289767</v>
          </cell>
          <cell r="J24">
            <v>71.605159071367154</v>
          </cell>
          <cell r="K24">
            <v>67.957007738607047</v>
          </cell>
          <cell r="L24">
            <v>75.418658641444537</v>
          </cell>
          <cell r="M24">
            <v>77.3755803955288</v>
          </cell>
          <cell r="N24">
            <v>14.247549441100601</v>
          </cell>
          <cell r="O24">
            <v>20.3390369733448</v>
          </cell>
          <cell r="P24">
            <v>16.7158211521926</v>
          </cell>
          <cell r="Q24">
            <v>16.505073086844369</v>
          </cell>
          <cell r="R24">
            <v>18.345657781599311</v>
          </cell>
          <cell r="S24">
            <v>20.59441100601892</v>
          </cell>
          <cell r="T24">
            <v>27.701633705932931</v>
          </cell>
          <cell r="U24">
            <v>28.544024075666378</v>
          </cell>
          <cell r="V24">
            <v>27.633447979363709</v>
          </cell>
          <cell r="W24">
            <v>25.85993121238177</v>
          </cell>
        </row>
        <row r="25">
          <cell r="B25">
            <v>7.1625107480653469E-2</v>
          </cell>
          <cell r="C25">
            <v>0</v>
          </cell>
          <cell r="D25">
            <v>0.19105760963026661</v>
          </cell>
          <cell r="E25">
            <v>7.1625107480653469E-2</v>
          </cell>
          <cell r="F25">
            <v>4.7807394668959592E-2</v>
          </cell>
          <cell r="G25">
            <v>2.3903697334479789E-2</v>
          </cell>
          <cell r="H25">
            <v>0</v>
          </cell>
          <cell r="I25">
            <v>0.2149613069647463</v>
          </cell>
          <cell r="J25">
            <v>0.38349097162510742</v>
          </cell>
          <cell r="K25">
            <v>0.69535683576956142</v>
          </cell>
          <cell r="L25">
            <v>0.9840068787618228</v>
          </cell>
          <cell r="M25">
            <v>0.98865004299226134</v>
          </cell>
          <cell r="N25">
            <v>1.470335339638865</v>
          </cell>
          <cell r="O25">
            <v>1.2840928632846089</v>
          </cell>
          <cell r="P25">
            <v>1.1128116938950989</v>
          </cell>
          <cell r="Q25">
            <v>0.61650902837489252</v>
          </cell>
          <cell r="R25">
            <v>0.61246775580395529</v>
          </cell>
          <cell r="S25">
            <v>0.61057609630266541</v>
          </cell>
          <cell r="T25">
            <v>0.69613069647463455</v>
          </cell>
          <cell r="U25">
            <v>0.8023215821152192</v>
          </cell>
          <cell r="V25">
            <v>0.71109200343938095</v>
          </cell>
          <cell r="W25">
            <v>0.69097162510748056</v>
          </cell>
        </row>
        <row r="26"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6.878761822871883E-4</v>
          </cell>
          <cell r="J26">
            <v>4.815133276010318E-3</v>
          </cell>
          <cell r="K26">
            <v>8.5984522785898529E-4</v>
          </cell>
          <cell r="L26">
            <v>6.0189165950128975E-4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7.9105760963026645E-3</v>
          </cell>
          <cell r="R26">
            <v>0.10300945829750641</v>
          </cell>
          <cell r="S26">
            <v>0.22656921754084261</v>
          </cell>
          <cell r="T26">
            <v>0.27626827171109197</v>
          </cell>
          <cell r="U26">
            <v>0.2071367153912296</v>
          </cell>
          <cell r="V26">
            <v>0.16354256233877901</v>
          </cell>
          <cell r="W26">
            <v>0.21805674978503869</v>
          </cell>
        </row>
        <row r="27">
          <cell r="B27">
            <v>4.9871023215821153E-3</v>
          </cell>
          <cell r="C27">
            <v>8.6844368013757525E-3</v>
          </cell>
          <cell r="D27">
            <v>8.6844368013757525E-3</v>
          </cell>
          <cell r="E27">
            <v>8.6844368013757525E-3</v>
          </cell>
          <cell r="F27">
            <v>8.9423903697334467E-3</v>
          </cell>
          <cell r="G27">
            <v>1.9346517626827171E-2</v>
          </cell>
          <cell r="H27">
            <v>6.2940670679277722E-2</v>
          </cell>
          <cell r="I27">
            <v>6.2940670679277722E-2</v>
          </cell>
          <cell r="J27">
            <v>6.5262252794496989E-2</v>
          </cell>
          <cell r="K27">
            <v>6.5692175408426479E-2</v>
          </cell>
          <cell r="L27">
            <v>6.5692175408426479E-2</v>
          </cell>
          <cell r="M27">
            <v>6.5692175408426479E-2</v>
          </cell>
          <cell r="N27">
            <v>6.5692175408426479E-2</v>
          </cell>
          <cell r="O27">
            <v>7.1625107480653469E-2</v>
          </cell>
          <cell r="P27">
            <v>0.1251074806534824</v>
          </cell>
          <cell r="Q27">
            <v>0.1251074806534824</v>
          </cell>
          <cell r="R27">
            <v>0.1251074806534824</v>
          </cell>
          <cell r="S27">
            <v>0.1251074806534824</v>
          </cell>
          <cell r="T27">
            <v>0.1202063628546861</v>
          </cell>
          <cell r="U27">
            <v>0.1202063628546861</v>
          </cell>
          <cell r="V27">
            <v>0.1202063628546861</v>
          </cell>
          <cell r="W27">
            <v>0.1202063628546861</v>
          </cell>
        </row>
        <row r="28">
          <cell r="B28">
            <v>7.1625107480653469E-2</v>
          </cell>
          <cell r="C28">
            <v>0.1194325021496131</v>
          </cell>
          <cell r="D28">
            <v>4.7807394668959592E-2</v>
          </cell>
          <cell r="E28">
            <v>4.7807394668959592E-2</v>
          </cell>
          <cell r="F28">
            <v>0.1194325021496131</v>
          </cell>
          <cell r="G28">
            <v>0.1194325021496131</v>
          </cell>
          <cell r="H28">
            <v>0.16723989681857271</v>
          </cell>
          <cell r="I28">
            <v>0.1433361994840929</v>
          </cell>
          <cell r="J28">
            <v>0.1672398968185726</v>
          </cell>
          <cell r="K28">
            <v>0.14333619948409279</v>
          </cell>
          <cell r="L28">
            <v>0</v>
          </cell>
          <cell r="M28">
            <v>0.14333619948409279</v>
          </cell>
          <cell r="N28">
            <v>9.5528804815133275E-2</v>
          </cell>
          <cell r="O28">
            <v>2.3903697334479789E-2</v>
          </cell>
          <cell r="P28">
            <v>2.3903697334479789E-2</v>
          </cell>
          <cell r="Q28">
            <v>2.3903697334479789E-2</v>
          </cell>
          <cell r="R28">
            <v>2.3903697334479789E-2</v>
          </cell>
          <cell r="S28">
            <v>3.6371453138435081E-2</v>
          </cell>
          <cell r="T28">
            <v>0.18615649183147029</v>
          </cell>
          <cell r="U28">
            <v>6.964746345657781E-3</v>
          </cell>
          <cell r="V28">
            <v>4.9011177987962166E-3</v>
          </cell>
          <cell r="W28">
            <v>1.8916595012897679E-3</v>
          </cell>
        </row>
        <row r="29">
          <cell r="B29">
            <v>0.4098340361479621</v>
          </cell>
          <cell r="C29">
            <v>0.41708025553502281</v>
          </cell>
          <cell r="D29">
            <v>0.44521101549272268</v>
          </cell>
          <cell r="E29">
            <v>0.43116417845149391</v>
          </cell>
          <cell r="F29">
            <v>0.43346211817105518</v>
          </cell>
          <cell r="G29">
            <v>0.39059296391716619</v>
          </cell>
          <cell r="H29">
            <v>0.41171517616570169</v>
          </cell>
          <cell r="I29">
            <v>0.34090654896686873</v>
          </cell>
          <cell r="J29">
            <v>0.36611219057385092</v>
          </cell>
          <cell r="K29">
            <v>0.42706921620632499</v>
          </cell>
          <cell r="L29">
            <v>0.50089736840453059</v>
          </cell>
          <cell r="M29">
            <v>0.53598133992757613</v>
          </cell>
          <cell r="N29">
            <v>0.51009762034216077</v>
          </cell>
          <cell r="O29">
            <v>0.59242184207312787</v>
          </cell>
          <cell r="P29">
            <v>2.6307276490233051</v>
          </cell>
          <cell r="Q29">
            <v>2.988498705376784</v>
          </cell>
          <cell r="R29">
            <v>3.601170560850306</v>
          </cell>
          <cell r="S29">
            <v>3.422117981778884</v>
          </cell>
          <cell r="T29">
            <v>4.1294149682802992</v>
          </cell>
          <cell r="U29">
            <v>4.877468656051918</v>
          </cell>
          <cell r="V29">
            <v>5.3635654602731977</v>
          </cell>
          <cell r="W29">
            <v>5.1993955264622658</v>
          </cell>
        </row>
        <row r="30">
          <cell r="B30">
            <v>246.76999140154771</v>
          </cell>
          <cell r="C30">
            <v>258.76440240756659</v>
          </cell>
          <cell r="D30">
            <v>231.14333619948411</v>
          </cell>
          <cell r="E30">
            <v>273.43224419604468</v>
          </cell>
          <cell r="F30">
            <v>327.1865864144454</v>
          </cell>
          <cell r="G30">
            <v>323.17231298366289</v>
          </cell>
          <cell r="H30">
            <v>268.37325881341349</v>
          </cell>
          <cell r="I30">
            <v>229.26612209802241</v>
          </cell>
          <cell r="J30">
            <v>228.6847807394669</v>
          </cell>
          <cell r="K30">
            <v>163.93989681857261</v>
          </cell>
          <cell r="L30">
            <v>227.0570077386071</v>
          </cell>
          <cell r="M30">
            <v>215.0717110920034</v>
          </cell>
          <cell r="N30">
            <v>233.3457437661221</v>
          </cell>
          <cell r="O30">
            <v>160.8162510748065</v>
          </cell>
          <cell r="P30">
            <v>158.73336199484089</v>
          </cell>
          <cell r="Q30">
            <v>184.3199484092863</v>
          </cell>
          <cell r="R30">
            <v>147.24548581255371</v>
          </cell>
          <cell r="S30">
            <v>146.52364574376611</v>
          </cell>
          <cell r="T30">
            <v>156.83336199484091</v>
          </cell>
          <cell r="U30">
            <v>151.1508168529665</v>
          </cell>
          <cell r="V30">
            <v>125.7258813413586</v>
          </cell>
          <cell r="W30">
            <v>128.6525365434222</v>
          </cell>
        </row>
        <row r="31">
          <cell r="B31">
            <v>3142.8864144454001</v>
          </cell>
          <cell r="C31">
            <v>3150.6018056749781</v>
          </cell>
          <cell r="D31">
            <v>3135.7667239896819</v>
          </cell>
          <cell r="E31">
            <v>2925.8183147033528</v>
          </cell>
          <cell r="F31">
            <v>2783.4458297506449</v>
          </cell>
          <cell r="G31">
            <v>2590.3892519346518</v>
          </cell>
          <cell r="H31">
            <v>2383.398710232158</v>
          </cell>
          <cell r="I31">
            <v>2342.2913155631991</v>
          </cell>
          <cell r="J31">
            <v>2105.7420464316419</v>
          </cell>
          <cell r="K31">
            <v>1726.2211521926049</v>
          </cell>
          <cell r="L31">
            <v>1788.570421324162</v>
          </cell>
          <cell r="M31">
            <v>1710.182545141874</v>
          </cell>
          <cell r="N31">
            <v>1622.114617368873</v>
          </cell>
          <cell r="O31">
            <v>1591.338177128117</v>
          </cell>
          <cell r="P31">
            <v>1552.5484952708509</v>
          </cell>
          <cell r="Q31">
            <v>1552.3515907136709</v>
          </cell>
          <cell r="R31">
            <v>1528.223043852106</v>
          </cell>
          <cell r="S31">
            <v>1514.3453998280311</v>
          </cell>
          <cell r="T31">
            <v>1566.282373172829</v>
          </cell>
          <cell r="U31">
            <v>1553.4945829750641</v>
          </cell>
          <cell r="V31">
            <v>1362.5844368013759</v>
          </cell>
          <cell r="W31">
            <v>1373.4834909716251</v>
          </cell>
        </row>
        <row r="33">
          <cell r="B33">
            <v>16519.796298681169</v>
          </cell>
          <cell r="C33">
            <v>15995.26345143799</v>
          </cell>
          <cell r="D33">
            <v>15871.750968752491</v>
          </cell>
          <cell r="E33">
            <v>15900.81021898106</v>
          </cell>
          <cell r="F33">
            <v>14448.05169365081</v>
          </cell>
          <cell r="G33">
            <v>10820.11349068199</v>
          </cell>
          <cell r="H33">
            <v>9814.0431089786398</v>
          </cell>
          <cell r="I33">
            <v>8613.5341928190246</v>
          </cell>
          <cell r="J33">
            <v>7413.3755487177659</v>
          </cell>
          <cell r="K33">
            <v>6390.3216739674226</v>
          </cell>
          <cell r="L33">
            <v>5878.1643726741186</v>
          </cell>
          <cell r="M33">
            <v>5428.2652737243516</v>
          </cell>
          <cell r="N33">
            <v>5242.6421793241843</v>
          </cell>
          <cell r="O33">
            <v>5095.4960361045914</v>
          </cell>
          <cell r="P33">
            <v>4839.2123227306629</v>
          </cell>
          <cell r="Q33">
            <v>4748.6180572193161</v>
          </cell>
          <cell r="R33">
            <v>4870.756374040724</v>
          </cell>
          <cell r="S33">
            <v>4929.3913889485902</v>
          </cell>
          <cell r="T33">
            <v>4731.8328829359543</v>
          </cell>
          <cell r="U33">
            <v>4544.6917993219113</v>
          </cell>
          <cell r="V33">
            <v>4091.9678680627931</v>
          </cell>
          <cell r="W33">
            <v>4468.7498824686991</v>
          </cell>
        </row>
        <row r="38">
          <cell r="B38">
            <v>1.6931457183612171</v>
          </cell>
          <cell r="C38">
            <v>1.6594087621944582</v>
          </cell>
          <cell r="D38">
            <v>1.6571133178976036</v>
          </cell>
          <cell r="E38">
            <v>1.6774557630599227</v>
          </cell>
          <cell r="F38">
            <v>1.634804699445447</v>
          </cell>
          <cell r="G38">
            <v>1.5038040034891622</v>
          </cell>
          <cell r="H38">
            <v>1.4919679351409989</v>
          </cell>
          <cell r="I38">
            <v>1.4385280008503234</v>
          </cell>
          <cell r="J38">
            <v>1.3980162264415894</v>
          </cell>
          <cell r="K38">
            <v>1.4229169141330169</v>
          </cell>
          <cell r="L38">
            <v>1.3244443321760344</v>
          </cell>
          <cell r="M38">
            <v>1.2912146894899172</v>
          </cell>
          <cell r="N38">
            <v>1.3110078707401804</v>
          </cell>
          <cell r="O38">
            <v>1.3204710872174021</v>
          </cell>
          <cell r="P38">
            <v>1.3029816041940749</v>
          </cell>
          <cell r="Q38">
            <v>1.28387440793133</v>
          </cell>
          <cell r="R38">
            <v>1.3194106143601745</v>
          </cell>
          <cell r="S38">
            <v>1.3255278005235924</v>
          </cell>
          <cell r="T38">
            <v>1.2794578024035241</v>
          </cell>
          <cell r="U38">
            <v>1.2579610191921642</v>
          </cell>
          <cell r="V38">
            <v>1.2720859040164216</v>
          </cell>
          <cell r="W38">
            <v>1.3200376450308249</v>
          </cell>
        </row>
      </sheetData>
      <sheetData sheetId="39"/>
      <sheetData sheetId="40"/>
      <sheetData sheetId="41"/>
      <sheetData sheetId="42">
        <row r="3">
          <cell r="B3">
            <v>41579.616756122377</v>
          </cell>
          <cell r="C3">
            <v>41349.592455131969</v>
          </cell>
          <cell r="D3">
            <v>39943.138773995619</v>
          </cell>
          <cell r="E3">
            <v>39695.905423708558</v>
          </cell>
          <cell r="F3">
            <v>40177.026455451407</v>
          </cell>
          <cell r="G3">
            <v>39527.931727599876</v>
          </cell>
          <cell r="H3">
            <v>41237.861454214908</v>
          </cell>
          <cell r="I3">
            <v>43287.784983568461</v>
          </cell>
          <cell r="J3">
            <v>38868.9891473561</v>
          </cell>
          <cell r="K3">
            <v>33416.85622909449</v>
          </cell>
          <cell r="L3">
            <v>35442.277410819843</v>
          </cell>
          <cell r="M3">
            <v>35090.781371396333</v>
          </cell>
          <cell r="N3">
            <v>32307.947823464201</v>
          </cell>
          <cell r="O3">
            <v>31390.939389116858</v>
          </cell>
          <cell r="P3">
            <v>31970.54591582144</v>
          </cell>
          <cell r="Q3">
            <v>33382.199999999997</v>
          </cell>
          <cell r="R3">
            <v>33467.603242009383</v>
          </cell>
          <cell r="S3">
            <v>34606.533339591813</v>
          </cell>
          <cell r="T3">
            <v>35147.647629453568</v>
          </cell>
          <cell r="U3">
            <v>35842.785478975748</v>
          </cell>
          <cell r="V3">
            <v>35642.34472863876</v>
          </cell>
          <cell r="W3">
            <v>43921.250566485913</v>
          </cell>
        </row>
        <row r="12">
          <cell r="B12">
            <v>6474.7755301560637</v>
          </cell>
          <cell r="C12">
            <v>6176.1692112769651</v>
          </cell>
          <cell r="D12">
            <v>6287.0275884817302</v>
          </cell>
          <cell r="E12">
            <v>6877.9886103523477</v>
          </cell>
          <cell r="F12">
            <v>7619.9660389226883</v>
          </cell>
          <cell r="G12">
            <v>7275.2361060954672</v>
          </cell>
          <cell r="H12">
            <v>7003.2611046532229</v>
          </cell>
          <cell r="I12">
            <v>7567.0061565355154</v>
          </cell>
          <cell r="J12">
            <v>7440.060600195141</v>
          </cell>
          <cell r="K12">
            <v>7165.6224752455664</v>
          </cell>
          <cell r="L12">
            <v>7749.0222135149697</v>
          </cell>
          <cell r="M12">
            <v>7893.7930108544997</v>
          </cell>
          <cell r="N12">
            <v>7874.208526221385</v>
          </cell>
          <cell r="O12">
            <v>7987.5182532552271</v>
          </cell>
          <cell r="P12">
            <v>7834.008437698044</v>
          </cell>
          <cell r="Q12">
            <v>8092.0054261134947</v>
          </cell>
          <cell r="R12">
            <v>8503.8499268441774</v>
          </cell>
          <cell r="S12">
            <v>8635.4569872914635</v>
          </cell>
          <cell r="T12">
            <v>8757.0608868728668</v>
          </cell>
          <cell r="U12">
            <v>8542.6088777990753</v>
          </cell>
          <cell r="V12">
            <v>8609.5844353380635</v>
          </cell>
          <cell r="W12">
            <v>9358.8496214730258</v>
          </cell>
        </row>
        <row r="13">
          <cell r="B13">
            <v>168.37403267411861</v>
          </cell>
          <cell r="C13">
            <v>153.8566638005158</v>
          </cell>
          <cell r="D13">
            <v>143.88847807394669</v>
          </cell>
          <cell r="E13">
            <v>153.87102321582111</v>
          </cell>
          <cell r="F13">
            <v>157.97583834909719</v>
          </cell>
          <cell r="G13">
            <v>144.8722269991402</v>
          </cell>
          <cell r="H13">
            <v>149.74522785898529</v>
          </cell>
          <cell r="I13">
            <v>155.10730868443679</v>
          </cell>
          <cell r="J13">
            <v>125.09363714531381</v>
          </cell>
          <cell r="K13">
            <v>93.451418744625968</v>
          </cell>
          <cell r="L13">
            <v>103.2049871023216</v>
          </cell>
          <cell r="M13">
            <v>100.24385210662081</v>
          </cell>
          <cell r="N13">
            <v>43.222269991401546</v>
          </cell>
          <cell r="O13">
            <v>38.846861564918321</v>
          </cell>
          <cell r="P13">
            <v>45.338779019776439</v>
          </cell>
          <cell r="Q13">
            <v>41.126311263972482</v>
          </cell>
          <cell r="R13">
            <v>38.311607910576093</v>
          </cell>
          <cell r="S13">
            <v>44.428546861564911</v>
          </cell>
          <cell r="T13">
            <v>45.206362854686162</v>
          </cell>
          <cell r="U13">
            <v>36.311435941530533</v>
          </cell>
          <cell r="V13">
            <v>30.351848667239889</v>
          </cell>
          <cell r="W13">
            <v>35.249957007738608</v>
          </cell>
        </row>
        <row r="15"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</row>
        <row r="16">
          <cell r="B16">
            <v>42.038435081685293</v>
          </cell>
          <cell r="C16">
            <v>41.596044711951848</v>
          </cell>
          <cell r="D16">
            <v>33.646345657781588</v>
          </cell>
          <cell r="E16">
            <v>29.044110060189158</v>
          </cell>
          <cell r="F16">
            <v>21.35786758383491</v>
          </cell>
          <cell r="G16">
            <v>29.661306964746341</v>
          </cell>
          <cell r="H16">
            <v>31.053310404127249</v>
          </cell>
          <cell r="I16">
            <v>29.44006878761822</v>
          </cell>
          <cell r="J16">
            <v>28.09312123817713</v>
          </cell>
          <cell r="K16">
            <v>30.27454858125537</v>
          </cell>
          <cell r="L16">
            <v>31.16629406706792</v>
          </cell>
          <cell r="M16">
            <v>25.268271711092002</v>
          </cell>
          <cell r="N16">
            <v>19.492433361994841</v>
          </cell>
          <cell r="O16">
            <v>17.55227858985382</v>
          </cell>
          <cell r="P16">
            <v>20.603869303525361</v>
          </cell>
          <cell r="Q16">
            <v>18.38220120378331</v>
          </cell>
          <cell r="R16">
            <v>19.493121238177121</v>
          </cell>
          <cell r="S16">
            <v>23.01564918314703</v>
          </cell>
          <cell r="T16">
            <v>19.78091143594153</v>
          </cell>
          <cell r="U16">
            <v>20.836715391229571</v>
          </cell>
          <cell r="V16">
            <v>26.126741186586411</v>
          </cell>
          <cell r="W16">
            <v>30.119174548581249</v>
          </cell>
        </row>
        <row r="17">
          <cell r="B17">
            <v>181.23628546861559</v>
          </cell>
          <cell r="C17">
            <v>220.74479793637141</v>
          </cell>
          <cell r="D17">
            <v>153.0993121238177</v>
          </cell>
          <cell r="E17">
            <v>163.05846947549441</v>
          </cell>
          <cell r="F17">
            <v>214.70464316423039</v>
          </cell>
          <cell r="G17">
            <v>178.09828030954429</v>
          </cell>
          <cell r="H17">
            <v>171.60670679277729</v>
          </cell>
          <cell r="I17">
            <v>170.6648323301805</v>
          </cell>
          <cell r="J17">
            <v>132.55227858985381</v>
          </cell>
          <cell r="K17">
            <v>116.6561478933792</v>
          </cell>
          <cell r="L17">
            <v>136.93138435081681</v>
          </cell>
          <cell r="M17">
            <v>116.0312983662941</v>
          </cell>
          <cell r="N17">
            <v>109.6723989681857</v>
          </cell>
          <cell r="O17">
            <v>103.6489251934652</v>
          </cell>
          <cell r="P17">
            <v>102.4166809974205</v>
          </cell>
          <cell r="Q17">
            <v>119.4213241616509</v>
          </cell>
          <cell r="R17">
            <v>124.1541702493551</v>
          </cell>
          <cell r="S17">
            <v>133.120894239037</v>
          </cell>
          <cell r="T17">
            <v>160.35245055889939</v>
          </cell>
          <cell r="U17">
            <v>147.62003439380911</v>
          </cell>
          <cell r="V17">
            <v>136.85305245055889</v>
          </cell>
          <cell r="W17">
            <v>145.3551160791057</v>
          </cell>
        </row>
        <row r="18">
          <cell r="B18">
            <v>339.35889939810829</v>
          </cell>
          <cell r="C18">
            <v>276.21857265692171</v>
          </cell>
          <cell r="D18">
            <v>250.40352536543421</v>
          </cell>
          <cell r="E18">
            <v>223.41736887360281</v>
          </cell>
          <cell r="F18">
            <v>229.78718830610489</v>
          </cell>
          <cell r="G18">
            <v>203.16534823731729</v>
          </cell>
          <cell r="H18">
            <v>222.41573516766979</v>
          </cell>
          <cell r="I18">
            <v>184.74557179707651</v>
          </cell>
          <cell r="J18">
            <v>121.157437661221</v>
          </cell>
          <cell r="K18">
            <v>100.69802235597589</v>
          </cell>
          <cell r="L18">
            <v>95.290799656061907</v>
          </cell>
          <cell r="M18">
            <v>85.854256233877891</v>
          </cell>
          <cell r="N18">
            <v>54.630954428202919</v>
          </cell>
          <cell r="O18">
            <v>44.618228718830608</v>
          </cell>
          <cell r="P18">
            <v>31.85846947549441</v>
          </cell>
          <cell r="Q18">
            <v>24.809286328460871</v>
          </cell>
          <cell r="R18">
            <v>33.508598452278591</v>
          </cell>
          <cell r="S18">
            <v>27.867841788478071</v>
          </cell>
          <cell r="T18">
            <v>22.706104901117801</v>
          </cell>
          <cell r="U18">
            <v>21.574204643164229</v>
          </cell>
          <cell r="V18">
            <v>22.805503009458299</v>
          </cell>
          <cell r="W18">
            <v>18.970507308684439</v>
          </cell>
        </row>
        <row r="19">
          <cell r="B19">
            <v>9.1064488392089409</v>
          </cell>
          <cell r="C19">
            <v>10.149097162510749</v>
          </cell>
          <cell r="D19">
            <v>3.9487532244196051</v>
          </cell>
          <cell r="E19">
            <v>4.993809114359415</v>
          </cell>
          <cell r="F19">
            <v>4.9828030954428204</v>
          </cell>
          <cell r="G19">
            <v>2.597506448839209</v>
          </cell>
          <cell r="H19">
            <v>3.5423903697334471</v>
          </cell>
          <cell r="I19">
            <v>6.0582975064488389</v>
          </cell>
          <cell r="J19">
            <v>4.8041272570937243</v>
          </cell>
          <cell r="K19">
            <v>4.6527085124677559</v>
          </cell>
          <cell r="L19">
            <v>3.6349957007738611</v>
          </cell>
          <cell r="M19">
            <v>0.33052450558899388</v>
          </cell>
          <cell r="N19">
            <v>1.3611349957007739</v>
          </cell>
          <cell r="O19">
            <v>0.35245055889939808</v>
          </cell>
          <cell r="P19">
            <v>0.38718830610490113</v>
          </cell>
          <cell r="Q19">
            <v>0.27833190025795362</v>
          </cell>
          <cell r="R19">
            <v>0.34075666380051578</v>
          </cell>
          <cell r="S19">
            <v>1.528460877042132</v>
          </cell>
          <cell r="T19">
            <v>0.95855546001719683</v>
          </cell>
          <cell r="U19">
            <v>1.473688736027515</v>
          </cell>
          <cell r="V19">
            <v>0.91607910576096296</v>
          </cell>
          <cell r="W19">
            <v>0.88529664660361129</v>
          </cell>
        </row>
        <row r="21">
          <cell r="B21">
            <v>456.4354256233878</v>
          </cell>
          <cell r="C21">
            <v>468.96345657781598</v>
          </cell>
          <cell r="D21">
            <v>492.67153912295782</v>
          </cell>
          <cell r="E21">
            <v>564.6122098022355</v>
          </cell>
          <cell r="F21">
            <v>775.8041272570938</v>
          </cell>
          <cell r="G21">
            <v>775.18400687876181</v>
          </cell>
          <cell r="H21">
            <v>594.14127257093719</v>
          </cell>
          <cell r="I21">
            <v>577.25778159931212</v>
          </cell>
          <cell r="J21">
            <v>713.87876182287187</v>
          </cell>
          <cell r="K21">
            <v>580.88142734307826</v>
          </cell>
          <cell r="L21">
            <v>659.63284608770414</v>
          </cell>
          <cell r="M21">
            <v>722.17618228718823</v>
          </cell>
          <cell r="N21">
            <v>642.03224419604476</v>
          </cell>
          <cell r="O21">
            <v>631.58779019776432</v>
          </cell>
          <cell r="P21">
            <v>540.17523645743768</v>
          </cell>
          <cell r="Q21">
            <v>548.87188306104895</v>
          </cell>
          <cell r="R21">
            <v>581.68374892519341</v>
          </cell>
          <cell r="S21">
            <v>562.04213241616503</v>
          </cell>
          <cell r="T21">
            <v>572.58013757523645</v>
          </cell>
          <cell r="U21">
            <v>512.35227858985377</v>
          </cell>
          <cell r="V21">
            <v>469.76698194325019</v>
          </cell>
          <cell r="W21">
            <v>598.24333619948402</v>
          </cell>
        </row>
        <row r="22">
          <cell r="B22">
            <v>20.808254514187439</v>
          </cell>
          <cell r="C22">
            <v>18.615649183147031</v>
          </cell>
          <cell r="D22">
            <v>17.863284608770421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</row>
        <row r="24">
          <cell r="B24">
            <v>3263.2080825451421</v>
          </cell>
          <cell r="C24">
            <v>2933.7439380911428</v>
          </cell>
          <cell r="D24">
            <v>3075.8572656921751</v>
          </cell>
          <cell r="E24">
            <v>3560.475752364574</v>
          </cell>
          <cell r="F24">
            <v>3889.0802235597589</v>
          </cell>
          <cell r="G24">
            <v>3552.449613069648</v>
          </cell>
          <cell r="H24">
            <v>3385.411779879621</v>
          </cell>
          <cell r="I24">
            <v>3668.723043852106</v>
          </cell>
          <cell r="J24">
            <v>3593.9526225279451</v>
          </cell>
          <cell r="K24">
            <v>3781.7981083404979</v>
          </cell>
          <cell r="L24">
            <v>4167.0258813413584</v>
          </cell>
          <cell r="M24">
            <v>4298.0724849527078</v>
          </cell>
          <cell r="N24">
            <v>4432.2361134995699</v>
          </cell>
          <cell r="O24">
            <v>4588.4247635425618</v>
          </cell>
          <cell r="P24">
            <v>4653.1806534823727</v>
          </cell>
          <cell r="Q24">
            <v>4831.8149613069654</v>
          </cell>
          <cell r="R24">
            <v>5096.0094582975062</v>
          </cell>
          <cell r="S24">
            <v>5024.6031814273429</v>
          </cell>
          <cell r="T24">
            <v>5054.2969905417021</v>
          </cell>
          <cell r="U24">
            <v>4936.8134135855544</v>
          </cell>
          <cell r="V24">
            <v>4955.3909716251073</v>
          </cell>
          <cell r="W24">
            <v>5306.8940670679267</v>
          </cell>
        </row>
        <row r="25">
          <cell r="B25">
            <v>0.7165090283748925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9.9742046431642306E-3</v>
          </cell>
          <cell r="K25">
            <v>3.6801375752364571E-2</v>
          </cell>
          <cell r="L25">
            <v>4.4883920894239038E-2</v>
          </cell>
          <cell r="M25">
            <v>5.941530524505588E-2</v>
          </cell>
          <cell r="N25">
            <v>0.32708512467755801</v>
          </cell>
          <cell r="O25">
            <v>0.58856405846947557</v>
          </cell>
          <cell r="P25">
            <v>0.25726569217540851</v>
          </cell>
          <cell r="Q25">
            <v>1.4052450558899401</v>
          </cell>
          <cell r="R25">
            <v>1.397420464316423</v>
          </cell>
          <cell r="S25">
            <v>0.41685296646603609</v>
          </cell>
          <cell r="T25">
            <v>1.221152192605331</v>
          </cell>
          <cell r="U25">
            <v>0.73301805674978493</v>
          </cell>
          <cell r="V25">
            <v>0.83826311263972464</v>
          </cell>
          <cell r="W25">
            <v>0.86268271711091993</v>
          </cell>
        </row>
        <row r="26"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1.0920034393809111E-2</v>
          </cell>
          <cell r="H26">
            <v>6.1994840928632847E-2</v>
          </cell>
          <cell r="I26">
            <v>0.98452278589853826</v>
          </cell>
          <cell r="J26">
            <v>9.4067067927773002E-2</v>
          </cell>
          <cell r="K26">
            <v>0.8848667239896818</v>
          </cell>
          <cell r="L26">
            <v>0.1075666380051591</v>
          </cell>
          <cell r="M26">
            <v>0.14084264832330179</v>
          </cell>
          <cell r="N26">
            <v>0.66956147893379181</v>
          </cell>
          <cell r="O26">
            <v>0.20163370593293209</v>
          </cell>
          <cell r="P26">
            <v>0.35967325881341361</v>
          </cell>
          <cell r="Q26">
            <v>1.1560619088564059</v>
          </cell>
          <cell r="R26">
            <v>6.7612209802235599</v>
          </cell>
          <cell r="S26">
            <v>8.1375752364574367</v>
          </cell>
          <cell r="T26">
            <v>11.16104901117799</v>
          </cell>
          <cell r="U26">
            <v>10.445743766122099</v>
          </cell>
          <cell r="V26">
            <v>8.4567497850386921</v>
          </cell>
          <cell r="W26">
            <v>9.4693895098882201</v>
          </cell>
        </row>
        <row r="27">
          <cell r="B27">
            <v>4.9871023215821153E-3</v>
          </cell>
          <cell r="C27">
            <v>4.9871023215821153E-3</v>
          </cell>
          <cell r="D27">
            <v>4.9871023215821153E-3</v>
          </cell>
          <cell r="E27">
            <v>6.964746345657781E-3</v>
          </cell>
          <cell r="F27">
            <v>9.630266552020636E-3</v>
          </cell>
          <cell r="G27">
            <v>9.630266552020636E-3</v>
          </cell>
          <cell r="H27">
            <v>1.023215821152192E-2</v>
          </cell>
          <cell r="I27">
            <v>5.3310404127257091E-3</v>
          </cell>
          <cell r="J27">
            <v>5.5889939810834051E-3</v>
          </cell>
          <cell r="K27">
            <v>5.5889939810834051E-3</v>
          </cell>
          <cell r="L27">
            <v>5.5889939810834051E-3</v>
          </cell>
          <cell r="M27">
            <v>6.2768701633705926E-3</v>
          </cell>
          <cell r="N27">
            <v>6.2768701633705926E-3</v>
          </cell>
          <cell r="O27">
            <v>6.2768701633705926E-3</v>
          </cell>
          <cell r="P27">
            <v>6.2768701633705926E-3</v>
          </cell>
          <cell r="Q27">
            <v>6.2768701633705926E-3</v>
          </cell>
          <cell r="R27">
            <v>6.5348237317282886E-3</v>
          </cell>
          <cell r="S27">
            <v>6.5348237317282886E-3</v>
          </cell>
          <cell r="T27">
            <v>6.5348237317282886E-3</v>
          </cell>
          <cell r="U27">
            <v>1.4101461736887359E-2</v>
          </cell>
          <cell r="V27">
            <v>1.4875322441960451E-2</v>
          </cell>
          <cell r="W27">
            <v>1.4875322441960451E-2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4.7807394668959592E-2</v>
          </cell>
          <cell r="I28">
            <v>4.7807394668959592E-2</v>
          </cell>
          <cell r="J28">
            <v>0</v>
          </cell>
          <cell r="K28">
            <v>0</v>
          </cell>
          <cell r="L28">
            <v>4.7807394668959592E-2</v>
          </cell>
          <cell r="M28">
            <v>0</v>
          </cell>
          <cell r="N28">
            <v>2.3903697334479789E-2</v>
          </cell>
          <cell r="O28">
            <v>2.3903697334479789E-2</v>
          </cell>
          <cell r="P28">
            <v>2.3903697334479789E-2</v>
          </cell>
          <cell r="Q28">
            <v>2.3903697334479789E-2</v>
          </cell>
          <cell r="R28">
            <v>2.3903697334479789E-2</v>
          </cell>
          <cell r="S28">
            <v>2.5279449699054171E-2</v>
          </cell>
          <cell r="T28">
            <v>2.6999140154772141E-2</v>
          </cell>
          <cell r="U28">
            <v>1.2037833190025791E-3</v>
          </cell>
          <cell r="V28">
            <v>0</v>
          </cell>
          <cell r="W28">
            <v>0</v>
          </cell>
        </row>
        <row r="29">
          <cell r="B29">
            <v>0.9378689350844398</v>
          </cell>
          <cell r="C29">
            <v>0.87806768281294256</v>
          </cell>
          <cell r="D29">
            <v>0.77040877407766084</v>
          </cell>
          <cell r="E29">
            <v>0.69815463437757386</v>
          </cell>
          <cell r="F29">
            <v>0.70129257703101811</v>
          </cell>
          <cell r="G29">
            <v>1.0125463362239271</v>
          </cell>
          <cell r="H29">
            <v>1.1260229679265199</v>
          </cell>
          <cell r="I29">
            <v>1.2950645320770919</v>
          </cell>
          <cell r="J29">
            <v>1.269542585510949</v>
          </cell>
          <cell r="K29">
            <v>1.374409897329788</v>
          </cell>
          <cell r="L29">
            <v>1.520837762606208</v>
          </cell>
          <cell r="M29">
            <v>1.6552636489974579</v>
          </cell>
          <cell r="N29">
            <v>1.634063624652454</v>
          </cell>
          <cell r="O29">
            <v>1.73966340140203</v>
          </cell>
          <cell r="P29">
            <v>4.7797188674339779</v>
          </cell>
          <cell r="Q29">
            <v>5.6725800257912677</v>
          </cell>
          <cell r="R29">
            <v>7.3954986412553234</v>
          </cell>
          <cell r="S29">
            <v>8.2357491143361159</v>
          </cell>
          <cell r="T29">
            <v>9.5670777585097095</v>
          </cell>
          <cell r="U29">
            <v>10.398559656341121</v>
          </cell>
          <cell r="V29">
            <v>11.2024061033256</v>
          </cell>
          <cell r="W29">
            <v>12.125201868554591</v>
          </cell>
        </row>
        <row r="30">
          <cell r="B30">
            <v>67.615993121238176</v>
          </cell>
          <cell r="C30">
            <v>61.271969045571787</v>
          </cell>
          <cell r="D30">
            <v>60.257953568357678</v>
          </cell>
          <cell r="E30">
            <v>90.567497850386914</v>
          </cell>
          <cell r="F30">
            <v>138.27248495270851</v>
          </cell>
          <cell r="G30">
            <v>162.51255374032669</v>
          </cell>
          <cell r="H30">
            <v>197.24196044711951</v>
          </cell>
          <cell r="I30">
            <v>459.89819432502151</v>
          </cell>
          <cell r="J30">
            <v>436.29991401547721</v>
          </cell>
          <cell r="K30">
            <v>413.05855546001709</v>
          </cell>
          <cell r="L30">
            <v>456.44789337919173</v>
          </cell>
          <cell r="M30">
            <v>471.41160791057598</v>
          </cell>
          <cell r="N30">
            <v>544.18220120378317</v>
          </cell>
          <cell r="O30">
            <v>546.71616509028377</v>
          </cell>
          <cell r="P30">
            <v>482.58581255374031</v>
          </cell>
          <cell r="Q30">
            <v>473.02785898538258</v>
          </cell>
          <cell r="R30">
            <v>504.93680137575228</v>
          </cell>
          <cell r="S30">
            <v>602.3179707652622</v>
          </cell>
          <cell r="T30">
            <v>629.13267411865866</v>
          </cell>
          <cell r="U30">
            <v>613.60455717970763</v>
          </cell>
          <cell r="V30">
            <v>733.28968185726569</v>
          </cell>
          <cell r="W30">
            <v>771.59054170249351</v>
          </cell>
        </row>
        <row r="31">
          <cell r="B31">
            <v>1924.9343078245911</v>
          </cell>
          <cell r="C31">
            <v>1990.125967325881</v>
          </cell>
          <cell r="D31">
            <v>2054.6157351676702</v>
          </cell>
          <cell r="E31">
            <v>2087.2432502149609</v>
          </cell>
          <cell r="F31">
            <v>2187.2899398108339</v>
          </cell>
          <cell r="G31">
            <v>2225.6621668099742</v>
          </cell>
          <cell r="H31">
            <v>2246.8566638005159</v>
          </cell>
          <cell r="I31">
            <v>2312.7783319002569</v>
          </cell>
          <cell r="J31">
            <v>2282.849527085124</v>
          </cell>
          <cell r="K31">
            <v>2041.8498710232161</v>
          </cell>
          <cell r="L31">
            <v>2093.960447119518</v>
          </cell>
          <cell r="M31">
            <v>2072.542734307825</v>
          </cell>
          <cell r="N31">
            <v>2024.717884780739</v>
          </cell>
          <cell r="O31">
            <v>2013.2107480653481</v>
          </cell>
          <cell r="P31">
            <v>1952.0349097162509</v>
          </cell>
          <cell r="Q31">
            <v>2026.0092003439379</v>
          </cell>
          <cell r="R31">
            <v>2089.827085124678</v>
          </cell>
          <cell r="S31">
            <v>2199.7103181427342</v>
          </cell>
          <cell r="T31">
            <v>2230.0638865004289</v>
          </cell>
          <cell r="U31">
            <v>2230.4299226139301</v>
          </cell>
          <cell r="V31">
            <v>2213.5712811693888</v>
          </cell>
          <cell r="W31">
            <v>2429.0694754944111</v>
          </cell>
        </row>
        <row r="33">
          <cell r="B33">
            <v>3884.402440658288</v>
          </cell>
          <cell r="C33">
            <v>3808.3763210683951</v>
          </cell>
          <cell r="D33">
            <v>3497.389499167341</v>
          </cell>
          <cell r="E33">
            <v>3680.7363418372202</v>
          </cell>
          <cell r="F33">
            <v>4282.231112266837</v>
          </cell>
          <cell r="G33">
            <v>4056.0136856348772</v>
          </cell>
          <cell r="H33">
            <v>4020.6609574890631</v>
          </cell>
          <cell r="I33">
            <v>3491.5518919543979</v>
          </cell>
          <cell r="J33">
            <v>3311.613749538772</v>
          </cell>
          <cell r="K33">
            <v>2791.3570762974341</v>
          </cell>
          <cell r="L33">
            <v>2901.501120488108</v>
          </cell>
          <cell r="M33">
            <v>2940.232801693598</v>
          </cell>
          <cell r="N33">
            <v>2365.0905610945129</v>
          </cell>
          <cell r="O33">
            <v>2220.120897903174</v>
          </cell>
          <cell r="P33">
            <v>2006.590795581063</v>
          </cell>
          <cell r="Q33">
            <v>2026.6277756114009</v>
          </cell>
          <cell r="R33">
            <v>2159.5706354617728</v>
          </cell>
          <cell r="S33">
            <v>2159.5524546320912</v>
          </cell>
          <cell r="T33">
            <v>2309.1046658148248</v>
          </cell>
          <cell r="U33">
            <v>2060.1202242305708</v>
          </cell>
          <cell r="V33">
            <v>1887.207751840489</v>
          </cell>
          <cell r="W33">
            <v>2305.784679631648</v>
          </cell>
        </row>
        <row r="38">
          <cell r="B38">
            <v>0.59992851065906538</v>
          </cell>
          <cell r="C38">
            <v>0.61662434929968302</v>
          </cell>
          <cell r="D38">
            <v>0.55628664737765754</v>
          </cell>
          <cell r="E38">
            <v>0.53514719932760435</v>
          </cell>
          <cell r="F38">
            <v>0.56197509154151815</v>
          </cell>
          <cell r="G38">
            <v>0.55750956071880553</v>
          </cell>
          <cell r="H38">
            <v>0.57411267371105001</v>
          </cell>
          <cell r="I38">
            <v>0.46141787382303029</v>
          </cell>
          <cell r="J38">
            <v>0.4451057494682118</v>
          </cell>
          <cell r="K38">
            <v>0.38954844271247685</v>
          </cell>
          <cell r="L38">
            <v>0.37443448225346898</v>
          </cell>
          <cell r="M38">
            <v>0.37247401821286408</v>
          </cell>
          <cell r="N38">
            <v>0.30035914761701826</v>
          </cell>
          <cell r="O38">
            <v>0.27794877301199122</v>
          </cell>
          <cell r="P38">
            <v>0.25613845217796094</v>
          </cell>
          <cell r="Q38">
            <v>0.25044814837510176</v>
          </cell>
          <cell r="R38">
            <v>0.25395211040174137</v>
          </cell>
          <cell r="S38">
            <v>0.25007969558649162</v>
          </cell>
          <cell r="T38">
            <v>0.26368489332719514</v>
          </cell>
          <cell r="U38">
            <v>0.24115820514556224</v>
          </cell>
          <cell r="V38">
            <v>0.21919847189074998</v>
          </cell>
          <cell r="W38">
            <v>0.24637479742608917</v>
          </cell>
        </row>
      </sheetData>
      <sheetData sheetId="43"/>
      <sheetData sheetId="44"/>
      <sheetData sheetId="45"/>
      <sheetData sheetId="46">
        <row r="3">
          <cell r="B3">
            <v>733946.8625768132</v>
          </cell>
          <cell r="C3">
            <v>746976.19646364066</v>
          </cell>
          <cell r="D3">
            <v>752147.03159122285</v>
          </cell>
          <cell r="E3">
            <v>758975.93897121248</v>
          </cell>
          <cell r="F3">
            <v>786287.53950561909</v>
          </cell>
          <cell r="G3">
            <v>810451.10134268913</v>
          </cell>
          <cell r="H3">
            <v>866468.97457317507</v>
          </cell>
          <cell r="I3">
            <v>893128.3802657848</v>
          </cell>
          <cell r="J3">
            <v>908296.73476713768</v>
          </cell>
          <cell r="K3">
            <v>835319.2863110631</v>
          </cell>
          <cell r="L3">
            <v>811818.09023092757</v>
          </cell>
          <cell r="M3">
            <v>818165.85801691876</v>
          </cell>
          <cell r="N3">
            <v>794564.09353533457</v>
          </cell>
          <cell r="O3">
            <v>768735.05844140076</v>
          </cell>
          <cell r="P3">
            <v>764707.08846192528</v>
          </cell>
          <cell r="Q3">
            <v>765873.26704730839</v>
          </cell>
          <cell r="R3">
            <v>776064.30201352458</v>
          </cell>
          <cell r="S3">
            <v>801464.20950683521</v>
          </cell>
          <cell r="T3">
            <v>829321.53470670653</v>
          </cell>
          <cell r="U3">
            <v>854939.62139206717</v>
          </cell>
          <cell r="V3">
            <v>813623.26382226089</v>
          </cell>
          <cell r="W3">
            <v>864911.32540757221</v>
          </cell>
        </row>
        <row r="12">
          <cell r="B12">
            <v>29485.49110763528</v>
          </cell>
          <cell r="C12">
            <v>29857.011718172289</v>
          </cell>
          <cell r="D12">
            <v>29705.166908194271</v>
          </cell>
          <cell r="E12">
            <v>26331.400605186209</v>
          </cell>
          <cell r="F12">
            <v>26257.054769536051</v>
          </cell>
          <cell r="G12">
            <v>30691.493376315651</v>
          </cell>
          <cell r="H12">
            <v>29225.234854670289</v>
          </cell>
          <cell r="I12">
            <v>30331.053339264541</v>
          </cell>
          <cell r="J12">
            <v>29560.270067468191</v>
          </cell>
          <cell r="K12">
            <v>24531.86035616395</v>
          </cell>
          <cell r="L12">
            <v>27262.591922135711</v>
          </cell>
          <cell r="M12">
            <v>22754.898201507101</v>
          </cell>
          <cell r="N12">
            <v>23061.200935158871</v>
          </cell>
          <cell r="O12">
            <v>22617.046500953089</v>
          </cell>
          <cell r="P12">
            <v>22203.60133978026</v>
          </cell>
          <cell r="Q12">
            <v>21687.027759442561</v>
          </cell>
          <cell r="R12">
            <v>22128.5957737319</v>
          </cell>
          <cell r="S12">
            <v>22547.57005415345</v>
          </cell>
          <cell r="T12">
            <v>23343.019271365349</v>
          </cell>
          <cell r="U12">
            <v>24263.346470824112</v>
          </cell>
          <cell r="V12">
            <v>22627.901580341291</v>
          </cell>
          <cell r="W12">
            <v>24922.136955308339</v>
          </cell>
        </row>
        <row r="13">
          <cell r="B13">
            <v>1935.982201203783</v>
          </cell>
          <cell r="C13">
            <v>1486.374978503869</v>
          </cell>
          <cell r="D13">
            <v>524.65073086844359</v>
          </cell>
          <cell r="E13">
            <v>520.58718830610485</v>
          </cell>
          <cell r="F13">
            <v>602.02871883061039</v>
          </cell>
          <cell r="G13">
            <v>511.25391229578679</v>
          </cell>
          <cell r="H13">
            <v>535.7871023215821</v>
          </cell>
          <cell r="I13">
            <v>511.56758383490973</v>
          </cell>
          <cell r="J13">
            <v>425.42407566638008</v>
          </cell>
          <cell r="K13">
            <v>375.3085984522786</v>
          </cell>
          <cell r="L13">
            <v>333.74307824591568</v>
          </cell>
          <cell r="M13">
            <v>353.58907996560617</v>
          </cell>
          <cell r="N13">
            <v>318.75322441960441</v>
          </cell>
          <cell r="O13">
            <v>326.84006878761818</v>
          </cell>
          <cell r="P13">
            <v>325.2895098882201</v>
          </cell>
          <cell r="Q13">
            <v>316.67987962166808</v>
          </cell>
          <cell r="R13">
            <v>347.82502149613072</v>
          </cell>
          <cell r="S13">
            <v>443.67652622527942</v>
          </cell>
          <cell r="T13">
            <v>476.74617368873601</v>
          </cell>
          <cell r="U13">
            <v>440.0406706792777</v>
          </cell>
          <cell r="V13">
            <v>293.32407566638011</v>
          </cell>
          <cell r="W13">
            <v>307.2871023215821</v>
          </cell>
        </row>
        <row r="15">
          <cell r="B15">
            <v>0</v>
          </cell>
          <cell r="C15">
            <v>0</v>
          </cell>
          <cell r="D15">
            <v>0</v>
          </cell>
          <cell r="E15">
            <v>25.167755803955291</v>
          </cell>
          <cell r="F15">
            <v>1.182287188306105</v>
          </cell>
          <cell r="G15">
            <v>18.808942390369729</v>
          </cell>
          <cell r="H15">
            <v>41.955374032674108</v>
          </cell>
          <cell r="I15">
            <v>44.904385210662078</v>
          </cell>
          <cell r="J15">
            <v>27.20928632846088</v>
          </cell>
          <cell r="K15">
            <v>51.706534823731722</v>
          </cell>
          <cell r="L15">
            <v>58.803439380911428</v>
          </cell>
          <cell r="M15">
            <v>59.817368873602753</v>
          </cell>
          <cell r="N15">
            <v>39.540240756663799</v>
          </cell>
          <cell r="O15">
            <v>25.346345657781601</v>
          </cell>
          <cell r="P15">
            <v>66.876956147893381</v>
          </cell>
          <cell r="Q15">
            <v>87.953826311263967</v>
          </cell>
          <cell r="R15">
            <v>7.0937231298366292</v>
          </cell>
          <cell r="S15">
            <v>5.3740326741186584</v>
          </cell>
          <cell r="T15">
            <v>33.683319002579537</v>
          </cell>
          <cell r="U15">
            <v>42.375752364574367</v>
          </cell>
          <cell r="V15">
            <v>58.999226139294919</v>
          </cell>
          <cell r="W15">
            <v>61.933791917454847</v>
          </cell>
        </row>
        <row r="16">
          <cell r="B16">
            <v>747.49647463456586</v>
          </cell>
          <cell r="C16">
            <v>687.56638005159084</v>
          </cell>
          <cell r="D16">
            <v>588.10859845227867</v>
          </cell>
          <cell r="E16">
            <v>417.9711951848667</v>
          </cell>
          <cell r="F16">
            <v>401.64608770421307</v>
          </cell>
          <cell r="G16">
            <v>427.96964746345651</v>
          </cell>
          <cell r="H16">
            <v>540.7367153912295</v>
          </cell>
          <cell r="I16">
            <v>434.9555460017196</v>
          </cell>
          <cell r="J16">
            <v>432.11367153912289</v>
          </cell>
          <cell r="K16">
            <v>390.32579535683578</v>
          </cell>
          <cell r="L16">
            <v>421.8155631986242</v>
          </cell>
          <cell r="M16">
            <v>274.65838349097157</v>
          </cell>
          <cell r="N16">
            <v>321.20171969045572</v>
          </cell>
          <cell r="O16">
            <v>262.83396388650038</v>
          </cell>
          <cell r="P16">
            <v>306.57119518486672</v>
          </cell>
          <cell r="Q16">
            <v>304.14634565778158</v>
          </cell>
          <cell r="R16">
            <v>312.00911435941532</v>
          </cell>
          <cell r="S16">
            <v>324.27282889079959</v>
          </cell>
          <cell r="T16">
            <v>371.02398968185719</v>
          </cell>
          <cell r="U16">
            <v>375.92940670679269</v>
          </cell>
          <cell r="V16">
            <v>356.46448839208938</v>
          </cell>
          <cell r="W16">
            <v>372.79243336199482</v>
          </cell>
        </row>
        <row r="17">
          <cell r="B17">
            <v>5694.3552239260553</v>
          </cell>
          <cell r="C17">
            <v>6031.8471788148536</v>
          </cell>
          <cell r="D17">
            <v>6103.9177943413488</v>
          </cell>
          <cell r="E17">
            <v>5766.0399805343704</v>
          </cell>
          <cell r="F17">
            <v>5573.15821381142</v>
          </cell>
          <cell r="G17">
            <v>5920.6715481568126</v>
          </cell>
          <cell r="H17">
            <v>5590.4747965770703</v>
          </cell>
          <cell r="I17">
            <v>5418.6244359894472</v>
          </cell>
          <cell r="J17">
            <v>5234.2084038683952</v>
          </cell>
          <cell r="K17">
            <v>4390.8531726108458</v>
          </cell>
          <cell r="L17">
            <v>4372.449867813074</v>
          </cell>
          <cell r="M17">
            <v>4633.1628922557838</v>
          </cell>
          <cell r="N17">
            <v>4538.4153912295787</v>
          </cell>
          <cell r="O17">
            <v>4381.2528804815129</v>
          </cell>
          <cell r="P17">
            <v>4331.6602751504724</v>
          </cell>
          <cell r="Q17">
            <v>4369.5025795356833</v>
          </cell>
          <cell r="R17">
            <v>4400.5583834909712</v>
          </cell>
          <cell r="S17">
            <v>4505.4511607910572</v>
          </cell>
          <cell r="T17">
            <v>5826.844368013757</v>
          </cell>
          <cell r="U17">
            <v>5802.1050730868437</v>
          </cell>
          <cell r="V17">
            <v>5660.4986242476352</v>
          </cell>
          <cell r="W17">
            <v>5809.9124677558038</v>
          </cell>
        </row>
        <row r="18">
          <cell r="B18">
            <v>1369.7101461736879</v>
          </cell>
          <cell r="C18">
            <v>1562.726913155632</v>
          </cell>
          <cell r="D18">
            <v>1306.1461736887361</v>
          </cell>
          <cell r="E18">
            <v>1464.695012897678</v>
          </cell>
          <cell r="F18">
            <v>757.19810834049861</v>
          </cell>
          <cell r="G18">
            <v>733.64978503869304</v>
          </cell>
          <cell r="H18">
            <v>926.4852966466035</v>
          </cell>
          <cell r="I18">
            <v>968.06285468615647</v>
          </cell>
          <cell r="J18">
            <v>895.49587274290616</v>
          </cell>
          <cell r="K18">
            <v>741.9379191745486</v>
          </cell>
          <cell r="L18">
            <v>583.14746345657773</v>
          </cell>
          <cell r="M18">
            <v>456.10318142734297</v>
          </cell>
          <cell r="N18">
            <v>454.37162510748061</v>
          </cell>
          <cell r="O18">
            <v>313.0957867583835</v>
          </cell>
          <cell r="P18">
            <v>304.75374032674108</v>
          </cell>
          <cell r="Q18">
            <v>301.24496990541701</v>
          </cell>
          <cell r="R18">
            <v>322.47506448839209</v>
          </cell>
          <cell r="S18">
            <v>323.45425623387791</v>
          </cell>
          <cell r="T18">
            <v>306.33035253654339</v>
          </cell>
          <cell r="U18">
            <v>261.62416165090281</v>
          </cell>
          <cell r="V18">
            <v>225.84359415305241</v>
          </cell>
          <cell r="W18">
            <v>193.06061908856401</v>
          </cell>
        </row>
        <row r="19">
          <cell r="B19">
            <v>830.63293207222694</v>
          </cell>
          <cell r="C19">
            <v>626.48022355975922</v>
          </cell>
          <cell r="D19">
            <v>512.86835769561469</v>
          </cell>
          <cell r="E19">
            <v>374.18710232158202</v>
          </cell>
          <cell r="F19">
            <v>358.90816852966458</v>
          </cell>
          <cell r="G19">
            <v>224.4184866723989</v>
          </cell>
          <cell r="H19">
            <v>395.13955288048152</v>
          </cell>
          <cell r="I19">
            <v>347.61883061049008</v>
          </cell>
          <cell r="J19">
            <v>378.75055889939807</v>
          </cell>
          <cell r="K19">
            <v>481.64600171969028</v>
          </cell>
          <cell r="L19">
            <v>326.04024075666382</v>
          </cell>
          <cell r="M19">
            <v>127.2588134135855</v>
          </cell>
          <cell r="N19">
            <v>163.6249355116079</v>
          </cell>
          <cell r="O19">
            <v>93.282975064488383</v>
          </cell>
          <cell r="P19">
            <v>189.88993981083399</v>
          </cell>
          <cell r="Q19">
            <v>216.05975924333629</v>
          </cell>
          <cell r="R19">
            <v>51.520636285468598</v>
          </cell>
          <cell r="S19">
            <v>45.586672398968183</v>
          </cell>
          <cell r="T19">
            <v>116.7196044711952</v>
          </cell>
          <cell r="U19">
            <v>122.876698194325</v>
          </cell>
          <cell r="V19">
            <v>120.0312123817713</v>
          </cell>
          <cell r="W19">
            <v>363.94402407566628</v>
          </cell>
        </row>
        <row r="21">
          <cell r="B21">
            <v>5425.0645566028361</v>
          </cell>
          <cell r="C21">
            <v>5600.9718830610482</v>
          </cell>
          <cell r="D21">
            <v>6172.3858985382631</v>
          </cell>
          <cell r="E21">
            <v>4603.9035253654347</v>
          </cell>
          <cell r="F21">
            <v>4666.3177987962163</v>
          </cell>
          <cell r="G21">
            <v>8615.8700773860692</v>
          </cell>
          <cell r="H21">
            <v>6966.572141014618</v>
          </cell>
          <cell r="I21">
            <v>8318.335941530524</v>
          </cell>
          <cell r="J21">
            <v>8643.9448839208926</v>
          </cell>
          <cell r="K21">
            <v>6052.3302665520196</v>
          </cell>
          <cell r="L21">
            <v>8511.3462596732588</v>
          </cell>
          <cell r="M21">
            <v>5217.9517626827173</v>
          </cell>
          <cell r="N21">
            <v>5583.5354256233877</v>
          </cell>
          <cell r="O21">
            <v>5843.284092863285</v>
          </cell>
          <cell r="P21">
            <v>5541.6098022355973</v>
          </cell>
          <cell r="Q21">
            <v>4497.6239036973338</v>
          </cell>
          <cell r="R21">
            <v>4811.6073086844372</v>
          </cell>
          <cell r="S21">
            <v>4752.0069647463461</v>
          </cell>
          <cell r="T21">
            <v>4141.7834909716248</v>
          </cell>
          <cell r="U21">
            <v>4719.4104901117798</v>
          </cell>
          <cell r="V21">
            <v>4315.5871883061054</v>
          </cell>
          <cell r="W21">
            <v>5593.367067927773</v>
          </cell>
        </row>
        <row r="22">
          <cell r="B22">
            <v>86.650902837489241</v>
          </cell>
          <cell r="C22">
            <v>86.17798796216681</v>
          </cell>
          <cell r="D22">
            <v>70.564660361134983</v>
          </cell>
          <cell r="E22">
            <v>51.504729148753214</v>
          </cell>
          <cell r="F22">
            <v>55.911435941530513</v>
          </cell>
          <cell r="G22">
            <v>59.049871023215829</v>
          </cell>
          <cell r="H22">
            <v>48.796216680997418</v>
          </cell>
          <cell r="I22">
            <v>41.595012897678409</v>
          </cell>
          <cell r="J22">
            <v>24.699054170249351</v>
          </cell>
          <cell r="K22">
            <v>8.1900257953568349</v>
          </cell>
          <cell r="L22">
            <v>11.500429922613931</v>
          </cell>
          <cell r="M22">
            <v>9.1788478073946678</v>
          </cell>
          <cell r="N22">
            <v>10.36113499570077</v>
          </cell>
          <cell r="O22">
            <v>11.070507308684441</v>
          </cell>
          <cell r="P22">
            <v>8.4479793637145306</v>
          </cell>
          <cell r="Q22">
            <v>5.4170249355116074</v>
          </cell>
          <cell r="R22">
            <v>9.5657781599312131</v>
          </cell>
          <cell r="S22">
            <v>11.960275150472921</v>
          </cell>
          <cell r="T22">
            <v>9.9105760963026661</v>
          </cell>
          <cell r="U22">
            <v>3.525365434221841</v>
          </cell>
          <cell r="V22">
            <v>6.1777300085984521</v>
          </cell>
          <cell r="W22">
            <v>3.729492691315563</v>
          </cell>
        </row>
        <row r="24">
          <cell r="B24">
            <v>977.8351676698195</v>
          </cell>
          <cell r="C24">
            <v>864.40739466895945</v>
          </cell>
          <cell r="D24">
            <v>893.40283748925197</v>
          </cell>
          <cell r="E24">
            <v>807.22768701633697</v>
          </cell>
          <cell r="F24">
            <v>783.77274290627679</v>
          </cell>
          <cell r="G24">
            <v>787.99269131556309</v>
          </cell>
          <cell r="H24">
            <v>816.69217540842646</v>
          </cell>
          <cell r="I24">
            <v>848.35829750644871</v>
          </cell>
          <cell r="J24">
            <v>839.15735167669823</v>
          </cell>
          <cell r="K24">
            <v>746.19957007738606</v>
          </cell>
          <cell r="L24">
            <v>681.64118658641439</v>
          </cell>
          <cell r="M24">
            <v>700.67695614789329</v>
          </cell>
          <cell r="N24">
            <v>692.84221840068778</v>
          </cell>
          <cell r="O24">
            <v>609.88710232158212</v>
          </cell>
          <cell r="P24">
            <v>697.64634565778158</v>
          </cell>
          <cell r="Q24">
            <v>732.7411006018915</v>
          </cell>
          <cell r="R24">
            <v>676.39200343938091</v>
          </cell>
          <cell r="S24">
            <v>624.16130696474625</v>
          </cell>
          <cell r="T24">
            <v>629.74204643164217</v>
          </cell>
          <cell r="U24">
            <v>633.85657781599309</v>
          </cell>
          <cell r="V24">
            <v>678.37919174548585</v>
          </cell>
          <cell r="W24">
            <v>668.28916595012902</v>
          </cell>
        </row>
        <row r="25">
          <cell r="B25">
            <v>122.9578675838349</v>
          </cell>
          <cell r="C25">
            <v>305.03018056749778</v>
          </cell>
          <cell r="D25">
            <v>427.58194325021492</v>
          </cell>
          <cell r="E25">
            <v>4.2036973344797932</v>
          </cell>
          <cell r="F25">
            <v>3.176698194325021</v>
          </cell>
          <cell r="G25">
            <v>6.6672398968185718</v>
          </cell>
          <cell r="H25">
            <v>5.2149613069647458</v>
          </cell>
          <cell r="I25">
            <v>6.2503869303525361</v>
          </cell>
          <cell r="J25">
            <v>6.2620808254514184</v>
          </cell>
          <cell r="K25">
            <v>7.3204643164230436</v>
          </cell>
          <cell r="L25">
            <v>6.936715391229578</v>
          </cell>
          <cell r="M25">
            <v>8.0214961306964732</v>
          </cell>
          <cell r="N25">
            <v>10.69011177987962</v>
          </cell>
          <cell r="O25">
            <v>13.23697334479794</v>
          </cell>
          <cell r="P25">
            <v>10.947979363714531</v>
          </cell>
          <cell r="Q25">
            <v>14.32175408426483</v>
          </cell>
          <cell r="R25">
            <v>18.419604471195189</v>
          </cell>
          <cell r="S25">
            <v>18.078503869303521</v>
          </cell>
          <cell r="T25">
            <v>20.848495270851249</v>
          </cell>
          <cell r="U25">
            <v>20.217970765262251</v>
          </cell>
          <cell r="V25">
            <v>21.124849527085122</v>
          </cell>
          <cell r="W25">
            <v>23.172312983662941</v>
          </cell>
        </row>
        <row r="26">
          <cell r="B26">
            <v>0</v>
          </cell>
          <cell r="C26">
            <v>0</v>
          </cell>
          <cell r="D26">
            <v>0</v>
          </cell>
          <cell r="E26">
            <v>0.49036973344797941</v>
          </cell>
          <cell r="F26">
            <v>9.6018056749785021</v>
          </cell>
          <cell r="G26">
            <v>14.022527944969911</v>
          </cell>
          <cell r="H26">
            <v>41.69699054170249</v>
          </cell>
          <cell r="I26">
            <v>56.538779019776442</v>
          </cell>
          <cell r="J26">
            <v>59.32398968185727</v>
          </cell>
          <cell r="K26">
            <v>74.654514187446239</v>
          </cell>
          <cell r="L26">
            <v>60.379105760963007</v>
          </cell>
          <cell r="M26">
            <v>47.346775580395523</v>
          </cell>
          <cell r="N26">
            <v>65.106448839208937</v>
          </cell>
          <cell r="O26">
            <v>61.118744625967317</v>
          </cell>
          <cell r="P26">
            <v>71.917884780739456</v>
          </cell>
          <cell r="Q26">
            <v>85.458469475494411</v>
          </cell>
          <cell r="R26">
            <v>132.6931212381771</v>
          </cell>
          <cell r="S26">
            <v>171.99355116079099</v>
          </cell>
          <cell r="T26">
            <v>271.4318142734308</v>
          </cell>
          <cell r="U26">
            <v>284.31281169389513</v>
          </cell>
          <cell r="V26">
            <v>283.80662080825448</v>
          </cell>
          <cell r="W26">
            <v>321.02312983662938</v>
          </cell>
        </row>
        <row r="27">
          <cell r="B27">
            <v>0.86638005159071363</v>
          </cell>
          <cell r="C27">
            <v>0.88744625967325874</v>
          </cell>
          <cell r="D27">
            <v>0.88744625967325874</v>
          </cell>
          <cell r="E27">
            <v>0.91134995700773846</v>
          </cell>
          <cell r="F27">
            <v>0.96036113499570086</v>
          </cell>
          <cell r="G27">
            <v>0.96706792777300077</v>
          </cell>
          <cell r="H27">
            <v>1.0404987102321579</v>
          </cell>
          <cell r="I27">
            <v>1.143422184006879</v>
          </cell>
          <cell r="J27">
            <v>1.416337059329321</v>
          </cell>
          <cell r="K27">
            <v>1.5447119518486669</v>
          </cell>
          <cell r="L27">
            <v>8.285726569217541</v>
          </cell>
          <cell r="M27">
            <v>8.698194325021495</v>
          </cell>
          <cell r="N27">
            <v>9.4904557179707645</v>
          </cell>
          <cell r="O27">
            <v>10.319260533104041</v>
          </cell>
          <cell r="P27">
            <v>11.02029234737747</v>
          </cell>
          <cell r="Q27">
            <v>11.80481513327601</v>
          </cell>
          <cell r="R27">
            <v>12.43198624247635</v>
          </cell>
          <cell r="S27">
            <v>12.969561478933789</v>
          </cell>
          <cell r="T27">
            <v>13.95924333619948</v>
          </cell>
          <cell r="U27">
            <v>14.786070507308681</v>
          </cell>
          <cell r="V27">
            <v>13.6707652622528</v>
          </cell>
          <cell r="W27">
            <v>14.74453998280309</v>
          </cell>
        </row>
        <row r="28">
          <cell r="B28">
            <v>9.5528804815133275E-2</v>
          </cell>
          <cell r="C28">
            <v>0.5970765262252794</v>
          </cell>
          <cell r="D28">
            <v>2.3903697334479789E-2</v>
          </cell>
          <cell r="E28">
            <v>0.90765262252794487</v>
          </cell>
          <cell r="F28">
            <v>0.47773000859845233</v>
          </cell>
          <cell r="G28">
            <v>0.47773000859845233</v>
          </cell>
          <cell r="H28">
            <v>0.42992261392949271</v>
          </cell>
          <cell r="I28">
            <v>0.47773000859845233</v>
          </cell>
          <cell r="J28">
            <v>0.19105760963026661</v>
          </cell>
          <cell r="K28">
            <v>0</v>
          </cell>
          <cell r="L28">
            <v>5.135167669819432</v>
          </cell>
          <cell r="M28">
            <v>2.9616509028374889</v>
          </cell>
          <cell r="N28">
            <v>2.6750644883920889</v>
          </cell>
          <cell r="O28">
            <v>3.0571797076526219</v>
          </cell>
          <cell r="P28">
            <v>2.221324161650903</v>
          </cell>
          <cell r="Q28">
            <v>2.3884780739466902</v>
          </cell>
          <cell r="R28">
            <v>2.890025795356836</v>
          </cell>
          <cell r="S28">
            <v>2.9241616509028372</v>
          </cell>
          <cell r="T28">
            <v>1.7650902837489251</v>
          </cell>
          <cell r="U28">
            <v>2.0937231298366288</v>
          </cell>
          <cell r="V28">
            <v>2.2164230438521071</v>
          </cell>
          <cell r="W28">
            <v>2.4139294926913148</v>
          </cell>
        </row>
        <row r="29">
          <cell r="B29">
            <v>3.8853248098368671</v>
          </cell>
          <cell r="C29">
            <v>4.1059019526705338</v>
          </cell>
          <cell r="D29">
            <v>4.3376779113829054</v>
          </cell>
          <cell r="E29">
            <v>4.5655257696398754</v>
          </cell>
          <cell r="F29">
            <v>4.6036064555104756</v>
          </cell>
          <cell r="G29">
            <v>5.2833070926543826</v>
          </cell>
          <cell r="H29">
            <v>5.6748474311250172</v>
          </cell>
          <cell r="I29">
            <v>5.6614054247030392</v>
          </cell>
          <cell r="J29">
            <v>5.8871150185399168</v>
          </cell>
          <cell r="K29">
            <v>6.3285077147627771</v>
          </cell>
          <cell r="L29">
            <v>6.9234816657147427</v>
          </cell>
          <cell r="M29">
            <v>7.5109756313854286</v>
          </cell>
          <cell r="N29">
            <v>7.7942283661055516</v>
          </cell>
          <cell r="O29">
            <v>8.4476187519235673</v>
          </cell>
          <cell r="P29">
            <v>27.190540879839201</v>
          </cell>
          <cell r="Q29">
            <v>26.773847146778301</v>
          </cell>
          <cell r="R29">
            <v>28.075481384521979</v>
          </cell>
          <cell r="S29">
            <v>31.913390352935181</v>
          </cell>
          <cell r="T29">
            <v>36.824258467660897</v>
          </cell>
          <cell r="U29">
            <v>40.290838837866147</v>
          </cell>
          <cell r="V29">
            <v>44.113102267340643</v>
          </cell>
          <cell r="W29">
            <v>50.780291507838399</v>
          </cell>
        </row>
        <row r="30">
          <cell r="B30">
            <v>2515.5756663800521</v>
          </cell>
          <cell r="C30">
            <v>2561.6801375752361</v>
          </cell>
          <cell r="D30">
            <v>2892.735167669819</v>
          </cell>
          <cell r="E30">
            <v>2846.5971625107491</v>
          </cell>
          <cell r="F30">
            <v>3016.928632846088</v>
          </cell>
          <cell r="G30">
            <v>2856.0460877042128</v>
          </cell>
          <cell r="H30">
            <v>3197.8601031814269</v>
          </cell>
          <cell r="I30">
            <v>2811.086242476355</v>
          </cell>
          <cell r="J30">
            <v>3294.0184006878758</v>
          </cell>
          <cell r="K30">
            <v>2881.5109200343941</v>
          </cell>
          <cell r="L30">
            <v>2971.035769561478</v>
          </cell>
          <cell r="M30">
            <v>1244.840928632846</v>
          </cell>
          <cell r="N30">
            <v>1289.389079965606</v>
          </cell>
          <cell r="O30">
            <v>1295.1203783318999</v>
          </cell>
          <cell r="P30">
            <v>1149.8306964746339</v>
          </cell>
          <cell r="Q30">
            <v>1151.5901977644021</v>
          </cell>
          <cell r="R30">
            <v>1161.5252794496989</v>
          </cell>
          <cell r="S30">
            <v>1184.8357695614791</v>
          </cell>
          <cell r="T30">
            <v>1172.941530524505</v>
          </cell>
          <cell r="U30">
            <v>1441.5731728288911</v>
          </cell>
          <cell r="V30">
            <v>819.47695614789325</v>
          </cell>
          <cell r="W30">
            <v>780.86010318142723</v>
          </cell>
        </row>
        <row r="31">
          <cell r="B31">
            <v>9774.3827348846971</v>
          </cell>
          <cell r="C31">
            <v>10038.158035513099</v>
          </cell>
          <cell r="D31">
            <v>10207.55571797077</v>
          </cell>
          <cell r="E31">
            <v>9442.4406706792779</v>
          </cell>
          <cell r="F31">
            <v>10021.182373172829</v>
          </cell>
          <cell r="G31">
            <v>10508.344453998279</v>
          </cell>
          <cell r="H31">
            <v>10110.678159931211</v>
          </cell>
          <cell r="I31">
            <v>10515.87248495271</v>
          </cell>
          <cell r="J31">
            <v>9292.167927773</v>
          </cell>
          <cell r="K31">
            <v>8322.003353396387</v>
          </cell>
          <cell r="L31">
            <v>8903.4084264832327</v>
          </cell>
          <cell r="M31">
            <v>9603.1208942390367</v>
          </cell>
          <cell r="N31">
            <v>9553.4096302665512</v>
          </cell>
          <cell r="O31">
            <v>9358.8526225279438</v>
          </cell>
          <cell r="P31">
            <v>9157.7268780061822</v>
          </cell>
          <cell r="Q31">
            <v>9563.3208082545134</v>
          </cell>
          <cell r="R31">
            <v>9833.513241616507</v>
          </cell>
          <cell r="S31">
            <v>10088.91109200344</v>
          </cell>
          <cell r="T31">
            <v>9912.464918314703</v>
          </cell>
          <cell r="U31">
            <v>10058.327687016341</v>
          </cell>
          <cell r="V31">
            <v>9728.1875322441956</v>
          </cell>
          <cell r="W31">
            <v>10354.826483233021</v>
          </cell>
        </row>
        <row r="33">
          <cell r="B33">
            <v>48806.609992646932</v>
          </cell>
          <cell r="C33">
            <v>47627.088573681707</v>
          </cell>
          <cell r="D33">
            <v>43753.742263321103</v>
          </cell>
          <cell r="E33">
            <v>38646.736225714281</v>
          </cell>
          <cell r="F33">
            <v>36031.715110481578</v>
          </cell>
          <cell r="G33">
            <v>45687.695801264599</v>
          </cell>
          <cell r="H33">
            <v>42483.188041060683</v>
          </cell>
          <cell r="I33">
            <v>44678.261200873822</v>
          </cell>
          <cell r="J33">
            <v>44226.253844608473</v>
          </cell>
          <cell r="K33">
            <v>35133.857874838417</v>
          </cell>
          <cell r="L33">
            <v>39406.943575752783</v>
          </cell>
          <cell r="M33">
            <v>30944.365380241939</v>
          </cell>
          <cell r="N33">
            <v>31572.07569540897</v>
          </cell>
          <cell r="O33">
            <v>30899.91386180327</v>
          </cell>
          <cell r="P33">
            <v>30596.166618830699</v>
          </cell>
          <cell r="Q33">
            <v>28336.484831125479</v>
          </cell>
          <cell r="R33">
            <v>28693.29443583572</v>
          </cell>
          <cell r="S33">
            <v>29281.899635747261</v>
          </cell>
          <cell r="T33">
            <v>32337.14450760376</v>
          </cell>
          <cell r="U33">
            <v>33463.268243412153</v>
          </cell>
          <cell r="V33">
            <v>31970.209530522541</v>
          </cell>
          <cell r="W33">
            <v>35900.846587617387</v>
          </cell>
        </row>
        <row r="38">
          <cell r="B38">
            <v>1.6552754646168482</v>
          </cell>
          <cell r="C38">
            <v>1.5951726523486531</v>
          </cell>
          <cell r="D38">
            <v>1.4729337289551294</v>
          </cell>
          <cell r="E38">
            <v>1.4677053000402287</v>
          </cell>
          <cell r="F38">
            <v>1.3722679648094531</v>
          </cell>
          <cell r="G38">
            <v>1.4886110376278197</v>
          </cell>
          <cell r="H38">
            <v>1.4536474472256202</v>
          </cell>
          <cell r="I38">
            <v>1.4730204289686291</v>
          </cell>
          <cell r="J38">
            <v>1.4961383554232328</v>
          </cell>
          <cell r="K38">
            <v>1.4321725855581342</v>
          </cell>
          <cell r="L38">
            <v>1.4454584394727537</v>
          </cell>
          <cell r="M38">
            <v>1.3598990910094439</v>
          </cell>
          <cell r="N38">
            <v>1.3690560081489298</v>
          </cell>
          <cell r="O38">
            <v>1.3662223252934966</v>
          </cell>
          <cell r="P38">
            <v>1.3779821638219656</v>
          </cell>
          <cell r="Q38">
            <v>1.3066098842792202</v>
          </cell>
          <cell r="R38">
            <v>1.2966613303993084</v>
          </cell>
          <cell r="S38">
            <v>1.2986720770983164</v>
          </cell>
          <cell r="T38">
            <v>1.385302566548082</v>
          </cell>
          <cell r="U38">
            <v>1.3791695339161334</v>
          </cell>
          <cell r="V38">
            <v>1.4128667396316448</v>
          </cell>
          <cell r="W38">
            <v>1.4405203956625645</v>
          </cell>
        </row>
      </sheetData>
      <sheetData sheetId="47"/>
      <sheetData sheetId="48"/>
      <sheetData sheetId="4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"/>
      <sheetName val="index"/>
      <sheetName val="Transport"/>
      <sheetName val="TrRoad_act"/>
      <sheetName val="TrRoad_ene"/>
      <sheetName val="TrRoad_emi"/>
      <sheetName val="TrRoad_tech"/>
      <sheetName val="TrRail_act"/>
      <sheetName val="TrRail_ene"/>
      <sheetName val="TrRail_emi"/>
      <sheetName val="TrAvia_act"/>
      <sheetName val="TrAvia_ene"/>
      <sheetName val="TrAvia_emi"/>
      <sheetName val="TrAvia_png"/>
      <sheetName val="TrNavi_act"/>
      <sheetName val="TrNavi_ene"/>
      <sheetName val="TrNavi_emi"/>
      <sheetName val="MBunk_act"/>
      <sheetName val="MBunk_ene"/>
      <sheetName val="MBunk_emi"/>
    </sheetNames>
    <sheetDataSet>
      <sheetData sheetId="0"/>
      <sheetData sheetId="1"/>
      <sheetData sheetId="2"/>
      <sheetData sheetId="3">
        <row r="5">
          <cell r="A5" t="str">
            <v>Powered two-wheelers</v>
          </cell>
          <cell r="B5">
            <v>98941.11886586019</v>
          </cell>
          <cell r="C5">
            <v>102907.77877467484</v>
          </cell>
          <cell r="D5">
            <v>104221.43765335812</v>
          </cell>
          <cell r="E5">
            <v>107273.62723268587</v>
          </cell>
          <cell r="F5">
            <v>110798.03852825334</v>
          </cell>
          <cell r="G5">
            <v>114310.05461044043</v>
          </cell>
          <cell r="H5">
            <v>113240.01948371352</v>
          </cell>
          <cell r="I5">
            <v>109248.06554776955</v>
          </cell>
          <cell r="J5">
            <v>114173.93516820222</v>
          </cell>
          <cell r="K5">
            <v>111644.51382255246</v>
          </cell>
          <cell r="L5">
            <v>113468.03968176561</v>
          </cell>
          <cell r="M5">
            <v>117394.95933156536</v>
          </cell>
          <cell r="N5">
            <v>114771.32204355873</v>
          </cell>
          <cell r="O5">
            <v>114303.80862898356</v>
          </cell>
          <cell r="P5">
            <v>117046.74852749721</v>
          </cell>
          <cell r="Q5">
            <v>116981.97982151579</v>
          </cell>
          <cell r="R5">
            <v>118278.58662681941</v>
          </cell>
          <cell r="S5">
            <v>111812.09518179623</v>
          </cell>
          <cell r="T5">
            <v>106397.39533905862</v>
          </cell>
          <cell r="U5">
            <v>112972.8842398344</v>
          </cell>
          <cell r="V5">
            <v>100535.33138836388</v>
          </cell>
          <cell r="W5">
            <v>104773.51557530889</v>
          </cell>
        </row>
        <row r="6">
          <cell r="A6" t="str">
            <v>Passenger cars</v>
          </cell>
          <cell r="B6">
            <v>3660355.0623140209</v>
          </cell>
          <cell r="C6">
            <v>3734215.7647230607</v>
          </cell>
          <cell r="D6">
            <v>3789305.0249260701</v>
          </cell>
          <cell r="E6">
            <v>3826195.6189610125</v>
          </cell>
          <cell r="F6">
            <v>3878162.7438382171</v>
          </cell>
          <cell r="G6">
            <v>3839179.4808863439</v>
          </cell>
          <cell r="H6">
            <v>3875261.4469870077</v>
          </cell>
          <cell r="I6">
            <v>3921256.0941458074</v>
          </cell>
          <cell r="J6">
            <v>3931623.9841889399</v>
          </cell>
          <cell r="K6">
            <v>4009212.0907480181</v>
          </cell>
          <cell r="L6">
            <v>3975850.9514257894</v>
          </cell>
          <cell r="M6">
            <v>3943643.4280371866</v>
          </cell>
          <cell r="N6">
            <v>3904543.1623219177</v>
          </cell>
          <cell r="O6">
            <v>3964794.9846715764</v>
          </cell>
          <cell r="P6">
            <v>4020261.7494762829</v>
          </cell>
          <cell r="Q6">
            <v>4110545.0140439356</v>
          </cell>
          <cell r="R6">
            <v>4196601.7627940197</v>
          </cell>
          <cell r="S6">
            <v>4241357.8006787114</v>
          </cell>
          <cell r="T6">
            <v>4261043.2924775975</v>
          </cell>
          <cell r="U6">
            <v>4298322.1246594004</v>
          </cell>
          <cell r="V6">
            <v>3516899.2746836855</v>
          </cell>
          <cell r="W6">
            <v>3742236.2108397945</v>
          </cell>
        </row>
        <row r="13">
          <cell r="A13" t="str">
            <v>Motor coaches, buses and trolley buses</v>
          </cell>
          <cell r="B13">
            <v>496482.34560773277</v>
          </cell>
          <cell r="C13">
            <v>495609.92962193594</v>
          </cell>
          <cell r="D13">
            <v>492831.79924435058</v>
          </cell>
          <cell r="E13">
            <v>495565.18499416119</v>
          </cell>
          <cell r="F13">
            <v>500165.37130745058</v>
          </cell>
          <cell r="G13">
            <v>497755.43070272659</v>
          </cell>
          <cell r="H13">
            <v>497841.2174737443</v>
          </cell>
          <cell r="I13">
            <v>507883.21228594572</v>
          </cell>
          <cell r="J13">
            <v>514132.96293375333</v>
          </cell>
          <cell r="K13">
            <v>489748.97799444327</v>
          </cell>
          <cell r="L13">
            <v>482187.30539438291</v>
          </cell>
          <cell r="M13">
            <v>485636.31790802866</v>
          </cell>
          <cell r="N13">
            <v>481089.94628181407</v>
          </cell>
          <cell r="O13">
            <v>479607.34783520486</v>
          </cell>
          <cell r="P13">
            <v>475165.63679056946</v>
          </cell>
          <cell r="Q13">
            <v>490889.32691649272</v>
          </cell>
          <cell r="R13">
            <v>495296.20518255612</v>
          </cell>
          <cell r="S13">
            <v>477316.98917737685</v>
          </cell>
          <cell r="T13">
            <v>481003.26459190703</v>
          </cell>
          <cell r="U13">
            <v>484946.0502189633</v>
          </cell>
          <cell r="V13">
            <v>290536.01561368257</v>
          </cell>
          <cell r="W13">
            <v>327011.46241477772</v>
          </cell>
        </row>
        <row r="20">
          <cell r="A20" t="str">
            <v>Light commercial vehicles</v>
          </cell>
          <cell r="B20">
            <v>67104.703262425566</v>
          </cell>
          <cell r="C20">
            <v>70599.78065310065</v>
          </cell>
          <cell r="D20">
            <v>71782.892358628844</v>
          </cell>
          <cell r="E20">
            <v>74503.485281039699</v>
          </cell>
          <cell r="F20">
            <v>76766.808987321449</v>
          </cell>
          <cell r="G20">
            <v>78469.885293370666</v>
          </cell>
          <cell r="H20">
            <v>79352.372349876328</v>
          </cell>
          <cell r="I20">
            <v>83381.785458391169</v>
          </cell>
          <cell r="J20">
            <v>83087.02297828169</v>
          </cell>
          <cell r="K20">
            <v>82183.784600064959</v>
          </cell>
          <cell r="L20">
            <v>83856.305028275601</v>
          </cell>
          <cell r="M20">
            <v>84994.279007460558</v>
          </cell>
          <cell r="N20">
            <v>82181.742019867248</v>
          </cell>
          <cell r="O20">
            <v>82095.201825651427</v>
          </cell>
          <cell r="P20">
            <v>84466.741241530297</v>
          </cell>
          <cell r="Q20">
            <v>85334.940455657939</v>
          </cell>
          <cell r="R20">
            <v>86377.673453126365</v>
          </cell>
          <cell r="S20">
            <v>89237.305009327858</v>
          </cell>
          <cell r="T20">
            <v>90922.062399519156</v>
          </cell>
          <cell r="U20">
            <v>93051.253882592733</v>
          </cell>
          <cell r="V20">
            <v>87281.470173344904</v>
          </cell>
          <cell r="W20">
            <v>96224.809828459576</v>
          </cell>
        </row>
        <row r="26">
          <cell r="A26" t="str">
            <v>Heavy goods vehicles</v>
          </cell>
          <cell r="B26">
            <v>1307595.5670135142</v>
          </cell>
          <cell r="C26">
            <v>1351666.6325400418</v>
          </cell>
          <cell r="D26">
            <v>1399280.5121613415</v>
          </cell>
          <cell r="E26">
            <v>1401310.5514471307</v>
          </cell>
          <cell r="F26">
            <v>1545325.8347390487</v>
          </cell>
          <cell r="G26">
            <v>1588632.5415685293</v>
          </cell>
          <cell r="H26">
            <v>1639241.0770877344</v>
          </cell>
          <cell r="I26">
            <v>1698163.7222408303</v>
          </cell>
          <cell r="J26">
            <v>1677002.1346472939</v>
          </cell>
          <cell r="K26">
            <v>1515849.7568493148</v>
          </cell>
          <cell r="L26">
            <v>1558712.8403168814</v>
          </cell>
          <cell r="M26">
            <v>1542024.4324815338</v>
          </cell>
          <cell r="N26">
            <v>1482052.1453989572</v>
          </cell>
          <cell r="O26">
            <v>1516727.6222790815</v>
          </cell>
          <cell r="P26">
            <v>1527781.313294091</v>
          </cell>
          <cell r="Q26">
            <v>1562317.3587202737</v>
          </cell>
          <cell r="R26">
            <v>1620084.3436966741</v>
          </cell>
          <cell r="S26">
            <v>1707646.9871242896</v>
          </cell>
          <cell r="T26">
            <v>1707812.5097761312</v>
          </cell>
          <cell r="U26">
            <v>1765116.7010626465</v>
          </cell>
          <cell r="V26">
            <v>1745660.7010626465</v>
          </cell>
          <cell r="W26">
            <v>1862843.7010626465</v>
          </cell>
        </row>
      </sheetData>
      <sheetData sheetId="4">
        <row r="19">
          <cell r="B19">
            <v>3405.2524978711281</v>
          </cell>
          <cell r="C19">
            <v>3482.8462312535921</v>
          </cell>
          <cell r="D19">
            <v>3502.2502177883889</v>
          </cell>
          <cell r="E19">
            <v>3559.2388570995472</v>
          </cell>
          <cell r="F19">
            <v>3625.4333148614178</v>
          </cell>
          <cell r="G19">
            <v>3699.6045614803447</v>
          </cell>
          <cell r="H19">
            <v>3624.2287889147105</v>
          </cell>
          <cell r="I19">
            <v>3473.6671831717799</v>
          </cell>
          <cell r="J19">
            <v>3580.4361790254534</v>
          </cell>
          <cell r="K19">
            <v>3516.4558454765843</v>
          </cell>
          <cell r="L19">
            <v>3577.9422822922202</v>
          </cell>
          <cell r="M19">
            <v>3572.5989157514646</v>
          </cell>
          <cell r="N19">
            <v>3484.1139694852895</v>
          </cell>
          <cell r="O19">
            <v>3445.9145597869738</v>
          </cell>
          <cell r="P19">
            <v>3528.1513822885363</v>
          </cell>
          <cell r="Q19">
            <v>3563.4150863828181</v>
          </cell>
          <cell r="R19">
            <v>3564.8188872358655</v>
          </cell>
          <cell r="S19">
            <v>3381.2569290030924</v>
          </cell>
          <cell r="T19">
            <v>3226.1397661589654</v>
          </cell>
          <cell r="U19">
            <v>3368.9220758774613</v>
          </cell>
          <cell r="V19">
            <v>2954.9556918445373</v>
          </cell>
          <cell r="W19">
            <v>2939.8796506624867</v>
          </cell>
        </row>
        <row r="21">
          <cell r="B21">
            <v>149935.38249775683</v>
          </cell>
          <cell r="C21">
            <v>152093.15745184777</v>
          </cell>
          <cell r="D21">
            <v>155147.7300060472</v>
          </cell>
          <cell r="E21">
            <v>155902.75206987155</v>
          </cell>
          <cell r="F21">
            <v>158342.91626938019</v>
          </cell>
          <cell r="G21">
            <v>157061.47452220417</v>
          </cell>
          <cell r="H21">
            <v>159856.05305984779</v>
          </cell>
          <cell r="I21">
            <v>162101.7112659172</v>
          </cell>
          <cell r="J21">
            <v>161053.33715289619</v>
          </cell>
          <cell r="K21">
            <v>161282.30094452683</v>
          </cell>
          <cell r="L21">
            <v>158883.98056794284</v>
          </cell>
          <cell r="M21">
            <v>158234.47650428402</v>
          </cell>
          <cell r="N21">
            <v>153403.21660443893</v>
          </cell>
          <cell r="O21">
            <v>152974.29983633509</v>
          </cell>
          <cell r="P21">
            <v>157076.63887012229</v>
          </cell>
          <cell r="Q21">
            <v>159218.79237634217</v>
          </cell>
          <cell r="R21">
            <v>161556.8392505681</v>
          </cell>
          <cell r="S21">
            <v>163869.88804132355</v>
          </cell>
          <cell r="T21">
            <v>163300.34131917977</v>
          </cell>
          <cell r="U21">
            <v>164672.37057016953</v>
          </cell>
          <cell r="V21">
            <v>140478.30527407263</v>
          </cell>
          <cell r="W21">
            <v>150346.72987449047</v>
          </cell>
        </row>
        <row r="33">
          <cell r="B33">
            <v>13708.833394444267</v>
          </cell>
          <cell r="C33">
            <v>13617.652472338954</v>
          </cell>
          <cell r="D33">
            <v>13505.931069973931</v>
          </cell>
          <cell r="E33">
            <v>13627.11622871438</v>
          </cell>
          <cell r="F33">
            <v>13529.002121841857</v>
          </cell>
          <cell r="G33">
            <v>13293.969215746594</v>
          </cell>
          <cell r="H33">
            <v>13418.894030598103</v>
          </cell>
          <cell r="I33">
            <v>13476.852148225673</v>
          </cell>
          <cell r="J33">
            <v>13540.856841740118</v>
          </cell>
          <cell r="K33">
            <v>13553.458179116016</v>
          </cell>
          <cell r="L33">
            <v>13617.040419110976</v>
          </cell>
          <cell r="M33">
            <v>13810.195610602033</v>
          </cell>
          <cell r="N33">
            <v>13611.258360042682</v>
          </cell>
          <cell r="O33">
            <v>13614.142847325475</v>
          </cell>
          <cell r="P33">
            <v>13861.804681359512</v>
          </cell>
          <cell r="Q33">
            <v>14303.877053568222</v>
          </cell>
          <cell r="R33">
            <v>14555.805398975504</v>
          </cell>
          <cell r="S33">
            <v>14345.350620011699</v>
          </cell>
          <cell r="T33">
            <v>14425.428607203203</v>
          </cell>
          <cell r="U33">
            <v>14615.553511508031</v>
          </cell>
          <cell r="V33">
            <v>13308.573002825578</v>
          </cell>
          <cell r="W33">
            <v>13712.698944219923</v>
          </cell>
        </row>
        <row r="43">
          <cell r="B43">
            <v>31812.205057209605</v>
          </cell>
          <cell r="C43">
            <v>31766.738819263694</v>
          </cell>
          <cell r="D43">
            <v>31587.17643246887</v>
          </cell>
          <cell r="E43">
            <v>32035.041011913683</v>
          </cell>
          <cell r="F43">
            <v>32341.027680656527</v>
          </cell>
          <cell r="G43">
            <v>32551.874871227559</v>
          </cell>
          <cell r="H43">
            <v>31866.559651522999</v>
          </cell>
          <cell r="I43">
            <v>32807.128033931949</v>
          </cell>
          <cell r="J43">
            <v>32290.385163912626</v>
          </cell>
          <cell r="K43">
            <v>31566.992668406663</v>
          </cell>
          <cell r="L43">
            <v>32161.59472338104</v>
          </cell>
          <cell r="M43">
            <v>32439.042554579053</v>
          </cell>
          <cell r="N43">
            <v>30775.708433331594</v>
          </cell>
          <cell r="O43">
            <v>30007.388235604791</v>
          </cell>
          <cell r="P43">
            <v>30477.587455624038</v>
          </cell>
          <cell r="Q43">
            <v>30271.176685667418</v>
          </cell>
          <cell r="R43">
            <v>30038.905852421267</v>
          </cell>
          <cell r="S43">
            <v>30620.535658885728</v>
          </cell>
          <cell r="T43">
            <v>30870.983134985094</v>
          </cell>
          <cell r="U43">
            <v>31217.739868472294</v>
          </cell>
          <cell r="V43">
            <v>28979.82081169778</v>
          </cell>
          <cell r="W43">
            <v>32318.074680845122</v>
          </cell>
        </row>
        <row r="52">
          <cell r="B52">
            <v>44377.501235140022</v>
          </cell>
          <cell r="C52">
            <v>46693.667030448923</v>
          </cell>
          <cell r="D52">
            <v>47279.961290902051</v>
          </cell>
          <cell r="E52">
            <v>48612.110636141486</v>
          </cell>
          <cell r="F52">
            <v>52073.100556117846</v>
          </cell>
          <cell r="G52">
            <v>53634.078374387587</v>
          </cell>
          <cell r="H52">
            <v>57362.363978637761</v>
          </cell>
          <cell r="I52">
            <v>58638.55454740503</v>
          </cell>
          <cell r="J52">
            <v>56433.068589584189</v>
          </cell>
          <cell r="K52">
            <v>51336.562815477228</v>
          </cell>
          <cell r="L52">
            <v>52416.099567997298</v>
          </cell>
          <cell r="M52">
            <v>51374.31951398091</v>
          </cell>
          <cell r="N52">
            <v>49268.000568670235</v>
          </cell>
          <cell r="O52">
            <v>47951.909981371398</v>
          </cell>
          <cell r="P52">
            <v>47137.087461282412</v>
          </cell>
          <cell r="Q52">
            <v>48008.18797170803</v>
          </cell>
          <cell r="R52">
            <v>51279.867484723596</v>
          </cell>
          <cell r="S52">
            <v>54006.498512505466</v>
          </cell>
          <cell r="T52">
            <v>55599.632845401975</v>
          </cell>
          <cell r="U52">
            <v>56110.784642508304</v>
          </cell>
          <cell r="V52">
            <v>52336.892180496543</v>
          </cell>
          <cell r="W52">
            <v>57517.604625660941</v>
          </cell>
        </row>
      </sheetData>
      <sheetData sheetId="5">
        <row r="19">
          <cell r="B19">
            <v>9875.9120016382785</v>
          </cell>
          <cell r="C19">
            <v>10100.742054078064</v>
          </cell>
          <cell r="D19">
            <v>10146.88267958325</v>
          </cell>
          <cell r="E19">
            <v>10305.183003479675</v>
          </cell>
          <cell r="F19">
            <v>10496.73954853093</v>
          </cell>
          <cell r="G19">
            <v>10688.614804590341</v>
          </cell>
          <cell r="H19">
            <v>10446.129027328592</v>
          </cell>
          <cell r="I19">
            <v>9978.3268664778025</v>
          </cell>
          <cell r="J19">
            <v>10211.419595779353</v>
          </cell>
          <cell r="K19">
            <v>9978.8529891855815</v>
          </cell>
          <cell r="L19">
            <v>10093.732193449405</v>
          </cell>
          <cell r="M19">
            <v>10071.680364514601</v>
          </cell>
          <cell r="N19">
            <v>9812.8094972585659</v>
          </cell>
          <cell r="O19">
            <v>9721.3091047902508</v>
          </cell>
          <cell r="P19">
            <v>9963.8517332181073</v>
          </cell>
          <cell r="Q19">
            <v>10046.731184497014</v>
          </cell>
          <cell r="R19">
            <v>10067.426748916852</v>
          </cell>
          <cell r="S19">
            <v>9538.1299713843382</v>
          </cell>
          <cell r="T19">
            <v>9080.684703961062</v>
          </cell>
          <cell r="U19">
            <v>9481.4838102669655</v>
          </cell>
          <cell r="V19">
            <v>8292.1761492532987</v>
          </cell>
          <cell r="W19">
            <v>8236.6816172325634</v>
          </cell>
        </row>
        <row r="20">
          <cell r="B20">
            <v>442066.5793605583</v>
          </cell>
          <cell r="C20">
            <v>448754.90853862086</v>
          </cell>
          <cell r="D20">
            <v>457911.5774874941</v>
          </cell>
          <cell r="E20">
            <v>460387.19539714494</v>
          </cell>
          <cell r="F20">
            <v>467576.37514656858</v>
          </cell>
          <cell r="G20">
            <v>462259.52982419485</v>
          </cell>
          <cell r="H20">
            <v>468411.90791057248</v>
          </cell>
          <cell r="I20">
            <v>472680.51464622002</v>
          </cell>
          <cell r="J20">
            <v>466763.35820949764</v>
          </cell>
          <cell r="K20">
            <v>464392.34404734505</v>
          </cell>
          <cell r="L20">
            <v>455050.99888818321</v>
          </cell>
          <cell r="M20">
            <v>452286.16082666785</v>
          </cell>
          <cell r="N20">
            <v>436647.58353113156</v>
          </cell>
          <cell r="O20">
            <v>438125.02258272021</v>
          </cell>
          <cell r="P20">
            <v>449016.34151762025</v>
          </cell>
          <cell r="Q20">
            <v>455392.43487741449</v>
          </cell>
          <cell r="R20">
            <v>462918.29926545313</v>
          </cell>
          <cell r="S20">
            <v>468014.56096125982</v>
          </cell>
          <cell r="T20">
            <v>463895.9791480538</v>
          </cell>
          <cell r="U20">
            <v>466879.05953971983</v>
          </cell>
          <cell r="V20">
            <v>394393.22789491579</v>
          </cell>
          <cell r="W20">
            <v>421659.4160701778</v>
          </cell>
        </row>
        <row r="27">
          <cell r="B27">
            <v>42238.617486078059</v>
          </cell>
          <cell r="C27">
            <v>41898.525665437155</v>
          </cell>
          <cell r="D27">
            <v>41514.572369344431</v>
          </cell>
          <cell r="E27">
            <v>41846.020740190608</v>
          </cell>
          <cell r="F27">
            <v>41422.576312910045</v>
          </cell>
          <cell r="G27">
            <v>40493.113407120327</v>
          </cell>
          <cell r="H27">
            <v>40475.080691583375</v>
          </cell>
          <cell r="I27">
            <v>40326.113788185823</v>
          </cell>
          <cell r="J27">
            <v>40140.861646262223</v>
          </cell>
          <cell r="K27">
            <v>39854.452717327331</v>
          </cell>
          <cell r="L27">
            <v>39851.912297237664</v>
          </cell>
          <cell r="M27">
            <v>40070.758900442495</v>
          </cell>
          <cell r="N27">
            <v>39176.322484918092</v>
          </cell>
          <cell r="O27">
            <v>39271.21134459669</v>
          </cell>
          <cell r="P27">
            <v>39835.856690914465</v>
          </cell>
          <cell r="Q27">
            <v>41122.591745102116</v>
          </cell>
          <cell r="R27">
            <v>42029.793128961253</v>
          </cell>
          <cell r="S27">
            <v>41144.003858075863</v>
          </cell>
          <cell r="T27">
            <v>41142.985060217135</v>
          </cell>
          <cell r="U27">
            <v>41420.022917323353</v>
          </cell>
          <cell r="V27">
            <v>37136.068695197617</v>
          </cell>
          <cell r="W27">
            <v>38243.501671146609</v>
          </cell>
        </row>
        <row r="34">
          <cell r="B34">
            <v>97348.347844621137</v>
          </cell>
          <cell r="C34">
            <v>97185.001551388457</v>
          </cell>
          <cell r="D34">
            <v>96638.587640390717</v>
          </cell>
          <cell r="E34">
            <v>98004.78869893268</v>
          </cell>
          <cell r="F34">
            <v>98731.892404879778</v>
          </cell>
          <cell r="G34">
            <v>99056.40516501735</v>
          </cell>
          <cell r="H34">
            <v>96358.006497762617</v>
          </cell>
          <cell r="I34">
            <v>98425.238637340561</v>
          </cell>
          <cell r="J34">
            <v>95981.007872402071</v>
          </cell>
          <cell r="K34">
            <v>92900.751375660693</v>
          </cell>
          <cell r="L34">
            <v>94196.452293227587</v>
          </cell>
          <cell r="M34">
            <v>94736.843187269697</v>
          </cell>
          <cell r="N34">
            <v>89403.374248587075</v>
          </cell>
          <cell r="O34">
            <v>87526.952578500553</v>
          </cell>
          <cell r="P34">
            <v>88538.966682725571</v>
          </cell>
          <cell r="Q34">
            <v>88035.346180975888</v>
          </cell>
          <cell r="R34">
            <v>87766.743706706271</v>
          </cell>
          <cell r="S34">
            <v>89012.960144792349</v>
          </cell>
          <cell r="T34">
            <v>89177.700384572847</v>
          </cell>
          <cell r="U34">
            <v>89877.104592270596</v>
          </cell>
          <cell r="V34">
            <v>82698.968441938559</v>
          </cell>
          <cell r="W34">
            <v>92304.356571621349</v>
          </cell>
        </row>
        <row r="40">
          <cell r="B40">
            <v>136890.09597951773</v>
          </cell>
          <cell r="C40">
            <v>143958.51134808018</v>
          </cell>
          <cell r="D40">
            <v>145547.64753794365</v>
          </cell>
          <cell r="E40">
            <v>149473.54659465517</v>
          </cell>
          <cell r="F40">
            <v>159891.45403374668</v>
          </cell>
          <cell r="G40">
            <v>163584.74490333072</v>
          </cell>
          <cell r="H40">
            <v>172795.28636503572</v>
          </cell>
          <cell r="I40">
            <v>174812.81273947144</v>
          </cell>
          <cell r="J40">
            <v>167500.22026634504</v>
          </cell>
          <cell r="K40">
            <v>151367.121581924</v>
          </cell>
          <cell r="L40">
            <v>153800.5290781472</v>
          </cell>
          <cell r="M40">
            <v>150323.12538337096</v>
          </cell>
          <cell r="N40">
            <v>143255.32729592716</v>
          </cell>
          <cell r="O40">
            <v>140513.35507953988</v>
          </cell>
          <cell r="P40">
            <v>137376.17861913229</v>
          </cell>
          <cell r="Q40">
            <v>140317.76309305342</v>
          </cell>
          <cell r="R40">
            <v>150486.78796616977</v>
          </cell>
          <cell r="S40">
            <v>158017.34710874615</v>
          </cell>
          <cell r="T40">
            <v>161529.57603085955</v>
          </cell>
          <cell r="U40">
            <v>162706.95442168688</v>
          </cell>
          <cell r="V40">
            <v>150056.18795426024</v>
          </cell>
          <cell r="W40">
            <v>165580.17985784242</v>
          </cell>
        </row>
      </sheetData>
      <sheetData sheetId="6"/>
      <sheetData sheetId="7">
        <row r="5">
          <cell r="A5" t="str">
            <v>Metro and tram, urban light rail</v>
          </cell>
          <cell r="B5">
            <v>67843.840564744096</v>
          </cell>
          <cell r="C5">
            <v>68539.656573900225</v>
          </cell>
          <cell r="D5">
            <v>69374.812774150167</v>
          </cell>
          <cell r="E5">
            <v>70183.361905556143</v>
          </cell>
          <cell r="F5">
            <v>72445.632887244108</v>
          </cell>
          <cell r="G5">
            <v>73154.697458878698</v>
          </cell>
          <cell r="H5">
            <v>74583.334218657837</v>
          </cell>
          <cell r="I5">
            <v>76350.815575898509</v>
          </cell>
          <cell r="J5">
            <v>79124.684832482046</v>
          </cell>
          <cell r="K5">
            <v>78491.058768954535</v>
          </cell>
          <cell r="L5">
            <v>80818.824573023419</v>
          </cell>
          <cell r="M5">
            <v>81212.75915489922</v>
          </cell>
          <cell r="N5">
            <v>82300.482448189461</v>
          </cell>
          <cell r="O5">
            <v>81874.19394914154</v>
          </cell>
          <cell r="P5">
            <v>82028.681334256587</v>
          </cell>
          <cell r="Q5">
            <v>79939.70388606796</v>
          </cell>
          <cell r="R5">
            <v>82344.575219371458</v>
          </cell>
          <cell r="S5">
            <v>84124.391371363308</v>
          </cell>
          <cell r="T5">
            <v>86275.847035955259</v>
          </cell>
          <cell r="U5">
            <v>86131.8096350509</v>
          </cell>
          <cell r="V5">
            <v>51633.24688621876</v>
          </cell>
          <cell r="W5">
            <v>55543.667320154651</v>
          </cell>
        </row>
        <row r="6">
          <cell r="A6" t="str">
            <v>Conventional passenger trains</v>
          </cell>
          <cell r="B6">
            <v>279790.78502490831</v>
          </cell>
          <cell r="C6">
            <v>274768.58030944155</v>
          </cell>
          <cell r="D6">
            <v>263902.80261380452</v>
          </cell>
          <cell r="E6">
            <v>256117.94756335358</v>
          </cell>
          <cell r="F6">
            <v>256276</v>
          </cell>
          <cell r="G6">
            <v>260160.99999999997</v>
          </cell>
          <cell r="H6">
            <v>265968</v>
          </cell>
          <cell r="I6">
            <v>265333.40746100002</v>
          </cell>
          <cell r="J6">
            <v>268919.54694299999</v>
          </cell>
          <cell r="K6">
            <v>255097.60376099998</v>
          </cell>
          <cell r="L6">
            <v>252199.85892402832</v>
          </cell>
          <cell r="M6">
            <v>259539.61330985857</v>
          </cell>
          <cell r="N6">
            <v>260950.77120198178</v>
          </cell>
          <cell r="O6">
            <v>263500.21886941406</v>
          </cell>
          <cell r="P6">
            <v>268824.41951914661</v>
          </cell>
          <cell r="Q6">
            <v>271182.72936015407</v>
          </cell>
          <cell r="R6">
            <v>272009.8079018204</v>
          </cell>
          <cell r="S6">
            <v>276503.09581999999</v>
          </cell>
          <cell r="T6">
            <v>281054.27875400003</v>
          </cell>
          <cell r="U6">
            <v>288745.90493000002</v>
          </cell>
          <cell r="V6">
            <v>157860.8458726622</v>
          </cell>
          <cell r="W6">
            <v>180012.79495499231</v>
          </cell>
        </row>
        <row r="9">
          <cell r="A9" t="str">
            <v>High speed passenger trains</v>
          </cell>
          <cell r="B9">
            <v>58796</v>
          </cell>
          <cell r="C9">
            <v>65126</v>
          </cell>
          <cell r="D9">
            <v>68005</v>
          </cell>
          <cell r="E9">
            <v>70661</v>
          </cell>
          <cell r="F9">
            <v>75671</v>
          </cell>
          <cell r="G9">
            <v>79663</v>
          </cell>
          <cell r="H9">
            <v>83411</v>
          </cell>
          <cell r="I9">
            <v>87303</v>
          </cell>
          <cell r="J9">
            <v>96610</v>
          </cell>
          <cell r="K9">
            <v>103086</v>
          </cell>
          <cell r="L9">
            <v>104855.378343438</v>
          </cell>
          <cell r="M9">
            <v>103695.34</v>
          </cell>
          <cell r="N9">
            <v>105439.88</v>
          </cell>
          <cell r="O9">
            <v>107304.05</v>
          </cell>
          <cell r="P9">
            <v>106379.7</v>
          </cell>
          <cell r="Q9">
            <v>109923.6</v>
          </cell>
          <cell r="R9">
            <v>114315.5</v>
          </cell>
          <cell r="S9">
            <v>124234.54</v>
          </cell>
          <cell r="T9">
            <v>126074.79</v>
          </cell>
          <cell r="U9">
            <v>132007.74</v>
          </cell>
          <cell r="V9">
            <v>69372.287669337777</v>
          </cell>
          <cell r="W9">
            <v>85223.347676007645</v>
          </cell>
        </row>
        <row r="10">
          <cell r="B10">
            <v>387920.754642224</v>
          </cell>
          <cell r="C10">
            <v>369253.30225225695</v>
          </cell>
          <cell r="D10">
            <v>368161.19255303108</v>
          </cell>
          <cell r="E10">
            <v>376309.26875462406</v>
          </cell>
          <cell r="F10">
            <v>390035</v>
          </cell>
          <cell r="G10">
            <v>394596.99999999994</v>
          </cell>
          <cell r="H10">
            <v>416246</v>
          </cell>
          <cell r="I10">
            <v>430724.00000000006</v>
          </cell>
          <cell r="J10">
            <v>421685.99999999988</v>
          </cell>
          <cell r="K10">
            <v>344369.00000000006</v>
          </cell>
          <cell r="L10">
            <v>374955</v>
          </cell>
          <cell r="M10">
            <v>401122</v>
          </cell>
          <cell r="N10">
            <v>385189.00000000006</v>
          </cell>
          <cell r="O10">
            <v>384319</v>
          </cell>
          <cell r="P10">
            <v>388931.99999999994</v>
          </cell>
          <cell r="Q10">
            <v>398517</v>
          </cell>
          <cell r="R10">
            <v>407458</v>
          </cell>
          <cell r="S10">
            <v>411278.00000000006</v>
          </cell>
          <cell r="T10">
            <v>418314</v>
          </cell>
          <cell r="U10">
            <v>407921.00000000006</v>
          </cell>
          <cell r="V10">
            <v>377307</v>
          </cell>
          <cell r="W10">
            <v>409571.98254603677</v>
          </cell>
        </row>
      </sheetData>
      <sheetData sheetId="8">
        <row r="12">
          <cell r="B12">
            <v>374.66872104241804</v>
          </cell>
          <cell r="C12">
            <v>377.04704357921105</v>
          </cell>
          <cell r="D12">
            <v>378.1660251198125</v>
          </cell>
          <cell r="E12">
            <v>385.24981657032123</v>
          </cell>
          <cell r="F12">
            <v>390.64880592324772</v>
          </cell>
          <cell r="G12">
            <v>374.70225754876498</v>
          </cell>
          <cell r="H12">
            <v>374.42952450614354</v>
          </cell>
          <cell r="I12">
            <v>377.42842663054017</v>
          </cell>
          <cell r="J12">
            <v>382.08405171197381</v>
          </cell>
          <cell r="K12">
            <v>380.45795455253108</v>
          </cell>
          <cell r="L12">
            <v>386.16577570279526</v>
          </cell>
          <cell r="M12">
            <v>381.84666294815349</v>
          </cell>
          <cell r="N12">
            <v>379.94087539024457</v>
          </cell>
          <cell r="O12">
            <v>372.96428376314304</v>
          </cell>
          <cell r="P12">
            <v>364.77742716565609</v>
          </cell>
          <cell r="Q12">
            <v>344.84436868026637</v>
          </cell>
          <cell r="R12">
            <v>347.75370205092463</v>
          </cell>
          <cell r="S12">
            <v>347.20108610157888</v>
          </cell>
          <cell r="T12">
            <v>347.0700085323312</v>
          </cell>
          <cell r="U12">
            <v>344.73801871007441</v>
          </cell>
          <cell r="V12">
            <v>298.67933256064413</v>
          </cell>
          <cell r="W12">
            <v>305.65638544534727</v>
          </cell>
        </row>
        <row r="13">
          <cell r="B13">
            <v>4377.187393385233</v>
          </cell>
          <cell r="C13">
            <v>4069.2162929653396</v>
          </cell>
          <cell r="D13">
            <v>4103.9354714460915</v>
          </cell>
          <cell r="E13">
            <v>4034.3981941345269</v>
          </cell>
          <cell r="F13">
            <v>4066.2076440824549</v>
          </cell>
          <cell r="G13">
            <v>4030.2290830179209</v>
          </cell>
          <cell r="H13">
            <v>3721.8386692902973</v>
          </cell>
          <cell r="I13">
            <v>3831.0585494035668</v>
          </cell>
          <cell r="J13">
            <v>3745.6188106764689</v>
          </cell>
          <cell r="K13">
            <v>3559.2225405386112</v>
          </cell>
          <cell r="L13">
            <v>3538.9223926111126</v>
          </cell>
          <cell r="M13">
            <v>3545.2566891225865</v>
          </cell>
          <cell r="N13">
            <v>3608.9135706616007</v>
          </cell>
          <cell r="O13">
            <v>3153.0088339514432</v>
          </cell>
          <cell r="P13">
            <v>3049.2537911537975</v>
          </cell>
          <cell r="Q13">
            <v>3087.8374450898755</v>
          </cell>
          <cell r="R13">
            <v>3142.9325354542343</v>
          </cell>
          <cell r="S13">
            <v>3096.2500451517567</v>
          </cell>
          <cell r="T13">
            <v>3043.4838193717096</v>
          </cell>
          <cell r="U13">
            <v>2978.8895247333535</v>
          </cell>
          <cell r="V13">
            <v>2588.0215319679928</v>
          </cell>
          <cell r="W13">
            <v>2908.9141488829355</v>
          </cell>
        </row>
        <row r="16">
          <cell r="B16">
            <v>450.59076546159241</v>
          </cell>
          <cell r="C16">
            <v>511.43616650527105</v>
          </cell>
          <cell r="D16">
            <v>529.03125130670401</v>
          </cell>
          <cell r="E16">
            <v>539.78628156397451</v>
          </cell>
          <cell r="F16">
            <v>578.0819719920255</v>
          </cell>
          <cell r="G16">
            <v>588.38985153488295</v>
          </cell>
          <cell r="H16">
            <v>588.95529445343516</v>
          </cell>
          <cell r="I16">
            <v>597.06847486901859</v>
          </cell>
          <cell r="J16">
            <v>666.23278418266625</v>
          </cell>
          <cell r="K16">
            <v>755.28279336188405</v>
          </cell>
          <cell r="L16">
            <v>752.17837601567794</v>
          </cell>
          <cell r="M16">
            <v>728.44185674076346</v>
          </cell>
          <cell r="N16">
            <v>737.77661142698287</v>
          </cell>
          <cell r="O16">
            <v>733.88994988321099</v>
          </cell>
          <cell r="P16">
            <v>712.04345065343853</v>
          </cell>
          <cell r="Q16">
            <v>721.72513049673842</v>
          </cell>
          <cell r="R16">
            <v>713.17210541401482</v>
          </cell>
          <cell r="S16">
            <v>732.27619749196208</v>
          </cell>
          <cell r="T16">
            <v>712.66940211238898</v>
          </cell>
          <cell r="U16">
            <v>737.45602024516063</v>
          </cell>
          <cell r="V16">
            <v>577.67636057133052</v>
          </cell>
          <cell r="W16">
            <v>646.60797049325572</v>
          </cell>
        </row>
        <row r="17">
          <cell r="B17">
            <v>2181.6855362758456</v>
          </cell>
          <cell r="C17">
            <v>2126.7818383087329</v>
          </cell>
          <cell r="D17">
            <v>2132.340081018192</v>
          </cell>
          <cell r="E17">
            <v>1957.3530680063263</v>
          </cell>
          <cell r="F17">
            <v>1968.0775711235096</v>
          </cell>
          <cell r="G17">
            <v>1817.2037434100398</v>
          </cell>
          <cell r="H17">
            <v>1850.4857120940617</v>
          </cell>
          <cell r="I17">
            <v>1932.3157442817408</v>
          </cell>
          <cell r="J17">
            <v>1768.5168039877904</v>
          </cell>
          <cell r="K17">
            <v>1503.4539944360531</v>
          </cell>
          <cell r="L17">
            <v>1621.0730945354185</v>
          </cell>
          <cell r="M17">
            <v>1584.4730199073274</v>
          </cell>
          <cell r="N17">
            <v>1515.7306794085321</v>
          </cell>
          <cell r="O17">
            <v>1394.5917045432177</v>
          </cell>
          <cell r="P17">
            <v>1334.7768357562557</v>
          </cell>
          <cell r="Q17">
            <v>1291.132006721941</v>
          </cell>
          <cell r="R17">
            <v>1287.8919580266554</v>
          </cell>
          <cell r="S17">
            <v>1335.3693178583139</v>
          </cell>
          <cell r="T17">
            <v>1362.1672257015412</v>
          </cell>
          <cell r="U17">
            <v>1300.7140287447733</v>
          </cell>
          <cell r="V17">
            <v>1320.9797826386398</v>
          </cell>
          <cell r="W17">
            <v>1386.1161641380486</v>
          </cell>
        </row>
      </sheetData>
      <sheetData sheetId="9">
        <row r="10"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</row>
        <row r="11">
          <cell r="B11">
            <v>6221.0235337648892</v>
          </cell>
          <cell r="C11">
            <v>5497.6678774523734</v>
          </cell>
          <cell r="D11">
            <v>5533.8873374056748</v>
          </cell>
          <cell r="E11">
            <v>5714.0665336169386</v>
          </cell>
          <cell r="F11">
            <v>5844.7857837430201</v>
          </cell>
          <cell r="G11">
            <v>5512.0268353098736</v>
          </cell>
          <cell r="H11">
            <v>4973.1594888186746</v>
          </cell>
          <cell r="I11">
            <v>5350.5850938420635</v>
          </cell>
          <cell r="J11">
            <v>5176.3460738733202</v>
          </cell>
          <cell r="K11">
            <v>4593.6206010130009</v>
          </cell>
          <cell r="L11">
            <v>4427.7845226921099</v>
          </cell>
          <cell r="M11">
            <v>4414.5702244988333</v>
          </cell>
          <cell r="N11">
            <v>4554.9308845309615</v>
          </cell>
          <cell r="O11">
            <v>3108.069290064117</v>
          </cell>
          <cell r="P11">
            <v>2948.0821387947331</v>
          </cell>
          <cell r="Q11">
            <v>2864.21866668759</v>
          </cell>
          <cell r="R11">
            <v>2797.1675813866491</v>
          </cell>
          <cell r="S11">
            <v>2693.4178258046836</v>
          </cell>
          <cell r="T11">
            <v>2516.7133946975596</v>
          </cell>
          <cell r="U11">
            <v>2492.910722943825</v>
          </cell>
          <cell r="V11">
            <v>2136.5860448091644</v>
          </cell>
          <cell r="W11">
            <v>2527.1494072522241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</row>
        <row r="15">
          <cell r="B15">
            <v>2924.6644106573522</v>
          </cell>
          <cell r="C15">
            <v>2667.0554036148969</v>
          </cell>
          <cell r="D15">
            <v>2630.6513119249703</v>
          </cell>
          <cell r="E15">
            <v>2443.3243112655286</v>
          </cell>
          <cell r="F15">
            <v>2459.8217273342502</v>
          </cell>
          <cell r="G15">
            <v>2289.946370164163</v>
          </cell>
          <cell r="H15">
            <v>2474.2861435092309</v>
          </cell>
          <cell r="I15">
            <v>2666.6928301651301</v>
          </cell>
          <cell r="J15">
            <v>2562.898204967114</v>
          </cell>
          <cell r="K15">
            <v>2173.3929321759488</v>
          </cell>
          <cell r="L15">
            <v>2394.2592097365259</v>
          </cell>
          <cell r="M15">
            <v>2055.2411772384321</v>
          </cell>
          <cell r="N15">
            <v>1959.3845111250018</v>
          </cell>
          <cell r="O15">
            <v>1537.2549406292082</v>
          </cell>
          <cell r="P15">
            <v>1437.1436852532033</v>
          </cell>
          <cell r="Q15">
            <v>1415.0582791345846</v>
          </cell>
          <cell r="R15">
            <v>1311.5786182514476</v>
          </cell>
          <cell r="S15">
            <v>1338.2748593820552</v>
          </cell>
          <cell r="T15">
            <v>1345.849739061736</v>
          </cell>
          <cell r="U15">
            <v>1331.045721162564</v>
          </cell>
          <cell r="V15">
            <v>1200.2907066309992</v>
          </cell>
          <cell r="W15">
            <v>1354.1025144771261</v>
          </cell>
        </row>
      </sheetData>
      <sheetData sheetId="10">
        <row r="5">
          <cell r="B5">
            <v>82338.13263915779</v>
          </cell>
          <cell r="C5">
            <v>79436.399846937245</v>
          </cell>
          <cell r="D5">
            <v>80334.159801210801</v>
          </cell>
          <cell r="E5">
            <v>82499.599847427715</v>
          </cell>
          <cell r="F5">
            <v>85968.387331822261</v>
          </cell>
          <cell r="G5">
            <v>89851.225520774533</v>
          </cell>
          <cell r="H5">
            <v>93342.474127942638</v>
          </cell>
          <cell r="I5">
            <v>99980.35047151029</v>
          </cell>
          <cell r="J5">
            <v>96178.174589889852</v>
          </cell>
          <cell r="K5">
            <v>93860.581772900943</v>
          </cell>
          <cell r="L5">
            <v>96690.657490001977</v>
          </cell>
          <cell r="M5">
            <v>99620.061922682624</v>
          </cell>
          <cell r="N5">
            <v>93829.836969139593</v>
          </cell>
          <cell r="O5">
            <v>89350.721861301194</v>
          </cell>
          <cell r="P5">
            <v>89252.902634975297</v>
          </cell>
          <cell r="Q5">
            <v>93857.833057810058</v>
          </cell>
          <cell r="R5">
            <v>99825.85302994329</v>
          </cell>
          <cell r="S5">
            <v>105723.81490283168</v>
          </cell>
          <cell r="T5">
            <v>111868.56176820378</v>
          </cell>
          <cell r="U5">
            <v>114681.00020464537</v>
          </cell>
          <cell r="V5">
            <v>45844.97419315904</v>
          </cell>
          <cell r="W5">
            <v>68551.550106408307</v>
          </cell>
        </row>
        <row r="6">
          <cell r="B6">
            <v>306172.9291438543</v>
          </cell>
          <cell r="C6">
            <v>305381.90207946062</v>
          </cell>
          <cell r="D6">
            <v>295991.4376759681</v>
          </cell>
          <cell r="E6">
            <v>310109.51525955868</v>
          </cell>
          <cell r="F6">
            <v>332477.50154098193</v>
          </cell>
          <cell r="G6">
            <v>357593.62254114007</v>
          </cell>
          <cell r="H6">
            <v>373354.14440862497</v>
          </cell>
          <cell r="I6">
            <v>387145.48929547123</v>
          </cell>
          <cell r="J6">
            <v>378136.70382675598</v>
          </cell>
          <cell r="K6">
            <v>349601.12512606301</v>
          </cell>
          <cell r="L6">
            <v>361468.37557870039</v>
          </cell>
          <cell r="M6">
            <v>396517.93670652737</v>
          </cell>
          <cell r="N6">
            <v>396914.91741850402</v>
          </cell>
          <cell r="O6">
            <v>408240.02228308714</v>
          </cell>
          <cell r="P6">
            <v>434420.82606916764</v>
          </cell>
          <cell r="Q6">
            <v>457365.18676886871</v>
          </cell>
          <cell r="R6">
            <v>510018.1179450627</v>
          </cell>
          <cell r="S6">
            <v>558891.66414181876</v>
          </cell>
          <cell r="T6">
            <v>587402.90823263023</v>
          </cell>
          <cell r="U6">
            <v>599350.45484837051</v>
          </cell>
          <cell r="V6">
            <v>162678.00551652178</v>
          </cell>
          <cell r="W6">
            <v>233384.25973631896</v>
          </cell>
        </row>
        <row r="7">
          <cell r="B7">
            <v>327688.47596161265</v>
          </cell>
          <cell r="C7">
            <v>317883.21304666856</v>
          </cell>
          <cell r="D7">
            <v>315366.87032693939</v>
          </cell>
          <cell r="E7">
            <v>317710.93832526088</v>
          </cell>
          <cell r="F7">
            <v>368506.21259671956</v>
          </cell>
          <cell r="G7">
            <v>404163.26470534079</v>
          </cell>
          <cell r="H7">
            <v>424784.30729698378</v>
          </cell>
          <cell r="I7">
            <v>461259.53883689339</v>
          </cell>
          <cell r="J7">
            <v>481145.39029336662</v>
          </cell>
          <cell r="K7">
            <v>457490.08388221671</v>
          </cell>
          <cell r="L7">
            <v>490154.45460764918</v>
          </cell>
          <cell r="M7">
            <v>514934.96553303581</v>
          </cell>
          <cell r="N7">
            <v>524850.3809864514</v>
          </cell>
          <cell r="O7">
            <v>536866.64575561276</v>
          </cell>
          <cell r="P7">
            <v>555087.96401998575</v>
          </cell>
          <cell r="Q7">
            <v>569871.92489832407</v>
          </cell>
          <cell r="R7">
            <v>581503.12126244011</v>
          </cell>
          <cell r="S7">
            <v>628269.48393162049</v>
          </cell>
          <cell r="T7">
            <v>689066.35324764939</v>
          </cell>
          <cell r="U7">
            <v>739103.50275872857</v>
          </cell>
          <cell r="V7">
            <v>198013.02402410054</v>
          </cell>
          <cell r="W7">
            <v>232375.83325779802</v>
          </cell>
        </row>
        <row r="9">
          <cell r="B9">
            <v>415.25356894718698</v>
          </cell>
          <cell r="C9">
            <v>449.1262276439117</v>
          </cell>
          <cell r="D9">
            <v>415.26836419307125</v>
          </cell>
          <cell r="E9">
            <v>378.82428268026786</v>
          </cell>
          <cell r="F9">
            <v>380.32000827410417</v>
          </cell>
          <cell r="G9">
            <v>360.57705964383183</v>
          </cell>
          <cell r="H9">
            <v>346.13194447818967</v>
          </cell>
          <cell r="I9">
            <v>331.94181890986505</v>
          </cell>
          <cell r="J9">
            <v>309.42791310132645</v>
          </cell>
          <cell r="K9">
            <v>278.91789452663943</v>
          </cell>
          <cell r="L9">
            <v>255.87337828657297</v>
          </cell>
          <cell r="M9">
            <v>254.51253353605449</v>
          </cell>
          <cell r="N9">
            <v>234.1304633693222</v>
          </cell>
          <cell r="O9">
            <v>222.93694548451836</v>
          </cell>
          <cell r="P9">
            <v>250.57875135431195</v>
          </cell>
          <cell r="Q9">
            <v>245.71006561027897</v>
          </cell>
          <cell r="R9">
            <v>249.16581900703417</v>
          </cell>
          <cell r="S9">
            <v>249.38452671630412</v>
          </cell>
          <cell r="T9">
            <v>252.96236049529722</v>
          </cell>
          <cell r="U9">
            <v>262.67151572750964</v>
          </cell>
          <cell r="V9">
            <v>228.45080186810708</v>
          </cell>
          <cell r="W9">
            <v>272.01753324348954</v>
          </cell>
        </row>
        <row r="10">
          <cell r="B10">
            <v>1584.2301623788003</v>
          </cell>
          <cell r="C10">
            <v>1548.4561318122164</v>
          </cell>
          <cell r="D10">
            <v>1535.2549470385038</v>
          </cell>
          <cell r="E10">
            <v>1581.5275406198557</v>
          </cell>
          <cell r="F10">
            <v>1654.9073079083378</v>
          </cell>
          <cell r="G10">
            <v>1736.1596102198839</v>
          </cell>
          <cell r="H10">
            <v>1852.1548762277093</v>
          </cell>
          <cell r="I10">
            <v>1933.562251827381</v>
          </cell>
          <cell r="J10">
            <v>1903.6870929808006</v>
          </cell>
          <cell r="K10">
            <v>1776.8115156524784</v>
          </cell>
          <cell r="L10">
            <v>1853.6420323263114</v>
          </cell>
          <cell r="M10">
            <v>1860.1834212164858</v>
          </cell>
          <cell r="N10">
            <v>1878.9685740053615</v>
          </cell>
          <cell r="O10">
            <v>1875.0013508322518</v>
          </cell>
          <cell r="P10">
            <v>2137.4599238597216</v>
          </cell>
          <cell r="Q10">
            <v>2168.8837952995168</v>
          </cell>
          <cell r="R10">
            <v>2191.4782196800415</v>
          </cell>
          <cell r="S10">
            <v>2227.8357503763091</v>
          </cell>
          <cell r="T10">
            <v>2276.3267130228228</v>
          </cell>
          <cell r="U10">
            <v>2374.5443351496892</v>
          </cell>
          <cell r="V10">
            <v>2153.2466091142114</v>
          </cell>
          <cell r="W10">
            <v>2490.2632392567934</v>
          </cell>
        </row>
        <row r="11">
          <cell r="B11">
            <v>23991.020633281507</v>
          </cell>
          <cell r="C11">
            <v>23152.904914197763</v>
          </cell>
          <cell r="D11">
            <v>23661.378106035947</v>
          </cell>
          <cell r="E11">
            <v>23815.632956915015</v>
          </cell>
          <cell r="F11">
            <v>25302.473198418538</v>
          </cell>
          <cell r="G11">
            <v>27064.853750075552</v>
          </cell>
          <cell r="H11">
            <v>29060.007092121839</v>
          </cell>
          <cell r="I11">
            <v>31412.41683202386</v>
          </cell>
          <cell r="J11">
            <v>32219.176236850202</v>
          </cell>
          <cell r="K11">
            <v>28580.284498915345</v>
          </cell>
          <cell r="L11">
            <v>34429.229741565192</v>
          </cell>
          <cell r="M11">
            <v>37375.561007095195</v>
          </cell>
          <cell r="N11">
            <v>35641.472266559191</v>
          </cell>
          <cell r="O11">
            <v>35415.244194811399</v>
          </cell>
          <cell r="P11">
            <v>39514.894214843684</v>
          </cell>
          <cell r="Q11">
            <v>40969.107606390877</v>
          </cell>
          <cell r="R11">
            <v>41575.047856511352</v>
          </cell>
          <cell r="S11">
            <v>44799.97814804552</v>
          </cell>
          <cell r="T11">
            <v>46227.215419169625</v>
          </cell>
          <cell r="U11">
            <v>45157.104704644713</v>
          </cell>
          <cell r="V11">
            <v>42305.567992370619</v>
          </cell>
          <cell r="W11">
            <v>43763.183999466972</v>
          </cell>
        </row>
      </sheetData>
      <sheetData sheetId="11">
        <row r="7">
          <cell r="B7">
            <v>5480.6112647712825</v>
          </cell>
          <cell r="C7">
            <v>5323.5778538382365</v>
          </cell>
          <cell r="D7">
            <v>5008.5835954514569</v>
          </cell>
          <cell r="E7">
            <v>5079.1841298094923</v>
          </cell>
          <cell r="F7">
            <v>5256.7915018685862</v>
          </cell>
          <cell r="G7">
            <v>5631.1969421902986</v>
          </cell>
          <cell r="H7">
            <v>5768.5374825181052</v>
          </cell>
          <cell r="I7">
            <v>6063.2672255694069</v>
          </cell>
          <cell r="J7">
            <v>5868.7442355897801</v>
          </cell>
          <cell r="K7">
            <v>5334.3214076825479</v>
          </cell>
          <cell r="L7">
            <v>5501.6319934655976</v>
          </cell>
          <cell r="M7">
            <v>5860.9231616247507</v>
          </cell>
          <cell r="N7">
            <v>5425.7097119113096</v>
          </cell>
          <cell r="O7">
            <v>5069.9466234149386</v>
          </cell>
          <cell r="P7">
            <v>5090.3053933896463</v>
          </cell>
          <cell r="Q7">
            <v>5294.1040088697373</v>
          </cell>
          <cell r="R7">
            <v>5625.462486092074</v>
          </cell>
          <cell r="S7">
            <v>5876.3172045975834</v>
          </cell>
          <cell r="T7">
            <v>6141.9751931462861</v>
          </cell>
          <cell r="U7">
            <v>6379.19436405331</v>
          </cell>
          <cell r="V7">
            <v>2915.0848518675398</v>
          </cell>
          <cell r="W7">
            <v>4152.5020121266016</v>
          </cell>
        </row>
        <row r="8">
          <cell r="B8">
            <v>10936.747853450281</v>
          </cell>
          <cell r="C8">
            <v>10960.315970801794</v>
          </cell>
          <cell r="D8">
            <v>10424.234189278601</v>
          </cell>
          <cell r="E8">
            <v>11161.415837080169</v>
          </cell>
          <cell r="F8">
            <v>11738.626346383644</v>
          </cell>
          <cell r="G8">
            <v>12212.729039314214</v>
          </cell>
          <cell r="H8">
            <v>13011.081264034627</v>
          </cell>
          <cell r="I8">
            <v>13800.912886125305</v>
          </cell>
          <cell r="J8">
            <v>13957.049831363765</v>
          </cell>
          <cell r="K8">
            <v>12320.264232748901</v>
          </cell>
          <cell r="L8">
            <v>12232.329292562048</v>
          </cell>
          <cell r="M8">
            <v>12922.598345526763</v>
          </cell>
          <cell r="N8">
            <v>12561.109070446266</v>
          </cell>
          <cell r="O8">
            <v>12649.60427062501</v>
          </cell>
          <cell r="P8">
            <v>13080.338126802539</v>
          </cell>
          <cell r="Q8">
            <v>13745.73099236145</v>
          </cell>
          <cell r="R8">
            <v>15123.525996034155</v>
          </cell>
          <cell r="S8">
            <v>16746.845312164198</v>
          </cell>
          <cell r="T8">
            <v>17679.091386137941</v>
          </cell>
          <cell r="U8">
            <v>17850.446564115435</v>
          </cell>
          <cell r="V8">
            <v>5388.795048361334</v>
          </cell>
          <cell r="W8">
            <v>7236.0424200724938</v>
          </cell>
        </row>
        <row r="9">
          <cell r="B9">
            <v>15185.273560143583</v>
          </cell>
          <cell r="C9">
            <v>14688.635448728985</v>
          </cell>
          <cell r="D9">
            <v>14535.747914406</v>
          </cell>
          <cell r="E9">
            <v>14141.299236410156</v>
          </cell>
          <cell r="F9">
            <v>15305.231286232596</v>
          </cell>
          <cell r="G9">
            <v>15769.753435929108</v>
          </cell>
          <cell r="H9">
            <v>16219.544080000629</v>
          </cell>
          <cell r="I9">
            <v>16669.854584985129</v>
          </cell>
          <cell r="J9">
            <v>17028.373593966211</v>
          </cell>
          <cell r="K9">
            <v>16361.242618321956</v>
          </cell>
          <cell r="L9">
            <v>16320.391545699695</v>
          </cell>
          <cell r="M9">
            <v>16656.507424350864</v>
          </cell>
          <cell r="N9">
            <v>16819.761105694175</v>
          </cell>
          <cell r="O9">
            <v>16873.738375746176</v>
          </cell>
          <cell r="P9">
            <v>16968.25426145989</v>
          </cell>
          <cell r="Q9">
            <v>17530.550345461477</v>
          </cell>
          <cell r="R9">
            <v>17940.709543282406</v>
          </cell>
          <cell r="S9">
            <v>18717.967130169978</v>
          </cell>
          <cell r="T9">
            <v>19814.411476240792</v>
          </cell>
          <cell r="U9">
            <v>20649.507627636343</v>
          </cell>
          <cell r="V9">
            <v>8335.8259485733943</v>
          </cell>
          <cell r="W9">
            <v>9549.3650091801283</v>
          </cell>
        </row>
        <row r="11">
          <cell r="B11">
            <v>205.76784098968031</v>
          </cell>
          <cell r="C11">
            <v>221.47786413252865</v>
          </cell>
          <cell r="D11">
            <v>192.1214776353865</v>
          </cell>
          <cell r="E11">
            <v>161.45017801509854</v>
          </cell>
          <cell r="F11">
            <v>172.68820578403637</v>
          </cell>
          <cell r="G11">
            <v>172.70030630496964</v>
          </cell>
          <cell r="H11">
            <v>171.25305918438963</v>
          </cell>
          <cell r="I11">
            <v>161.31592146412564</v>
          </cell>
          <cell r="J11">
            <v>158.17863629328087</v>
          </cell>
          <cell r="K11">
            <v>131.36354502596475</v>
          </cell>
          <cell r="L11">
            <v>121.98090421281933</v>
          </cell>
          <cell r="M11">
            <v>114.49326141909896</v>
          </cell>
          <cell r="N11">
            <v>107.15830184621295</v>
          </cell>
          <cell r="O11">
            <v>100.55174287912891</v>
          </cell>
          <cell r="P11">
            <v>105.17801159745676</v>
          </cell>
          <cell r="Q11">
            <v>103.00992062295228</v>
          </cell>
          <cell r="R11">
            <v>93.407161371381875</v>
          </cell>
          <cell r="S11">
            <v>101.21142824850466</v>
          </cell>
          <cell r="T11">
            <v>100.26289799730765</v>
          </cell>
          <cell r="U11">
            <v>101.88835305760968</v>
          </cell>
          <cell r="V11">
            <v>96.22684202755886</v>
          </cell>
          <cell r="W11">
            <v>103.62146164811843</v>
          </cell>
        </row>
        <row r="12">
          <cell r="B12">
            <v>287.54705812223074</v>
          </cell>
          <cell r="C12">
            <v>257.2144040819453</v>
          </cell>
          <cell r="D12">
            <v>274.56749577687975</v>
          </cell>
          <cell r="E12">
            <v>272.93932121458755</v>
          </cell>
          <cell r="F12">
            <v>306.20405967021554</v>
          </cell>
          <cell r="G12">
            <v>327.71215960347109</v>
          </cell>
          <cell r="H12">
            <v>414.10973422508692</v>
          </cell>
          <cell r="I12">
            <v>444.18586720366091</v>
          </cell>
          <cell r="J12">
            <v>450.73718178968414</v>
          </cell>
          <cell r="K12">
            <v>398.00757394654431</v>
          </cell>
          <cell r="L12">
            <v>403.93821239151777</v>
          </cell>
          <cell r="M12">
            <v>378.64036324216943</v>
          </cell>
          <cell r="N12">
            <v>359.95522042717357</v>
          </cell>
          <cell r="O12">
            <v>364.74717733311093</v>
          </cell>
          <cell r="P12">
            <v>358.54034964985482</v>
          </cell>
          <cell r="Q12">
            <v>373.42222285775102</v>
          </cell>
          <cell r="R12">
            <v>349.10279451208964</v>
          </cell>
          <cell r="S12">
            <v>412.21636709204586</v>
          </cell>
          <cell r="T12">
            <v>423.57614129015911</v>
          </cell>
          <cell r="U12">
            <v>425.69068473532894</v>
          </cell>
          <cell r="V12">
            <v>434.93559291337158</v>
          </cell>
          <cell r="W12">
            <v>581.77801285750218</v>
          </cell>
        </row>
        <row r="13">
          <cell r="B13">
            <v>2165.2777019726354</v>
          </cell>
          <cell r="C13">
            <v>2008.1386475824606</v>
          </cell>
          <cell r="D13">
            <v>2196.7348373398895</v>
          </cell>
          <cell r="E13">
            <v>2380.6231633346429</v>
          </cell>
          <cell r="F13">
            <v>2587.7545587883437</v>
          </cell>
          <cell r="G13">
            <v>2838.0066549210487</v>
          </cell>
          <cell r="H13">
            <v>3092.4117833045698</v>
          </cell>
          <cell r="I13">
            <v>3241.1832910926119</v>
          </cell>
          <cell r="J13">
            <v>3354.7138554770577</v>
          </cell>
          <cell r="K13">
            <v>2774.1239240797604</v>
          </cell>
          <cell r="L13">
            <v>3163.3774927689224</v>
          </cell>
          <cell r="M13">
            <v>3112.5266957710014</v>
          </cell>
          <cell r="N13">
            <v>2872.6002268201755</v>
          </cell>
          <cell r="O13">
            <v>2868.3051891933719</v>
          </cell>
          <cell r="P13">
            <v>2764.6480875391294</v>
          </cell>
          <cell r="Q13">
            <v>2918.2771787862066</v>
          </cell>
          <cell r="R13">
            <v>2814.4466188798642</v>
          </cell>
          <cell r="S13">
            <v>3080.2558853287178</v>
          </cell>
          <cell r="T13">
            <v>3097.8635586698861</v>
          </cell>
          <cell r="U13">
            <v>2866.2874536934592</v>
          </cell>
          <cell r="V13">
            <v>3880.0903577013432</v>
          </cell>
          <cell r="W13">
            <v>4161.4146438743956</v>
          </cell>
        </row>
      </sheetData>
      <sheetData sheetId="12">
        <row r="7">
          <cell r="B7">
            <v>16490.840052533731</v>
          </cell>
          <cell r="C7">
            <v>16018.140932197954</v>
          </cell>
          <cell r="D7">
            <v>15069.905921400235</v>
          </cell>
          <cell r="E7">
            <v>15282.832104084084</v>
          </cell>
          <cell r="F7">
            <v>15818.66048789142</v>
          </cell>
          <cell r="G7">
            <v>16944.090516962886</v>
          </cell>
          <cell r="H7">
            <v>17357.76969373782</v>
          </cell>
          <cell r="I7">
            <v>18245.293192952064</v>
          </cell>
          <cell r="J7">
            <v>17660.438235585647</v>
          </cell>
          <cell r="K7">
            <v>16050.154244292649</v>
          </cell>
          <cell r="L7">
            <v>16554.303031646847</v>
          </cell>
          <cell r="M7">
            <v>17636.493655083104</v>
          </cell>
          <cell r="N7">
            <v>16327.561253991707</v>
          </cell>
          <cell r="O7">
            <v>15257.019821848908</v>
          </cell>
          <cell r="P7">
            <v>15318.822972258538</v>
          </cell>
          <cell r="Q7">
            <v>15932.158657664044</v>
          </cell>
          <cell r="R7">
            <v>16930.167829536411</v>
          </cell>
          <cell r="S7">
            <v>17685.452874707407</v>
          </cell>
          <cell r="T7">
            <v>18484.950612445464</v>
          </cell>
          <cell r="U7">
            <v>19199.29305083146</v>
          </cell>
          <cell r="V7">
            <v>8771.9293477329829</v>
          </cell>
          <cell r="W7">
            <v>12496.254504481698</v>
          </cell>
        </row>
        <row r="8">
          <cell r="B8">
            <v>32922.594516035031</v>
          </cell>
          <cell r="C8">
            <v>32993.750416922056</v>
          </cell>
          <cell r="D8">
            <v>31379.966681912774</v>
          </cell>
          <cell r="E8">
            <v>33599.209000785057</v>
          </cell>
          <cell r="F8">
            <v>35336.648929530944</v>
          </cell>
          <cell r="G8">
            <v>36763.670004488151</v>
          </cell>
          <cell r="H8">
            <v>39167.15267257861</v>
          </cell>
          <cell r="I8">
            <v>41544.944206243927</v>
          </cell>
          <cell r="J8">
            <v>42014.89382190504</v>
          </cell>
          <cell r="K8">
            <v>37087.80476627496</v>
          </cell>
          <cell r="L8">
            <v>36823.09340682903</v>
          </cell>
          <cell r="M8">
            <v>38901.016687444004</v>
          </cell>
          <cell r="N8">
            <v>37812.822196967849</v>
          </cell>
          <cell r="O8">
            <v>38079.220112221767</v>
          </cell>
          <cell r="P8">
            <v>39375.862202224453</v>
          </cell>
          <cell r="Q8">
            <v>41378.893068359335</v>
          </cell>
          <cell r="R8">
            <v>45526.48874286998</v>
          </cell>
          <cell r="S8">
            <v>50413.16620683681</v>
          </cell>
          <cell r="T8">
            <v>53219.509330126741</v>
          </cell>
          <cell r="U8">
            <v>53735.344503866771</v>
          </cell>
          <cell r="V8">
            <v>16221.917824115977</v>
          </cell>
          <cell r="W8">
            <v>21782.696048341393</v>
          </cell>
        </row>
        <row r="9">
          <cell r="B9">
            <v>45712.059938972867</v>
          </cell>
          <cell r="C9">
            <v>44217.206475013845</v>
          </cell>
          <cell r="D9">
            <v>43756.833908511391</v>
          </cell>
          <cell r="E9">
            <v>42569.615375706169</v>
          </cell>
          <cell r="F9">
            <v>46073.398306465497</v>
          </cell>
          <cell r="G9">
            <v>47471.755139424764</v>
          </cell>
          <cell r="H9">
            <v>48825.817473732801</v>
          </cell>
          <cell r="I9">
            <v>50181.404404838795</v>
          </cell>
          <cell r="J9">
            <v>51260.645691153353</v>
          </cell>
          <cell r="K9">
            <v>49252.399177366678</v>
          </cell>
          <cell r="L9">
            <v>49129.424817622014</v>
          </cell>
          <cell r="M9">
            <v>50141.237539391695</v>
          </cell>
          <cell r="N9">
            <v>50632.681598273368</v>
          </cell>
          <cell r="O9">
            <v>50795.16987090178</v>
          </cell>
          <cell r="P9">
            <v>51079.691911211936</v>
          </cell>
          <cell r="Q9">
            <v>52772.371284002242</v>
          </cell>
          <cell r="R9">
            <v>54007.08248901277</v>
          </cell>
          <cell r="S9">
            <v>56346.86477821468</v>
          </cell>
          <cell r="T9">
            <v>59647.500215782282</v>
          </cell>
          <cell r="U9">
            <v>62161.39928286949</v>
          </cell>
          <cell r="V9">
            <v>25093.406442951535</v>
          </cell>
          <cell r="W9">
            <v>28746.532849588173</v>
          </cell>
        </row>
        <row r="11">
          <cell r="B11">
            <v>619.10593170627067</v>
          </cell>
          <cell r="C11">
            <v>666.38175380204711</v>
          </cell>
          <cell r="D11">
            <v>578.06169059976503</v>
          </cell>
          <cell r="E11">
            <v>485.79163263591664</v>
          </cell>
          <cell r="F11">
            <v>519.63131430857652</v>
          </cell>
          <cell r="G11">
            <v>519.6430441171151</v>
          </cell>
          <cell r="H11">
            <v>515.25635110218127</v>
          </cell>
          <cell r="I11">
            <v>485.40132632794177</v>
          </cell>
          <cell r="J11">
            <v>475.98304297435209</v>
          </cell>
          <cell r="K11">
            <v>395.24143402735422</v>
          </cell>
          <cell r="L11">
            <v>367.02932367315685</v>
          </cell>
          <cell r="M11">
            <v>344.50188083689449</v>
          </cell>
          <cell r="N11">
            <v>322.42238652829252</v>
          </cell>
          <cell r="O11">
            <v>302.5479689110922</v>
          </cell>
          <cell r="P11">
            <v>316.49300710146423</v>
          </cell>
          <cell r="Q11">
            <v>309.96428749595725</v>
          </cell>
          <cell r="R11">
            <v>281.10201482359059</v>
          </cell>
          <cell r="S11">
            <v>304.59084217259618</v>
          </cell>
          <cell r="T11">
            <v>301.71921495453591</v>
          </cell>
          <cell r="U11">
            <v>306.5973261685354</v>
          </cell>
          <cell r="V11">
            <v>289.52479786701667</v>
          </cell>
          <cell r="W11">
            <v>311.76964043830355</v>
          </cell>
        </row>
        <row r="12">
          <cell r="B12">
            <v>865.59567081719774</v>
          </cell>
          <cell r="C12">
            <v>774.29012187288902</v>
          </cell>
          <cell r="D12">
            <v>826.5270699912902</v>
          </cell>
          <cell r="E12">
            <v>821.62828126675777</v>
          </cell>
          <cell r="F12">
            <v>921.76428671071767</v>
          </cell>
          <cell r="G12">
            <v>986.51115221186478</v>
          </cell>
          <cell r="H12">
            <v>1246.5963835253001</v>
          </cell>
          <cell r="I12">
            <v>1337.1363880722529</v>
          </cell>
          <cell r="J12">
            <v>1356.8571830358151</v>
          </cell>
          <cell r="K12">
            <v>1198.1258615209629</v>
          </cell>
          <cell r="L12">
            <v>1215.9789169937405</v>
          </cell>
          <cell r="M12">
            <v>1139.8245689592445</v>
          </cell>
          <cell r="N12">
            <v>1083.5765116399491</v>
          </cell>
          <cell r="O12">
            <v>1098.0017835998958</v>
          </cell>
          <cell r="P12">
            <v>1079.3173131221754</v>
          </cell>
          <cell r="Q12">
            <v>1124.1162132058994</v>
          </cell>
          <cell r="R12">
            <v>1050.9073444825642</v>
          </cell>
          <cell r="S12">
            <v>1240.8986004956434</v>
          </cell>
          <cell r="T12">
            <v>1275.0949617657818</v>
          </cell>
          <cell r="U12">
            <v>1281.4604848174911</v>
          </cell>
          <cell r="V12">
            <v>1309.2901330876728</v>
          </cell>
          <cell r="W12">
            <v>1751.3312980346718</v>
          </cell>
        </row>
        <row r="13">
          <cell r="B13">
            <v>6518.1177132149296</v>
          </cell>
          <cell r="C13">
            <v>6045.1044366712049</v>
          </cell>
          <cell r="D13">
            <v>6612.8095252245566</v>
          </cell>
          <cell r="E13">
            <v>7166.4101752420029</v>
          </cell>
          <cell r="F13">
            <v>7789.9407951728335</v>
          </cell>
          <cell r="G13">
            <v>8543.2765361152196</v>
          </cell>
          <cell r="H13">
            <v>9309.1153370032771</v>
          </cell>
          <cell r="I13">
            <v>9756.9637753650204</v>
          </cell>
          <cell r="J13">
            <v>10098.725721385796</v>
          </cell>
          <cell r="K13">
            <v>8350.9707705974015</v>
          </cell>
          <cell r="L13">
            <v>9522.7443695552229</v>
          </cell>
          <cell r="M13">
            <v>9369.667747525049</v>
          </cell>
          <cell r="N13">
            <v>8647.4148907188574</v>
          </cell>
          <cell r="O13">
            <v>8634.4854994365487</v>
          </cell>
          <cell r="P13">
            <v>8322.4455726814449</v>
          </cell>
          <cell r="Q13">
            <v>8784.9160501125461</v>
          </cell>
          <cell r="R13">
            <v>8472.3545106747169</v>
          </cell>
          <cell r="S13">
            <v>9272.5225656928778</v>
          </cell>
          <cell r="T13">
            <v>9325.5271224452008</v>
          </cell>
          <cell r="U13">
            <v>8628.4114317262593</v>
          </cell>
          <cell r="V13">
            <v>11680.271567964823</v>
          </cell>
          <cell r="W13">
            <v>12527.14439515577</v>
          </cell>
        </row>
      </sheetData>
      <sheetData sheetId="13"/>
      <sheetData sheetId="14">
        <row r="4">
          <cell r="A4" t="str">
            <v>Domestic coastal shipping</v>
          </cell>
          <cell r="B4">
            <v>76596.15400000001</v>
          </cell>
          <cell r="C4">
            <v>64020.692000000003</v>
          </cell>
          <cell r="D4">
            <v>66795.686000000002</v>
          </cell>
          <cell r="E4">
            <v>67745.404999999999</v>
          </cell>
          <cell r="F4">
            <v>68197.284000000014</v>
          </cell>
          <cell r="G4">
            <v>73544.827999999994</v>
          </cell>
          <cell r="H4">
            <v>83935.32</v>
          </cell>
          <cell r="I4">
            <v>78202.846000000034</v>
          </cell>
          <cell r="J4">
            <v>79039.016999999993</v>
          </cell>
          <cell r="K4">
            <v>74074.441000000006</v>
          </cell>
          <cell r="L4">
            <v>76846.177999999971</v>
          </cell>
          <cell r="M4">
            <v>79703.701000000001</v>
          </cell>
          <cell r="N4">
            <v>73036.384999999995</v>
          </cell>
          <cell r="O4">
            <v>65542.02900000001</v>
          </cell>
          <cell r="P4">
            <v>73084.285000000018</v>
          </cell>
          <cell r="Q4">
            <v>74391.38900000001</v>
          </cell>
          <cell r="R4">
            <v>76206.787999999986</v>
          </cell>
          <cell r="S4">
            <v>77857.45</v>
          </cell>
          <cell r="T4">
            <v>80222.216000000015</v>
          </cell>
          <cell r="U4">
            <v>80740.039000000004</v>
          </cell>
          <cell r="V4">
            <v>77040.050000000017</v>
          </cell>
          <cell r="W4">
            <v>76906.86500000002</v>
          </cell>
        </row>
        <row r="5">
          <cell r="A5" t="str">
            <v>Inland waterways</v>
          </cell>
          <cell r="B5">
            <v>133714.88559999998</v>
          </cell>
          <cell r="C5">
            <v>132416.24360000002</v>
          </cell>
          <cell r="D5">
            <v>132414.02299999999</v>
          </cell>
          <cell r="E5">
            <v>123435.08520000002</v>
          </cell>
          <cell r="F5">
            <v>136763.15100000001</v>
          </cell>
          <cell r="G5">
            <v>138610.97440000001</v>
          </cell>
          <cell r="H5">
            <v>138416.96909999999</v>
          </cell>
          <cell r="I5">
            <v>145402</v>
          </cell>
          <cell r="J5">
            <v>146903</v>
          </cell>
          <cell r="K5">
            <v>132606</v>
          </cell>
          <cell r="L5">
            <v>155365</v>
          </cell>
          <cell r="M5">
            <v>141825</v>
          </cell>
          <cell r="N5">
            <v>149822</v>
          </cell>
          <cell r="O5">
            <v>152584</v>
          </cell>
          <cell r="P5">
            <v>150707</v>
          </cell>
          <cell r="Q5">
            <v>147351</v>
          </cell>
          <cell r="R5">
            <v>146609</v>
          </cell>
          <cell r="S5">
            <v>147223.33333333331</v>
          </cell>
          <cell r="T5">
            <v>131302.77777777778</v>
          </cell>
          <cell r="U5">
            <v>139697</v>
          </cell>
          <cell r="V5">
            <v>131741.01</v>
          </cell>
          <cell r="W5">
            <v>136076</v>
          </cell>
        </row>
      </sheetData>
      <sheetData sheetId="15">
        <row r="4">
          <cell r="B4">
            <v>4168.4487887096711</v>
          </cell>
          <cell r="C4">
            <v>4330.5174690010663</v>
          </cell>
          <cell r="D4">
            <v>4336.8269894484692</v>
          </cell>
          <cell r="E4">
            <v>4591.3173814220481</v>
          </cell>
          <cell r="F4">
            <v>4664.825581959165</v>
          </cell>
          <cell r="G4">
            <v>4560.8716004743055</v>
          </cell>
          <cell r="H4">
            <v>4840.1188272991321</v>
          </cell>
          <cell r="I4">
            <v>4552.125678496569</v>
          </cell>
          <cell r="J4">
            <v>4485.4879053790319</v>
          </cell>
          <cell r="K4">
            <v>4337.2265272388267</v>
          </cell>
          <cell r="L4">
            <v>4025.8101965393125</v>
          </cell>
          <cell r="M4">
            <v>3503.3222278893668</v>
          </cell>
          <cell r="N4">
            <v>3393.9620425810303</v>
          </cell>
          <cell r="O4">
            <v>2893.4427922941404</v>
          </cell>
          <cell r="P4">
            <v>2703.094129002784</v>
          </cell>
          <cell r="Q4">
            <v>2894.824639511171</v>
          </cell>
          <cell r="R4">
            <v>3105.5765870557725</v>
          </cell>
          <cell r="S4">
            <v>3363.776059342566</v>
          </cell>
          <cell r="T4">
            <v>3233.7281006838825</v>
          </cell>
          <cell r="U4">
            <v>3283.5886017829625</v>
          </cell>
          <cell r="V4">
            <v>2771.1539409265265</v>
          </cell>
          <cell r="W4">
            <v>2999.9797285867112</v>
          </cell>
        </row>
        <row r="10">
          <cell r="B10">
            <v>1096.8960212645334</v>
          </cell>
          <cell r="C10">
            <v>1096.8621973789841</v>
          </cell>
          <cell r="D10">
            <v>1039.659895237686</v>
          </cell>
          <cell r="E10">
            <v>1057.7288507361618</v>
          </cell>
          <cell r="F10">
            <v>1082.8934120219192</v>
          </cell>
          <cell r="G10">
            <v>1083.4503376168373</v>
          </cell>
          <cell r="H10">
            <v>929.29080038788345</v>
          </cell>
          <cell r="I10">
            <v>1073.8260575309459</v>
          </cell>
          <cell r="J10">
            <v>1061.3717988342091</v>
          </cell>
          <cell r="K10">
            <v>1058.0419998462983</v>
          </cell>
          <cell r="L10">
            <v>1103.6958421537227</v>
          </cell>
          <cell r="M10">
            <v>1103.2192544838056</v>
          </cell>
          <cell r="N10">
            <v>1076.5228894911966</v>
          </cell>
          <cell r="O10">
            <v>1172.3204054702617</v>
          </cell>
          <cell r="P10">
            <v>1070.40511175388</v>
          </cell>
          <cell r="Q10">
            <v>1114.4726064045644</v>
          </cell>
          <cell r="R10">
            <v>1055.7580457903146</v>
          </cell>
          <cell r="S10">
            <v>1003.6508245783275</v>
          </cell>
          <cell r="T10">
            <v>999.18998272110423</v>
          </cell>
          <cell r="U10">
            <v>1009.7064102548705</v>
          </cell>
          <cell r="V10">
            <v>897.7272233039115</v>
          </cell>
          <cell r="W10">
            <v>978.07262910890347</v>
          </cell>
        </row>
      </sheetData>
      <sheetData sheetId="16">
        <row r="4">
          <cell r="B4">
            <v>13033.345033032783</v>
          </cell>
          <cell r="C4">
            <v>13555.448306706719</v>
          </cell>
          <cell r="D4">
            <v>13579.786408939441</v>
          </cell>
          <cell r="E4">
            <v>14389.555145282937</v>
          </cell>
          <cell r="F4">
            <v>14606.70171993158</v>
          </cell>
          <cell r="G4">
            <v>14278.720078508328</v>
          </cell>
          <cell r="H4">
            <v>15173.947333699658</v>
          </cell>
          <cell r="I4">
            <v>14295.846643023411</v>
          </cell>
          <cell r="J4">
            <v>14071.289390646234</v>
          </cell>
          <cell r="K4">
            <v>13640.3951805497</v>
          </cell>
          <cell r="L4">
            <v>12623.079396881925</v>
          </cell>
          <cell r="M4">
            <v>10960.861689950651</v>
          </cell>
          <cell r="N4">
            <v>10608.573635007559</v>
          </cell>
          <cell r="O4">
            <v>9052.2439973789642</v>
          </cell>
          <cell r="P4">
            <v>8444.19041988967</v>
          </cell>
          <cell r="Q4">
            <v>9044.8051675702663</v>
          </cell>
          <cell r="R4">
            <v>9718.346301422167</v>
          </cell>
          <cell r="S4">
            <v>10541.949773033401</v>
          </cell>
          <cell r="T4">
            <v>10137.862557903807</v>
          </cell>
          <cell r="U4">
            <v>10288.975994276843</v>
          </cell>
          <cell r="V4">
            <v>8655.7401411591454</v>
          </cell>
          <cell r="W4">
            <v>9343.9260896299784</v>
          </cell>
        </row>
        <row r="5">
          <cell r="B5">
            <v>3420.2198771536168</v>
          </cell>
          <cell r="C5">
            <v>3421.2742110484819</v>
          </cell>
          <cell r="D5">
            <v>3239.0393496243205</v>
          </cell>
          <cell r="E5">
            <v>3294.3602214738621</v>
          </cell>
          <cell r="F5">
            <v>3359.8412944724173</v>
          </cell>
          <cell r="G5">
            <v>3359.9740257180742</v>
          </cell>
          <cell r="H5">
            <v>2875.7943154975405</v>
          </cell>
          <cell r="I5">
            <v>3320.205471640993</v>
          </cell>
          <cell r="J5">
            <v>3281.3214266673676</v>
          </cell>
          <cell r="K5">
            <v>3271.2921032874992</v>
          </cell>
          <cell r="L5">
            <v>3413.7971509128756</v>
          </cell>
          <cell r="M5">
            <v>3410.7096464637507</v>
          </cell>
          <cell r="N5">
            <v>3325.7066741700437</v>
          </cell>
          <cell r="O5">
            <v>3614.653463993433</v>
          </cell>
          <cell r="P5">
            <v>3305.1667418195311</v>
          </cell>
          <cell r="Q5">
            <v>3443.0508874669335</v>
          </cell>
          <cell r="R5">
            <v>3256.0031635706318</v>
          </cell>
          <cell r="S5">
            <v>3096.4160451882008</v>
          </cell>
          <cell r="T5">
            <v>3080.2771084317937</v>
          </cell>
          <cell r="U5">
            <v>3107.4399963355572</v>
          </cell>
          <cell r="V5">
            <v>2766.1806753152537</v>
          </cell>
          <cell r="W5">
            <v>3012.1670641492192</v>
          </cell>
        </row>
      </sheetData>
      <sheetData sheetId="17">
        <row r="4">
          <cell r="B4">
            <v>753767.24071499996</v>
          </cell>
          <cell r="C4">
            <v>780873.54106299998</v>
          </cell>
          <cell r="D4">
            <v>793361.74395400006</v>
          </cell>
          <cell r="E4">
            <v>807199.90117699991</v>
          </cell>
          <cell r="F4">
            <v>831866.44911899988</v>
          </cell>
          <cell r="G4">
            <v>834011.02166099998</v>
          </cell>
          <cell r="H4">
            <v>820751.74994500016</v>
          </cell>
          <cell r="I4">
            <v>821736.85036699986</v>
          </cell>
          <cell r="J4">
            <v>823455.9682560002</v>
          </cell>
          <cell r="K4">
            <v>749736.74779499997</v>
          </cell>
          <cell r="L4">
            <v>810990.88261199987</v>
          </cell>
          <cell r="M4">
            <v>819202.74876200012</v>
          </cell>
          <cell r="N4">
            <v>813110.6150639999</v>
          </cell>
          <cell r="O4">
            <v>831474.02015</v>
          </cell>
          <cell r="P4">
            <v>858027.52009200002</v>
          </cell>
          <cell r="Q4">
            <v>847483.61328800011</v>
          </cell>
          <cell r="R4">
            <v>885484.94313100004</v>
          </cell>
          <cell r="S4">
            <v>892626.678526</v>
          </cell>
          <cell r="T4">
            <v>949847.57712200028</v>
          </cell>
          <cell r="U4">
            <v>955169.91404700011</v>
          </cell>
          <cell r="V4">
            <v>893950.70762199978</v>
          </cell>
          <cell r="W4">
            <v>910620.84579399996</v>
          </cell>
        </row>
        <row r="5">
          <cell r="B5">
            <v>4573090.2058290001</v>
          </cell>
          <cell r="C5">
            <v>4819707.3522489993</v>
          </cell>
          <cell r="D5">
            <v>4967035.0078689996</v>
          </cell>
          <cell r="E5">
            <v>5164281.6414679997</v>
          </cell>
          <cell r="F5">
            <v>5478738.6065090001</v>
          </cell>
          <cell r="G5">
            <v>5953900.1237660004</v>
          </cell>
          <cell r="H5">
            <v>6298476.3433570005</v>
          </cell>
          <cell r="I5">
            <v>6547982.0748070003</v>
          </cell>
          <cell r="J5">
            <v>6779824.9121089997</v>
          </cell>
          <cell r="K5">
            <v>5698774.1615930004</v>
          </cell>
          <cell r="L5">
            <v>6132005.2139380006</v>
          </cell>
          <cell r="M5">
            <v>6664256.6799120009</v>
          </cell>
          <cell r="N5">
            <v>6655520.0527049983</v>
          </cell>
          <cell r="O5">
            <v>6463814.9535870003</v>
          </cell>
          <cell r="P5">
            <v>6777645.6898129992</v>
          </cell>
          <cell r="Q5">
            <v>6860751.9061540021</v>
          </cell>
          <cell r="R5">
            <v>6838701.4294969998</v>
          </cell>
          <cell r="S5">
            <v>7093921.0302830022</v>
          </cell>
          <cell r="T5">
            <v>7263902.3548599994</v>
          </cell>
          <cell r="U5">
            <v>7467308.4549629986</v>
          </cell>
          <cell r="V5">
            <v>6847553.0221190006</v>
          </cell>
          <cell r="W5">
            <v>7225198.3423020002</v>
          </cell>
        </row>
      </sheetData>
      <sheetData sheetId="18">
        <row r="4">
          <cell r="B4">
            <v>12349.039423271759</v>
          </cell>
          <cell r="C4">
            <v>12250.784679580451</v>
          </cell>
          <cell r="D4">
            <v>12230.393296317732</v>
          </cell>
          <cell r="E4">
            <v>12685.051060965729</v>
          </cell>
          <cell r="F4">
            <v>12932.514719410672</v>
          </cell>
          <cell r="G4">
            <v>12476.202362295635</v>
          </cell>
          <cell r="H4">
            <v>12775.809333697393</v>
          </cell>
          <cell r="I4">
            <v>13049.183865195906</v>
          </cell>
          <cell r="J4">
            <v>12896.2687885581</v>
          </cell>
          <cell r="K4">
            <v>12354.868272396656</v>
          </cell>
          <cell r="L4">
            <v>12763.872799317069</v>
          </cell>
          <cell r="M4">
            <v>11993.001595663391</v>
          </cell>
          <cell r="N4">
            <v>11306.772589684684</v>
          </cell>
          <cell r="O4">
            <v>10939.959494800925</v>
          </cell>
          <cell r="P4">
            <v>10701.272849770812</v>
          </cell>
          <cell r="Q4">
            <v>10844.925164647615</v>
          </cell>
          <cell r="R4">
            <v>11658.333894555593</v>
          </cell>
          <cell r="S4">
            <v>11849.003118768054</v>
          </cell>
          <cell r="T4">
            <v>12203.374757402347</v>
          </cell>
          <cell r="U4">
            <v>12329.466649259128</v>
          </cell>
          <cell r="V4">
            <v>10328.573058631046</v>
          </cell>
          <cell r="W4">
            <v>10796.207158660445</v>
          </cell>
        </row>
        <row r="10">
          <cell r="B10">
            <v>28006.387317914829</v>
          </cell>
          <cell r="C10">
            <v>29343.717470032618</v>
          </cell>
          <cell r="D10">
            <v>30558.781682186134</v>
          </cell>
          <cell r="E10">
            <v>31357.525121321461</v>
          </cell>
          <cell r="F10">
            <v>33337.50170363317</v>
          </cell>
          <cell r="G10">
            <v>34697.407267970921</v>
          </cell>
          <cell r="H10">
            <v>37514.905799578599</v>
          </cell>
          <cell r="I10">
            <v>39392.443735835906</v>
          </cell>
          <cell r="J10">
            <v>38966.961907916535</v>
          </cell>
          <cell r="K10">
            <v>33962.091830784761</v>
          </cell>
          <cell r="L10">
            <v>33915.875094062132</v>
          </cell>
          <cell r="M10">
            <v>34549.882927122504</v>
          </cell>
          <cell r="N10">
            <v>32187.324056918911</v>
          </cell>
          <cell r="O10">
            <v>30096.894761432955</v>
          </cell>
          <cell r="P10">
            <v>29142.521045328063</v>
          </cell>
          <cell r="Q10">
            <v>28745.855574819274</v>
          </cell>
          <cell r="R10">
            <v>29891.600843191613</v>
          </cell>
          <cell r="S10">
            <v>30341.324224310185</v>
          </cell>
          <cell r="T10">
            <v>31221.760238298422</v>
          </cell>
          <cell r="U10">
            <v>30786.501278513875</v>
          </cell>
          <cell r="V10">
            <v>28678.934937929567</v>
          </cell>
          <cell r="W10">
            <v>29959.99748450378</v>
          </cell>
        </row>
      </sheetData>
      <sheetData sheetId="19">
        <row r="4">
          <cell r="B4">
            <v>39341.29552639334</v>
          </cell>
          <cell r="C4">
            <v>39058.965056462359</v>
          </cell>
          <cell r="D4">
            <v>39025.728117452702</v>
          </cell>
          <cell r="E4">
            <v>40526.270057636022</v>
          </cell>
          <cell r="F4">
            <v>41380.554732895383</v>
          </cell>
          <cell r="G4">
            <v>39919.362924376612</v>
          </cell>
          <cell r="H4">
            <v>40881.312246507587</v>
          </cell>
          <cell r="I4">
            <v>41793.062881186052</v>
          </cell>
          <cell r="J4">
            <v>41300.256673044329</v>
          </cell>
          <cell r="K4">
            <v>39514.588974940627</v>
          </cell>
          <cell r="L4">
            <v>40801.142497201341</v>
          </cell>
          <cell r="M4">
            <v>38348.040159686847</v>
          </cell>
          <cell r="N4">
            <v>36136.032058313023</v>
          </cell>
          <cell r="O4">
            <v>34952.77683180914</v>
          </cell>
          <cell r="P4">
            <v>34148.29747576495</v>
          </cell>
          <cell r="Q4">
            <v>34302.968539557354</v>
          </cell>
          <cell r="R4">
            <v>36929.618380404485</v>
          </cell>
          <cell r="S4">
            <v>37602.006362148786</v>
          </cell>
          <cell r="T4">
            <v>38742.010586336546</v>
          </cell>
          <cell r="U4">
            <v>39088.515076759832</v>
          </cell>
          <cell r="V4">
            <v>32449.858288117768</v>
          </cell>
          <cell r="W4">
            <v>33890.550207780943</v>
          </cell>
        </row>
        <row r="5">
          <cell r="B5">
            <v>90414.26608888671</v>
          </cell>
          <cell r="C5">
            <v>94747.265044257656</v>
          </cell>
          <cell r="D5">
            <v>98698.75147718731</v>
          </cell>
          <cell r="E5">
            <v>101302.19650968398</v>
          </cell>
          <cell r="F5">
            <v>107737.97864430463</v>
          </cell>
          <cell r="G5">
            <v>112131.29663086342</v>
          </cell>
          <cell r="H5">
            <v>121244.78600109242</v>
          </cell>
          <cell r="I5">
            <v>127331.95828441397</v>
          </cell>
          <cell r="J5">
            <v>125961.14068851572</v>
          </cell>
          <cell r="K5">
            <v>109760.81061793938</v>
          </cell>
          <cell r="L5">
            <v>109596.57067811867</v>
          </cell>
          <cell r="M5">
            <v>111653.89298715314</v>
          </cell>
          <cell r="N5">
            <v>104009.21997564696</v>
          </cell>
          <cell r="O5">
            <v>97245.925046630873</v>
          </cell>
          <cell r="P5">
            <v>94142.062585755062</v>
          </cell>
          <cell r="Q5">
            <v>92646.491701322666</v>
          </cell>
          <cell r="R5">
            <v>96383.726403155524</v>
          </cell>
          <cell r="S5">
            <v>97824.913916891222</v>
          </cell>
          <cell r="T5">
            <v>100627.36468806345</v>
          </cell>
          <cell r="U5">
            <v>99063.815416720172</v>
          </cell>
          <cell r="V5">
            <v>91601.764167322239</v>
          </cell>
          <cell r="W5">
            <v>95818.142581979046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84DE0-BC3A-451C-8336-54B32D4F02DF}">
  <dimension ref="A1:X56"/>
  <sheetViews>
    <sheetView workbookViewId="0">
      <selection activeCell="Z39" sqref="Z39"/>
    </sheetView>
  </sheetViews>
  <sheetFormatPr defaultRowHeight="14.5" x14ac:dyDescent="0.35"/>
  <cols>
    <col min="1" max="1" width="39.90625" bestFit="1" customWidth="1"/>
    <col min="3" max="3" width="9.81640625" bestFit="1" customWidth="1"/>
  </cols>
  <sheetData>
    <row r="1" spans="1:24" x14ac:dyDescent="0.35">
      <c r="A1" t="s">
        <v>121</v>
      </c>
      <c r="B1" t="s">
        <v>120</v>
      </c>
      <c r="C1">
        <v>2000</v>
      </c>
      <c r="D1">
        <v>2001</v>
      </c>
      <c r="E1">
        <v>2002</v>
      </c>
      <c r="F1">
        <v>2003</v>
      </c>
      <c r="G1">
        <v>2004</v>
      </c>
      <c r="H1">
        <v>2005</v>
      </c>
      <c r="I1">
        <v>2006</v>
      </c>
      <c r="J1">
        <v>2007</v>
      </c>
      <c r="K1">
        <v>2008</v>
      </c>
      <c r="L1">
        <v>2009</v>
      </c>
      <c r="M1">
        <v>2010</v>
      </c>
      <c r="N1">
        <v>2011</v>
      </c>
      <c r="O1">
        <v>2012</v>
      </c>
      <c r="P1">
        <v>2013</v>
      </c>
      <c r="Q1">
        <v>2014</v>
      </c>
      <c r="R1">
        <v>2015</v>
      </c>
      <c r="S1">
        <v>2016</v>
      </c>
      <c r="T1">
        <v>2017</v>
      </c>
      <c r="U1">
        <v>2018</v>
      </c>
      <c r="V1">
        <v>2019</v>
      </c>
      <c r="W1">
        <v>2020</v>
      </c>
      <c r="X1">
        <v>2021</v>
      </c>
    </row>
    <row r="2" spans="1:24" x14ac:dyDescent="0.35">
      <c r="A2" t="s">
        <v>137</v>
      </c>
      <c r="B2" t="s">
        <v>116</v>
      </c>
      <c r="C2">
        <f>Ind_Summary!B52</f>
        <v>34962.264098184787</v>
      </c>
      <c r="D2">
        <f>Ind_Summary!C52</f>
        <v>33652.877643078064</v>
      </c>
      <c r="E2">
        <f>Ind_Summary!D52</f>
        <v>33212.353056093525</v>
      </c>
      <c r="F2">
        <f>Ind_Summary!E52</f>
        <v>34789.524364637553</v>
      </c>
      <c r="G2">
        <f>Ind_Summary!F52</f>
        <v>35078.789582569894</v>
      </c>
      <c r="H2">
        <f>Ind_Summary!G52</f>
        <v>33523.186013506114</v>
      </c>
      <c r="I2">
        <f>Ind_Summary!H52</f>
        <v>34387.137753815987</v>
      </c>
      <c r="J2">
        <f>Ind_Summary!I52</f>
        <v>33041.719737974279</v>
      </c>
      <c r="K2">
        <f>Ind_Summary!J52</f>
        <v>30966.52337702033</v>
      </c>
      <c r="L2">
        <f>Ind_Summary!K52</f>
        <v>23100.011326961103</v>
      </c>
      <c r="M2">
        <f>Ind_Summary!L52</f>
        <v>26441.361501312786</v>
      </c>
      <c r="N2">
        <f>Ind_Summary!M52</f>
        <v>27812.683710965866</v>
      </c>
      <c r="O2">
        <f>Ind_Summary!N52</f>
        <v>26665.897282985832</v>
      </c>
      <c r="P2">
        <f>Ind_Summary!O52</f>
        <v>25519.467655170691</v>
      </c>
      <c r="Q2">
        <f>Ind_Summary!P52</f>
        <v>25235.147851638674</v>
      </c>
      <c r="R2">
        <f>Ind_Summary!Q52</f>
        <v>25786.541193339261</v>
      </c>
      <c r="S2">
        <f>Ind_Summary!R52</f>
        <v>25840.484054477129</v>
      </c>
      <c r="T2">
        <f>Ind_Summary!S52</f>
        <v>26251.879819118643</v>
      </c>
      <c r="U2">
        <f>Ind_Summary!T52</f>
        <v>26180.738296116127</v>
      </c>
      <c r="V2">
        <f>Ind_Summary!U52</f>
        <v>24586.48961865668</v>
      </c>
      <c r="W2">
        <f>Ind_Summary!V52</f>
        <v>22361.425337517456</v>
      </c>
      <c r="X2">
        <f>Ind_Summary!W52</f>
        <v>24254.125065189088</v>
      </c>
    </row>
    <row r="3" spans="1:24" x14ac:dyDescent="0.35">
      <c r="A3" t="s">
        <v>3</v>
      </c>
      <c r="B3" t="s">
        <v>116</v>
      </c>
      <c r="C3">
        <f>Ind_Summary!B56</f>
        <v>2096.8087617897331</v>
      </c>
      <c r="D3">
        <f>Ind_Summary!C56</f>
        <v>1865.7610703477931</v>
      </c>
      <c r="E3">
        <f>Ind_Summary!D56</f>
        <v>2186.8933276796802</v>
      </c>
      <c r="F3">
        <f>Ind_Summary!E56</f>
        <v>2244.3132319062329</v>
      </c>
      <c r="G3">
        <f>Ind_Summary!F56</f>
        <v>2441.3270845567831</v>
      </c>
      <c r="H3">
        <f>Ind_Summary!G56</f>
        <v>2327.7644789246792</v>
      </c>
      <c r="I3">
        <f>Ind_Summary!H56</f>
        <v>2394.5086250941131</v>
      </c>
      <c r="J3">
        <f>Ind_Summary!I56</f>
        <v>2170.0964898249149</v>
      </c>
      <c r="K3">
        <f>Ind_Summary!J56</f>
        <v>2112.7068844813411</v>
      </c>
      <c r="L3">
        <f>Ind_Summary!K56</f>
        <v>1631.1027716288991</v>
      </c>
      <c r="M3">
        <f>Ind_Summary!L56</f>
        <v>1983.323479457131</v>
      </c>
      <c r="N3">
        <f>Ind_Summary!M56</f>
        <v>2111.7717261541079</v>
      </c>
      <c r="O3">
        <f>Ind_Summary!N56</f>
        <v>1902.3250051865971</v>
      </c>
      <c r="P3">
        <f>Ind_Summary!O56</f>
        <v>1982.9434566547379</v>
      </c>
      <c r="Q3">
        <f>Ind_Summary!P56</f>
        <v>1887.2809909901709</v>
      </c>
      <c r="R3">
        <f>Ind_Summary!Q56</f>
        <v>1984.1873469239349</v>
      </c>
      <c r="S3">
        <f>Ind_Summary!R56</f>
        <v>1975.8061820152529</v>
      </c>
      <c r="T3">
        <f>Ind_Summary!S56</f>
        <v>1945.2773188408221</v>
      </c>
      <c r="U3">
        <f>Ind_Summary!T56</f>
        <v>2090.219450578064</v>
      </c>
      <c r="V3">
        <f>Ind_Summary!U56</f>
        <v>2053.7991241953991</v>
      </c>
      <c r="W3">
        <f>Ind_Summary!V56</f>
        <v>1952.5073657914329</v>
      </c>
      <c r="X3">
        <f>Ind_Summary!W56</f>
        <v>2038.608167666652</v>
      </c>
    </row>
    <row r="4" spans="1:24" x14ac:dyDescent="0.35">
      <c r="A4" t="s">
        <v>4</v>
      </c>
      <c r="B4" t="s">
        <v>116</v>
      </c>
      <c r="C4">
        <f>Ind_Summary!B57</f>
        <v>4069.9499704778445</v>
      </c>
      <c r="D4">
        <f>Ind_Summary!C57</f>
        <v>4151.2972873232884</v>
      </c>
      <c r="E4">
        <f>Ind_Summary!D57</f>
        <v>4158.13196928054</v>
      </c>
      <c r="F4">
        <f>Ind_Summary!E57</f>
        <v>4135.7527311775184</v>
      </c>
      <c r="G4">
        <f>Ind_Summary!F57</f>
        <v>4305.9417109600954</v>
      </c>
      <c r="H4">
        <f>Ind_Summary!G57</f>
        <v>4313.473850823324</v>
      </c>
      <c r="I4">
        <f>Ind_Summary!H57</f>
        <v>4032.1733756065187</v>
      </c>
      <c r="J4">
        <f>Ind_Summary!I57</f>
        <v>4209.7439503248852</v>
      </c>
      <c r="K4">
        <f>Ind_Summary!J57</f>
        <v>4138.6511001061745</v>
      </c>
      <c r="L4">
        <f>Ind_Summary!K57</f>
        <v>3064.960890421949</v>
      </c>
      <c r="M4">
        <f>Ind_Summary!L57</f>
        <v>3332.8190473854811</v>
      </c>
      <c r="N4">
        <f>Ind_Summary!M57</f>
        <v>3573.0229781682597</v>
      </c>
      <c r="O4">
        <f>Ind_Summary!N57</f>
        <v>3101.2307864935688</v>
      </c>
      <c r="P4">
        <f>Ind_Summary!O57</f>
        <v>2866.8417123816171</v>
      </c>
      <c r="Q4">
        <f>Ind_Summary!P57</f>
        <v>2721.5017657986455</v>
      </c>
      <c r="R4">
        <f>Ind_Summary!Q57</f>
        <v>2915.6498208585376</v>
      </c>
      <c r="S4">
        <f>Ind_Summary!R57</f>
        <v>2959.4451330811767</v>
      </c>
      <c r="T4">
        <f>Ind_Summary!S57</f>
        <v>3240.028084202007</v>
      </c>
      <c r="U4">
        <f>Ind_Summary!T57</f>
        <v>3277.2425179745455</v>
      </c>
      <c r="V4">
        <f>Ind_Summary!U57</f>
        <v>3093.5788687811628</v>
      </c>
      <c r="W4">
        <f>Ind_Summary!V57</f>
        <v>2918.3459404938417</v>
      </c>
      <c r="X4">
        <f>Ind_Summary!W57</f>
        <v>2998.8014013515285</v>
      </c>
    </row>
    <row r="5" spans="1:24" x14ac:dyDescent="0.35">
      <c r="A5" t="s">
        <v>5</v>
      </c>
      <c r="B5" t="s">
        <v>116</v>
      </c>
      <c r="C5">
        <f>Ind_Summary!B60</f>
        <v>4939.1115706089849</v>
      </c>
      <c r="D5">
        <f>Ind_Summary!C60</f>
        <v>5113.3379145090666</v>
      </c>
      <c r="E5">
        <f>Ind_Summary!D60</f>
        <v>4943.2944695154247</v>
      </c>
      <c r="F5">
        <f>Ind_Summary!E60</f>
        <v>4703.6150145298898</v>
      </c>
      <c r="G5">
        <f>Ind_Summary!F60</f>
        <v>4794.2545807471633</v>
      </c>
      <c r="H5">
        <f>Ind_Summary!G60</f>
        <v>4631.196277183627</v>
      </c>
      <c r="I5">
        <f>Ind_Summary!H60</f>
        <v>4379.3037586235514</v>
      </c>
      <c r="J5">
        <f>Ind_Summary!I60</f>
        <v>4496.5429919924327</v>
      </c>
      <c r="K5">
        <f>Ind_Summary!J60</f>
        <v>4195.6941296651476</v>
      </c>
      <c r="L5">
        <f>Ind_Summary!K60</f>
        <v>3923.810693568561</v>
      </c>
      <c r="M5">
        <f>Ind_Summary!L60</f>
        <v>4125.5795984403994</v>
      </c>
      <c r="N5">
        <f>Ind_Summary!M60</f>
        <v>4131.7622455012324</v>
      </c>
      <c r="O5">
        <f>Ind_Summary!N60</f>
        <v>4021.5377471633769</v>
      </c>
      <c r="P5">
        <f>Ind_Summary!O60</f>
        <v>4010.591217313895</v>
      </c>
      <c r="Q5">
        <f>Ind_Summary!P60</f>
        <v>4121.682964333655</v>
      </c>
      <c r="R5">
        <f>Ind_Summary!Q60</f>
        <v>4347.2042195799086</v>
      </c>
      <c r="S5">
        <f>Ind_Summary!R60</f>
        <v>4479.3591421459278</v>
      </c>
      <c r="T5">
        <f>Ind_Summary!S60</f>
        <v>4325.9291649883244</v>
      </c>
      <c r="U5">
        <f>Ind_Summary!T60</f>
        <v>4343.429652620388</v>
      </c>
      <c r="V5">
        <f>Ind_Summary!U60</f>
        <v>4293.4518357291436</v>
      </c>
      <c r="W5">
        <f>Ind_Summary!V60</f>
        <v>4171.3894008204988</v>
      </c>
      <c r="X5">
        <f>Ind_Summary!W60</f>
        <v>4459.8419973732862</v>
      </c>
    </row>
    <row r="6" spans="1:24" x14ac:dyDescent="0.35">
      <c r="A6" t="s">
        <v>56</v>
      </c>
      <c r="B6" t="s">
        <v>116</v>
      </c>
      <c r="C6" cm="1">
        <f t="array" ref="C6:C8">Ind_Summary!B62:B64</f>
        <v>29023.405762797978</v>
      </c>
      <c r="D6" cm="1">
        <f t="array" ref="D6:D8">Ind_Summary!C62:C64</f>
        <v>28883.147223305161</v>
      </c>
      <c r="E6" cm="1">
        <f t="array" ref="E6:E8">Ind_Summary!D62:D64</f>
        <v>30079.248209629965</v>
      </c>
      <c r="F6" cm="1">
        <f t="array" ref="F6:F8">Ind_Summary!E62:E64</f>
        <v>32198.120431566611</v>
      </c>
      <c r="G6" cm="1">
        <f t="array" ref="G6:G8">Ind_Summary!F62:F64</f>
        <v>30879.451056857186</v>
      </c>
      <c r="H6" cm="1">
        <f t="array" ref="H6:H8">Ind_Summary!G62:G64</f>
        <v>31467.312157719556</v>
      </c>
      <c r="I6" cm="1">
        <f t="array" ref="I6:I8">Ind_Summary!H62:H64</f>
        <v>30959.746055474214</v>
      </c>
      <c r="J6" cm="1">
        <f t="array" ref="J6:J8">Ind_Summary!I62:I64</f>
        <v>32315.036282298097</v>
      </c>
      <c r="K6" cm="1">
        <f t="array" ref="K6:K8">Ind_Summary!J62:J64</f>
        <v>32668.985312398261</v>
      </c>
      <c r="L6" cm="1">
        <f t="array" ref="L6:L8">Ind_Summary!K62:K64</f>
        <v>29657.696491186929</v>
      </c>
      <c r="M6" cm="1">
        <f t="array" ref="M6:M8">Ind_Summary!L62:L64</f>
        <v>32093.249606209778</v>
      </c>
      <c r="N6" cm="1">
        <f t="array" ref="N6:N8">Ind_Summary!M62:M64</f>
        <v>34208.68675824524</v>
      </c>
      <c r="O6" cm="1">
        <f t="array" ref="O6:O8">Ind_Summary!N62:N64</f>
        <v>34481.081745703501</v>
      </c>
      <c r="P6" cm="1">
        <f t="array" ref="P6:P8">Ind_Summary!O62:O64</f>
        <v>35417.197790923892</v>
      </c>
      <c r="Q6" cm="1">
        <f t="array" ref="Q6:Q8">Ind_Summary!P62:P64</f>
        <v>33882.948790705661</v>
      </c>
      <c r="R6" cm="1">
        <f t="array" ref="R6:R8">Ind_Summary!Q62:Q64</f>
        <v>34311.057373956937</v>
      </c>
      <c r="S6" cm="1">
        <f t="array" ref="S6:S8">Ind_Summary!R62:R64</f>
        <v>34424.464777542904</v>
      </c>
      <c r="T6" cm="1">
        <f t="array" ref="T6:T8">Ind_Summary!S62:S64</f>
        <v>35626.552938955894</v>
      </c>
      <c r="U6" cm="1">
        <f t="array" ref="U6:U8">Ind_Summary!T62:T64</f>
        <v>33913.458528150426</v>
      </c>
      <c r="V6" cm="1">
        <f t="array" ref="V6:V8">Ind_Summary!U62:U64</f>
        <v>33689.653291975759</v>
      </c>
      <c r="W6" cm="1">
        <f t="array" ref="W6:W8">Ind_Summary!V62:V64</f>
        <v>32740.038523308904</v>
      </c>
      <c r="X6" cm="1">
        <f t="array" ref="X6:X8">Ind_Summary!W62:W64</f>
        <v>33940.034230485675</v>
      </c>
    </row>
    <row r="7" spans="1:24" x14ac:dyDescent="0.35">
      <c r="A7" t="s">
        <v>8</v>
      </c>
      <c r="B7" t="s">
        <v>116</v>
      </c>
      <c r="C7">
        <v>17694.74822220653</v>
      </c>
      <c r="D7">
        <v>17375.0078408425</v>
      </c>
      <c r="E7">
        <v>16371.50778155558</v>
      </c>
      <c r="F7">
        <v>17459.757004043789</v>
      </c>
      <c r="G7">
        <v>16528.289139844459</v>
      </c>
      <c r="H7">
        <v>16537.04319757218</v>
      </c>
      <c r="I7">
        <v>15456.133551197299</v>
      </c>
      <c r="J7">
        <v>16463.29566178051</v>
      </c>
      <c r="K7">
        <v>14979.294264754401</v>
      </c>
      <c r="L7">
        <v>13403.30829750175</v>
      </c>
      <c r="M7">
        <v>13133.086396578579</v>
      </c>
      <c r="N7">
        <v>14655.15532238211</v>
      </c>
      <c r="O7">
        <v>14801.767569230949</v>
      </c>
      <c r="P7">
        <v>13746.61802685246</v>
      </c>
      <c r="Q7">
        <v>13124.867770675161</v>
      </c>
      <c r="R7">
        <v>11723.073608064111</v>
      </c>
      <c r="S7">
        <v>12110.514225957781</v>
      </c>
      <c r="T7">
        <v>11541.316979983279</v>
      </c>
      <c r="U7">
        <v>12781.55182490183</v>
      </c>
      <c r="V7">
        <v>12231.14653864765</v>
      </c>
      <c r="W7">
        <v>13089.52418502736</v>
      </c>
      <c r="X7">
        <v>13297.353804132579</v>
      </c>
    </row>
    <row r="8" spans="1:24" x14ac:dyDescent="0.35">
      <c r="A8" t="s">
        <v>96</v>
      </c>
      <c r="B8" t="s">
        <v>116</v>
      </c>
      <c r="C8">
        <v>3633.310997562995</v>
      </c>
      <c r="D8">
        <v>3917.2428759288382</v>
      </c>
      <c r="E8">
        <v>4062.5490775938788</v>
      </c>
      <c r="F8">
        <v>4117.6141019120041</v>
      </c>
      <c r="G8">
        <v>3992.55802864832</v>
      </c>
      <c r="H8">
        <v>4019.0207485915871</v>
      </c>
      <c r="I8">
        <v>4076.1281454518248</v>
      </c>
      <c r="J8">
        <v>4119.8203694387448</v>
      </c>
      <c r="K8">
        <v>4096.4183364316013</v>
      </c>
      <c r="L8">
        <v>3959.024231673272</v>
      </c>
      <c r="M8">
        <v>3930.4990084842748</v>
      </c>
      <c r="N8">
        <v>4007.0063764149631</v>
      </c>
      <c r="O8">
        <v>3980.50741336389</v>
      </c>
      <c r="P8">
        <v>3966.5082951211712</v>
      </c>
      <c r="Q8">
        <v>4848.2661843753394</v>
      </c>
      <c r="R8">
        <v>4533.7834029037776</v>
      </c>
      <c r="S8">
        <v>4801.5503993421389</v>
      </c>
      <c r="T8">
        <v>4509.3088197410862</v>
      </c>
      <c r="U8">
        <v>4449.7858727722851</v>
      </c>
      <c r="V8">
        <v>4606.6888480829457</v>
      </c>
      <c r="W8">
        <v>4489.2601617186137</v>
      </c>
      <c r="X8">
        <v>4525.8449949834276</v>
      </c>
    </row>
    <row r="9" spans="1:24" x14ac:dyDescent="0.35">
      <c r="A9" t="s">
        <v>11</v>
      </c>
      <c r="B9" t="s">
        <v>116</v>
      </c>
      <c r="C9">
        <f>Ind_Summary!B66</f>
        <v>18262.727712895081</v>
      </c>
      <c r="D9">
        <f>Ind_Summary!C66</f>
        <v>17905.35445934704</v>
      </c>
      <c r="E9">
        <f>Ind_Summary!D66</f>
        <v>17666.65748366556</v>
      </c>
      <c r="F9">
        <f>Ind_Summary!E66</f>
        <v>18042.231732801341</v>
      </c>
      <c r="G9">
        <f>Ind_Summary!F66</f>
        <v>18543.96269743449</v>
      </c>
      <c r="H9">
        <f>Ind_Summary!G66</f>
        <v>18439.647741826251</v>
      </c>
      <c r="I9">
        <f>Ind_Summary!H66</f>
        <v>19831.911971093079</v>
      </c>
      <c r="J9">
        <f>Ind_Summary!I66</f>
        <v>20042.656615896809</v>
      </c>
      <c r="K9">
        <f>Ind_Summary!J66</f>
        <v>18283.06601727198</v>
      </c>
      <c r="L9">
        <f>Ind_Summary!K66</f>
        <v>14682.918152036231</v>
      </c>
      <c r="M9">
        <f>Ind_Summary!L66</f>
        <v>14199.48441249644</v>
      </c>
      <c r="N9">
        <f>Ind_Summary!M66</f>
        <v>14251.064213821021</v>
      </c>
      <c r="O9">
        <f>Ind_Summary!N66</f>
        <v>12813.058428221861</v>
      </c>
      <c r="P9">
        <f>Ind_Summary!O66</f>
        <v>12109.80684175044</v>
      </c>
      <c r="Q9">
        <f>Ind_Summary!P66</f>
        <v>12316.185034026001</v>
      </c>
      <c r="R9">
        <f>Ind_Summary!Q66</f>
        <v>12245.90845880316</v>
      </c>
      <c r="S9">
        <f>Ind_Summary!R66</f>
        <v>12238.148039164071</v>
      </c>
      <c r="T9">
        <f>Ind_Summary!S66</f>
        <v>12722.28188865113</v>
      </c>
      <c r="U9">
        <f>Ind_Summary!T66</f>
        <v>13056.547545507599</v>
      </c>
      <c r="V9">
        <f>Ind_Summary!U66</f>
        <v>12944.308438231141</v>
      </c>
      <c r="W9">
        <f>Ind_Summary!V66</f>
        <v>12824.896242264571</v>
      </c>
      <c r="X9">
        <f>Ind_Summary!W66</f>
        <v>12931.980560278769</v>
      </c>
    </row>
    <row r="10" spans="1:24" x14ac:dyDescent="0.35">
      <c r="A10" t="s">
        <v>97</v>
      </c>
      <c r="B10" t="s">
        <v>116</v>
      </c>
      <c r="C10">
        <f>Ind_Summary!B67</f>
        <v>17090.49317185285</v>
      </c>
      <c r="D10">
        <f>Ind_Summary!C67</f>
        <v>17556.200216104291</v>
      </c>
      <c r="E10">
        <f>Ind_Summary!D67</f>
        <v>16882.71500640492</v>
      </c>
      <c r="F10">
        <f>Ind_Summary!E67</f>
        <v>17889.111857796499</v>
      </c>
      <c r="G10">
        <f>Ind_Summary!F67</f>
        <v>18019.256406226199</v>
      </c>
      <c r="H10">
        <f>Ind_Summary!G67</f>
        <v>18967.1535421349</v>
      </c>
      <c r="I10">
        <f>Ind_Summary!H67</f>
        <v>16157.99244641467</v>
      </c>
      <c r="J10">
        <f>Ind_Summary!I67</f>
        <v>17150.997373491529</v>
      </c>
      <c r="K10">
        <f>Ind_Summary!J67</f>
        <v>17285.439545973459</v>
      </c>
      <c r="L10">
        <f>Ind_Summary!K67</f>
        <v>13688.55272737112</v>
      </c>
      <c r="M10">
        <f>Ind_Summary!L67</f>
        <v>14824.217761409551</v>
      </c>
      <c r="N10">
        <f>Ind_Summary!M67</f>
        <v>15514.208808397239</v>
      </c>
      <c r="O10">
        <f>Ind_Summary!N67</f>
        <v>14535.307361912481</v>
      </c>
      <c r="P10">
        <f>Ind_Summary!O67</f>
        <v>14354.96891498994</v>
      </c>
      <c r="Q10">
        <f>Ind_Summary!P67</f>
        <v>13995.054097267581</v>
      </c>
      <c r="R10">
        <f>Ind_Summary!Q67</f>
        <v>14707.517245550011</v>
      </c>
      <c r="S10">
        <f>Ind_Summary!R67</f>
        <v>15218.039992110351</v>
      </c>
      <c r="T10">
        <f>Ind_Summary!S67</f>
        <v>14492.765449583139</v>
      </c>
      <c r="U10">
        <f>Ind_Summary!T67</f>
        <v>15122.58047876698</v>
      </c>
      <c r="V10">
        <f>Ind_Summary!U67</f>
        <v>15083.07067651193</v>
      </c>
      <c r="W10">
        <f>Ind_Summary!V67</f>
        <v>14935.413495451099</v>
      </c>
      <c r="X10">
        <f>Ind_Summary!W67</f>
        <v>16143.53202895373</v>
      </c>
    </row>
    <row r="11" spans="1:24" x14ac:dyDescent="0.35">
      <c r="A11" t="s">
        <v>98</v>
      </c>
      <c r="B11" t="s">
        <v>116</v>
      </c>
      <c r="C11">
        <f>Ind_Summary!B68</f>
        <v>6606.2815892540921</v>
      </c>
      <c r="D11">
        <f>Ind_Summary!C68</f>
        <v>6649.4757866671716</v>
      </c>
      <c r="E11">
        <f>Ind_Summary!D68</f>
        <v>6606.3339187256524</v>
      </c>
      <c r="F11">
        <f>Ind_Summary!E68</f>
        <v>6562.1610011466482</v>
      </c>
      <c r="G11">
        <f>Ind_Summary!F68</f>
        <v>6630.9576751607156</v>
      </c>
      <c r="H11">
        <f>Ind_Summary!G68</f>
        <v>6431.7289208281736</v>
      </c>
      <c r="I11">
        <f>Ind_Summary!H68</f>
        <v>6630.7508843717887</v>
      </c>
      <c r="J11">
        <f>Ind_Summary!I68</f>
        <v>6572.8479438962531</v>
      </c>
      <c r="K11">
        <f>Ind_Summary!J68</f>
        <v>6427.8413291080633</v>
      </c>
      <c r="L11">
        <f>Ind_Summary!K68</f>
        <v>5686.7929993571861</v>
      </c>
      <c r="M11">
        <f>Ind_Summary!L68</f>
        <v>5853.0922156289889</v>
      </c>
      <c r="N11">
        <f>Ind_Summary!M68</f>
        <v>5849.9614986982306</v>
      </c>
      <c r="O11">
        <f>Ind_Summary!N68</f>
        <v>5614.023884652549</v>
      </c>
      <c r="P11">
        <f>Ind_Summary!O68</f>
        <v>5371.6802846398286</v>
      </c>
      <c r="Q11">
        <f>Ind_Summary!P68</f>
        <v>5431.361463386399</v>
      </c>
      <c r="R11">
        <f>Ind_Summary!Q68</f>
        <v>5439.9027195940143</v>
      </c>
      <c r="S11">
        <f>Ind_Summary!R68</f>
        <v>5555.3433915036721</v>
      </c>
      <c r="T11">
        <f>Ind_Summary!S68</f>
        <v>5689.6618324998362</v>
      </c>
      <c r="U11">
        <f>Ind_Summary!T68</f>
        <v>5707.5991877618471</v>
      </c>
      <c r="V11">
        <f>Ind_Summary!U68</f>
        <v>5519.6535020589236</v>
      </c>
      <c r="W11">
        <f>Ind_Summary!V68</f>
        <v>5287.3166674690401</v>
      </c>
      <c r="X11">
        <f>Ind_Summary!W68</f>
        <v>5285.2770113121096</v>
      </c>
    </row>
    <row r="12" spans="1:24" x14ac:dyDescent="0.35">
      <c r="A12" t="s">
        <v>99</v>
      </c>
      <c r="B12" t="s">
        <v>116</v>
      </c>
      <c r="C12">
        <f>Ind_Summary!B70</f>
        <v>11402.53607444471</v>
      </c>
      <c r="D12">
        <f>Ind_Summary!C70</f>
        <v>10875.65674741964</v>
      </c>
      <c r="E12">
        <f>Ind_Summary!D70</f>
        <v>10997.329301847791</v>
      </c>
      <c r="F12">
        <f>Ind_Summary!E70</f>
        <v>11336.454684213861</v>
      </c>
      <c r="G12">
        <f>Ind_Summary!F70</f>
        <v>11180.01619848665</v>
      </c>
      <c r="H12">
        <f>Ind_Summary!G70</f>
        <v>11193.386215439299</v>
      </c>
      <c r="I12">
        <f>Ind_Summary!H70</f>
        <v>11657.38450246631</v>
      </c>
      <c r="J12">
        <f>Ind_Summary!I70</f>
        <v>12202.24631280514</v>
      </c>
      <c r="K12">
        <f>Ind_Summary!J70</f>
        <v>11581.109890084181</v>
      </c>
      <c r="L12">
        <f>Ind_Summary!K70</f>
        <v>10418.99114514159</v>
      </c>
      <c r="M12">
        <f>Ind_Summary!L70</f>
        <v>11051.951415067449</v>
      </c>
      <c r="N12">
        <f>Ind_Summary!M70</f>
        <v>10999.902158157831</v>
      </c>
      <c r="O12">
        <f>Ind_Summary!N70</f>
        <v>10954.90807099598</v>
      </c>
      <c r="P12">
        <f>Ind_Summary!O70</f>
        <v>11013.078373249131</v>
      </c>
      <c r="Q12">
        <f>Ind_Summary!P70</f>
        <v>10961.103648873701</v>
      </c>
      <c r="R12">
        <f>Ind_Summary!Q70</f>
        <v>10890.191207176609</v>
      </c>
      <c r="S12">
        <f>Ind_Summary!R70</f>
        <v>11013.455170628929</v>
      </c>
      <c r="T12">
        <f>Ind_Summary!S70</f>
        <v>11260.656354320459</v>
      </c>
      <c r="U12">
        <f>Ind_Summary!T70</f>
        <v>11360.387473772371</v>
      </c>
      <c r="V12">
        <f>Ind_Summary!U70</f>
        <v>11729.976843209841</v>
      </c>
      <c r="W12">
        <f>Ind_Summary!V70</f>
        <v>11552.307707557071</v>
      </c>
      <c r="X12">
        <f>Ind_Summary!W70</f>
        <v>11469.134497686749</v>
      </c>
    </row>
    <row r="13" spans="1:24" x14ac:dyDescent="0.35">
      <c r="A13" t="s">
        <v>100</v>
      </c>
      <c r="B13" t="s">
        <v>116</v>
      </c>
      <c r="C13">
        <f>Ind_Summary!B71</f>
        <v>19354.060189269159</v>
      </c>
      <c r="D13">
        <f>Ind_Summary!C71</f>
        <v>19094.39825408017</v>
      </c>
      <c r="E13">
        <f>Ind_Summary!D71</f>
        <v>19381.66126344393</v>
      </c>
      <c r="F13">
        <f>Ind_Summary!E71</f>
        <v>20003.926865816578</v>
      </c>
      <c r="G13">
        <f>Ind_Summary!F71</f>
        <v>20280.713725596939</v>
      </c>
      <c r="H13">
        <f>Ind_Summary!G71</f>
        <v>20738.535509738551</v>
      </c>
      <c r="I13">
        <f>Ind_Summary!H71</f>
        <v>21153.93053319371</v>
      </c>
      <c r="J13">
        <f>Ind_Summary!I71</f>
        <v>21559.856966056261</v>
      </c>
      <c r="K13">
        <f>Ind_Summary!J71</f>
        <v>20155.18695110636</v>
      </c>
      <c r="L13">
        <f>Ind_Summary!K71</f>
        <v>18924.819506032989</v>
      </c>
      <c r="M13">
        <f>Ind_Summary!L71</f>
        <v>19888.81274507293</v>
      </c>
      <c r="N13">
        <f>Ind_Summary!M71</f>
        <v>19519.239544854041</v>
      </c>
      <c r="O13">
        <f>Ind_Summary!N71</f>
        <v>19321.318110156972</v>
      </c>
      <c r="P13">
        <f>Ind_Summary!O71</f>
        <v>19357.547057923421</v>
      </c>
      <c r="Q13">
        <f>Ind_Summary!P71</f>
        <v>19138.471337042181</v>
      </c>
      <c r="R13">
        <f>Ind_Summary!Q71</f>
        <v>19294.021427327742</v>
      </c>
      <c r="S13">
        <f>Ind_Summary!R71</f>
        <v>19334.268777224981</v>
      </c>
      <c r="T13">
        <f>Ind_Summary!S71</f>
        <v>19448.883396287791</v>
      </c>
      <c r="U13">
        <f>Ind_Summary!T71</f>
        <v>19191.17756357952</v>
      </c>
      <c r="V13">
        <f>Ind_Summary!U71</f>
        <v>19180.910626286812</v>
      </c>
      <c r="W13">
        <f>Ind_Summary!V71</f>
        <v>18330.926193788371</v>
      </c>
      <c r="X13">
        <f>Ind_Summary!W71</f>
        <v>19702.79271826784</v>
      </c>
    </row>
    <row r="14" spans="1:24" x14ac:dyDescent="0.35">
      <c r="A14" t="s">
        <v>101</v>
      </c>
      <c r="B14" t="s">
        <v>116</v>
      </c>
      <c r="C14">
        <f>Ind_Summary!B72</f>
        <v>2125.8534787757371</v>
      </c>
      <c r="D14">
        <f>Ind_Summary!C72</f>
        <v>2095.999630713296</v>
      </c>
      <c r="E14">
        <f>Ind_Summary!D72</f>
        <v>2147.4184136223939</v>
      </c>
      <c r="F14">
        <f>Ind_Summary!E72</f>
        <v>2254.4389006354472</v>
      </c>
      <c r="G14">
        <f>Ind_Summary!F72</f>
        <v>2243.2535242531321</v>
      </c>
      <c r="H14">
        <f>Ind_Summary!G72</f>
        <v>2302.530384407145</v>
      </c>
      <c r="I14">
        <f>Ind_Summary!H72</f>
        <v>2267.2043702368251</v>
      </c>
      <c r="J14">
        <f>Ind_Summary!I72</f>
        <v>2287.8695767953168</v>
      </c>
      <c r="K14">
        <f>Ind_Summary!J72</f>
        <v>2099.470923256803</v>
      </c>
      <c r="L14">
        <f>Ind_Summary!K72</f>
        <v>1957.4700770530401</v>
      </c>
      <c r="M14">
        <f>Ind_Summary!L72</f>
        <v>2023.682388528915</v>
      </c>
      <c r="N14">
        <f>Ind_Summary!M72</f>
        <v>1957.5076011117519</v>
      </c>
      <c r="O14">
        <f>Ind_Summary!N72</f>
        <v>1955.0479887981501</v>
      </c>
      <c r="P14">
        <f>Ind_Summary!O72</f>
        <v>1907.6659199137409</v>
      </c>
      <c r="Q14">
        <f>Ind_Summary!P72</f>
        <v>1833.236631188812</v>
      </c>
      <c r="R14">
        <f>Ind_Summary!Q72</f>
        <v>1763.0481485260129</v>
      </c>
      <c r="S14">
        <f>Ind_Summary!R72</f>
        <v>1832.4881973175991</v>
      </c>
      <c r="T14">
        <f>Ind_Summary!S72</f>
        <v>1796.558197642717</v>
      </c>
      <c r="U14">
        <f>Ind_Summary!T72</f>
        <v>1755.6571086900269</v>
      </c>
      <c r="V14">
        <f>Ind_Summary!U72</f>
        <v>1604.0153244574849</v>
      </c>
      <c r="W14">
        <f>Ind_Summary!V72</f>
        <v>1513.988791761115</v>
      </c>
      <c r="X14">
        <f>Ind_Summary!W72</f>
        <v>1760.12446684017</v>
      </c>
    </row>
    <row r="15" spans="1:24" x14ac:dyDescent="0.35">
      <c r="A15" t="s">
        <v>102</v>
      </c>
      <c r="B15" t="s">
        <v>116</v>
      </c>
      <c r="C15" cm="1">
        <f t="array" ref="C15:C20">Ind_Summary!B73:B78</f>
        <v>27523.25816929981</v>
      </c>
      <c r="D15" cm="1">
        <f t="array" ref="D15:D20">Ind_Summary!C73:C78</f>
        <v>28034.955352477238</v>
      </c>
      <c r="E15" cm="1">
        <f t="array" ref="E15:E20">Ind_Summary!D73:D78</f>
        <v>29053.04392349772</v>
      </c>
      <c r="F15" cm="1">
        <f t="array" ref="F15:F20">Ind_Summary!E73:E78</f>
        <v>29365.400563834621</v>
      </c>
      <c r="G15" cm="1">
        <f t="array" ref="G15:G20">Ind_Summary!F73:F78</f>
        <v>29139.458361590681</v>
      </c>
      <c r="H15" cm="1">
        <f t="array" ref="H15:H20">Ind_Summary!G73:G78</f>
        <v>27792.686394242239</v>
      </c>
      <c r="I15" cm="1">
        <f t="array" ref="I15:I20">Ind_Summary!H73:H78</f>
        <v>26413.492767191179</v>
      </c>
      <c r="J15" cm="1">
        <f t="array" ref="J15:J20">Ind_Summary!I73:I78</f>
        <v>26711.057493967441</v>
      </c>
      <c r="K15" cm="1">
        <f t="array" ref="K15:K20">Ind_Summary!J73:J78</f>
        <v>26302.938714967459</v>
      </c>
      <c r="L15" cm="1">
        <f t="array" ref="L15:L20">Ind_Summary!K73:K78</f>
        <v>25165.32891267577</v>
      </c>
      <c r="M15" cm="1">
        <f t="array" ref="M15:M20">Ind_Summary!L73:L78</f>
        <v>25924.70347593445</v>
      </c>
      <c r="N15" cm="1">
        <f t="array" ref="N15:N20">Ind_Summary!M73:M78</f>
        <v>26021.623806725231</v>
      </c>
      <c r="O15" cm="1">
        <f t="array" ref="O15:O20">Ind_Summary!N73:N78</f>
        <v>26285.649636682068</v>
      </c>
      <c r="P15" cm="1">
        <f t="array" ref="P15:P20">Ind_Summary!O73:O78</f>
        <v>25946.13472219032</v>
      </c>
      <c r="Q15" cm="1">
        <f t="array" ref="Q15:Q20">Ind_Summary!P73:P78</f>
        <v>26314.230365099051</v>
      </c>
      <c r="R15" cm="1">
        <f t="array" ref="R15:R20">Ind_Summary!Q73:Q78</f>
        <v>26517.30364199225</v>
      </c>
      <c r="S15" cm="1">
        <f t="array" ref="S15:S20">Ind_Summary!R73:R78</f>
        <v>27419.80826410908</v>
      </c>
      <c r="T15" cm="1">
        <f t="array" ref="T15:T20">Ind_Summary!S73:S78</f>
        <v>27542.163707114749</v>
      </c>
      <c r="U15" cm="1">
        <f t="array" ref="U15:U20">Ind_Summary!T73:T78</f>
        <v>28005.02209125381</v>
      </c>
      <c r="V15" cm="1">
        <f t="array" ref="V15:V20">Ind_Summary!U73:U78</f>
        <v>27554.67990115867</v>
      </c>
      <c r="W15" cm="1">
        <f t="array" ref="W15:W20">Ind_Summary!V73:V78</f>
        <v>27240.01392304432</v>
      </c>
      <c r="X15" cm="1">
        <f t="array" ref="X15:X20">Ind_Summary!W73:W78</f>
        <v>28856.389928361201</v>
      </c>
    </row>
    <row r="16" spans="1:24" x14ac:dyDescent="0.35">
      <c r="A16" t="s">
        <v>103</v>
      </c>
      <c r="B16" t="s">
        <v>116</v>
      </c>
      <c r="C16">
        <v>7903.1142656489919</v>
      </c>
      <c r="D16">
        <v>8116.6777554290175</v>
      </c>
      <c r="E16">
        <v>7786.9555494451361</v>
      </c>
      <c r="F16">
        <v>8372.7357654130192</v>
      </c>
      <c r="G16">
        <v>8534.5876614076078</v>
      </c>
      <c r="H16">
        <v>8168.2974040075924</v>
      </c>
      <c r="I16">
        <v>7960.6090500287301</v>
      </c>
      <c r="J16">
        <v>8048.9764396013661</v>
      </c>
      <c r="K16">
        <v>7620.316686491853</v>
      </c>
      <c r="L16">
        <v>6609.572050763205</v>
      </c>
      <c r="M16">
        <v>7209.1986953616888</v>
      </c>
      <c r="N16">
        <v>6970.2776744777766</v>
      </c>
      <c r="O16">
        <v>6990.5928031038957</v>
      </c>
      <c r="P16">
        <v>7157.1658580446392</v>
      </c>
      <c r="Q16">
        <v>6819.5574207925947</v>
      </c>
      <c r="R16">
        <v>6848.1310827617854</v>
      </c>
      <c r="S16">
        <v>7312.2467199409084</v>
      </c>
      <c r="T16">
        <v>7407.4817893164327</v>
      </c>
      <c r="U16">
        <v>7541.5283091164956</v>
      </c>
      <c r="V16">
        <v>7418.4927259860069</v>
      </c>
      <c r="W16">
        <v>6740.0749777418832</v>
      </c>
      <c r="X16">
        <v>7101.3573241381127</v>
      </c>
    </row>
    <row r="17" spans="1:24" x14ac:dyDescent="0.35">
      <c r="A17" t="s">
        <v>104</v>
      </c>
      <c r="B17" t="s">
        <v>116</v>
      </c>
      <c r="C17">
        <v>16979.065129156948</v>
      </c>
      <c r="D17">
        <v>17468.02990151526</v>
      </c>
      <c r="E17">
        <v>17198.763323457719</v>
      </c>
      <c r="F17">
        <v>18906.962616392051</v>
      </c>
      <c r="G17">
        <v>19102.152387673679</v>
      </c>
      <c r="H17">
        <v>18915.426755402841</v>
      </c>
      <c r="I17">
        <v>18976.04358500781</v>
      </c>
      <c r="J17">
        <v>18962.08405100026</v>
      </c>
      <c r="K17">
        <v>19855.489421689021</v>
      </c>
      <c r="L17">
        <v>17118.529826000671</v>
      </c>
      <c r="M17">
        <v>18413.480829242329</v>
      </c>
      <c r="N17">
        <v>17949.656679729978</v>
      </c>
      <c r="O17">
        <v>17477.503218557511</v>
      </c>
      <c r="P17">
        <v>17722.459628901881</v>
      </c>
      <c r="Q17">
        <v>17059.180117630029</v>
      </c>
      <c r="R17">
        <v>16690.72087495833</v>
      </c>
      <c r="S17">
        <v>16920.817248715579</v>
      </c>
      <c r="T17">
        <v>17271.15273475261</v>
      </c>
      <c r="U17">
        <v>17197.301842514069</v>
      </c>
      <c r="V17">
        <v>16962.77053723787</v>
      </c>
      <c r="W17">
        <v>15701.61806572388</v>
      </c>
      <c r="X17">
        <v>17200.31978595928</v>
      </c>
    </row>
    <row r="18" spans="1:24" x14ac:dyDescent="0.35">
      <c r="A18" t="s">
        <v>105</v>
      </c>
      <c r="B18" t="s">
        <v>116</v>
      </c>
      <c r="C18">
        <v>9756.8662398830947</v>
      </c>
      <c r="D18">
        <v>9639.1340192065236</v>
      </c>
      <c r="E18">
        <v>9577.9514878856571</v>
      </c>
      <c r="F18">
        <v>9479.1234255713989</v>
      </c>
      <c r="G18">
        <v>8837.7845369247043</v>
      </c>
      <c r="H18">
        <v>7195.1620461023522</v>
      </c>
      <c r="I18">
        <v>6577.9182499998969</v>
      </c>
      <c r="J18">
        <v>5987.7417663941942</v>
      </c>
      <c r="K18">
        <v>5302.7821912963354</v>
      </c>
      <c r="L18">
        <v>4491.0012738593696</v>
      </c>
      <c r="M18">
        <v>4438.2117314182751</v>
      </c>
      <c r="N18">
        <v>4203.9990079951294</v>
      </c>
      <c r="O18">
        <v>3998.9402781878398</v>
      </c>
      <c r="P18">
        <v>3858.8471079985638</v>
      </c>
      <c r="Q18">
        <v>3713.952911655902</v>
      </c>
      <c r="R18">
        <v>3698.662445394973</v>
      </c>
      <c r="S18">
        <v>3691.6152720225869</v>
      </c>
      <c r="T18">
        <v>3718.8140354366369</v>
      </c>
      <c r="U18">
        <v>3698.3110142804039</v>
      </c>
      <c r="V18">
        <v>3612.7445365838248</v>
      </c>
      <c r="W18">
        <v>3216.7386299486652</v>
      </c>
      <c r="X18">
        <v>3385.3200318119311</v>
      </c>
    </row>
    <row r="19" spans="1:24" x14ac:dyDescent="0.35">
      <c r="A19" t="s">
        <v>106</v>
      </c>
      <c r="B19" t="s">
        <v>116</v>
      </c>
      <c r="C19">
        <v>6474.7755301560637</v>
      </c>
      <c r="D19">
        <v>6176.1692112769651</v>
      </c>
      <c r="E19">
        <v>6287.0275884817302</v>
      </c>
      <c r="F19">
        <v>6877.9886103523477</v>
      </c>
      <c r="G19">
        <v>7619.9660389226883</v>
      </c>
      <c r="H19">
        <v>7275.2361060954672</v>
      </c>
      <c r="I19">
        <v>7003.2611046532229</v>
      </c>
      <c r="J19">
        <v>7567.0061565355154</v>
      </c>
      <c r="K19">
        <v>7440.060600195141</v>
      </c>
      <c r="L19">
        <v>7165.6224752455664</v>
      </c>
      <c r="M19">
        <v>7749.0222135149697</v>
      </c>
      <c r="N19">
        <v>7893.7930108544997</v>
      </c>
      <c r="O19">
        <v>7874.208526221385</v>
      </c>
      <c r="P19">
        <v>7987.5182532552271</v>
      </c>
      <c r="Q19">
        <v>7834.008437698044</v>
      </c>
      <c r="R19">
        <v>8092.0054261134947</v>
      </c>
      <c r="S19">
        <v>8503.8499268441774</v>
      </c>
      <c r="T19">
        <v>8635.4569872914635</v>
      </c>
      <c r="U19">
        <v>8757.0608868728668</v>
      </c>
      <c r="V19">
        <v>8542.6088777990753</v>
      </c>
      <c r="W19">
        <v>8609.5844353380635</v>
      </c>
      <c r="X19">
        <v>9358.8496214730258</v>
      </c>
    </row>
    <row r="20" spans="1:24" x14ac:dyDescent="0.35">
      <c r="A20" t="s">
        <v>57</v>
      </c>
      <c r="B20" t="s">
        <v>116</v>
      </c>
      <c r="C20">
        <v>29485.49110763528</v>
      </c>
      <c r="D20">
        <v>29857.011718172289</v>
      </c>
      <c r="E20">
        <v>29705.166908194271</v>
      </c>
      <c r="F20">
        <v>26331.400605186209</v>
      </c>
      <c r="G20">
        <v>26257.054769536051</v>
      </c>
      <c r="H20">
        <v>30691.493376315651</v>
      </c>
      <c r="I20">
        <v>29225.234854670289</v>
      </c>
      <c r="J20">
        <v>30331.053339264541</v>
      </c>
      <c r="K20">
        <v>29560.270067468191</v>
      </c>
      <c r="L20">
        <v>24531.86035616395</v>
      </c>
      <c r="M20">
        <v>27262.591922135711</v>
      </c>
      <c r="N20">
        <v>22754.898201507101</v>
      </c>
      <c r="O20">
        <v>23061.200935158871</v>
      </c>
      <c r="P20">
        <v>22617.046500953089</v>
      </c>
      <c r="Q20">
        <v>22203.60133978026</v>
      </c>
      <c r="R20">
        <v>21687.027759442561</v>
      </c>
      <c r="S20">
        <v>22128.5957737319</v>
      </c>
      <c r="T20">
        <v>22547.57005415345</v>
      </c>
      <c r="U20">
        <v>23343.019271365349</v>
      </c>
      <c r="V20">
        <v>24263.346470824112</v>
      </c>
      <c r="W20">
        <v>22627.901580341291</v>
      </c>
      <c r="X20">
        <v>24922.136955308339</v>
      </c>
    </row>
    <row r="21" spans="1:24" x14ac:dyDescent="0.35">
      <c r="A21" t="s">
        <v>107</v>
      </c>
      <c r="B21" t="s">
        <v>114</v>
      </c>
      <c r="C21">
        <f>Transport_Summary!B6</f>
        <v>98941.11886586019</v>
      </c>
      <c r="D21">
        <f>Transport_Summary!C6</f>
        <v>102907.77877467484</v>
      </c>
      <c r="E21">
        <f>Transport_Summary!D6</f>
        <v>104221.43765335812</v>
      </c>
      <c r="F21">
        <f>Transport_Summary!E6</f>
        <v>107273.62723268587</v>
      </c>
      <c r="G21">
        <f>Transport_Summary!F6</f>
        <v>110798.03852825334</v>
      </c>
      <c r="H21">
        <f>Transport_Summary!G6</f>
        <v>114310.05461044043</v>
      </c>
      <c r="I21">
        <f>Transport_Summary!H6</f>
        <v>113240.01948371352</v>
      </c>
      <c r="J21">
        <f>Transport_Summary!I6</f>
        <v>109248.06554776955</v>
      </c>
      <c r="K21">
        <f>Transport_Summary!J6</f>
        <v>114173.93516820222</v>
      </c>
      <c r="L21">
        <f>Transport_Summary!K6</f>
        <v>111644.51382255246</v>
      </c>
      <c r="M21">
        <f>Transport_Summary!L6</f>
        <v>113468.03968176561</v>
      </c>
      <c r="N21">
        <f>Transport_Summary!M6</f>
        <v>117394.95933156536</v>
      </c>
      <c r="O21">
        <f>Transport_Summary!N6</f>
        <v>114771.32204355873</v>
      </c>
      <c r="P21">
        <f>Transport_Summary!O6</f>
        <v>114303.80862898356</v>
      </c>
      <c r="Q21">
        <f>Transport_Summary!P6</f>
        <v>117046.74852749721</v>
      </c>
      <c r="R21">
        <f>Transport_Summary!Q6</f>
        <v>116981.97982151579</v>
      </c>
      <c r="S21">
        <f>Transport_Summary!R6</f>
        <v>118278.58662681941</v>
      </c>
      <c r="T21">
        <f>Transport_Summary!S6</f>
        <v>111812.09518179623</v>
      </c>
      <c r="U21">
        <f>Transport_Summary!T6</f>
        <v>106397.39533905862</v>
      </c>
      <c r="V21">
        <f>Transport_Summary!U6</f>
        <v>112972.8842398344</v>
      </c>
      <c r="W21">
        <f>Transport_Summary!V6</f>
        <v>100535.33138836388</v>
      </c>
      <c r="X21">
        <f>Transport_Summary!W6</f>
        <v>104773.51557530889</v>
      </c>
    </row>
    <row r="22" spans="1:24" x14ac:dyDescent="0.35">
      <c r="A22" t="s">
        <v>108</v>
      </c>
      <c r="B22" t="s">
        <v>114</v>
      </c>
      <c r="C22">
        <f>Transport_Summary!B7</f>
        <v>3660355.0623140209</v>
      </c>
      <c r="D22">
        <f>Transport_Summary!C7</f>
        <v>3734215.7647230607</v>
      </c>
      <c r="E22">
        <f>Transport_Summary!D7</f>
        <v>3789305.0249260701</v>
      </c>
      <c r="F22">
        <f>Transport_Summary!E7</f>
        <v>3826195.6189610125</v>
      </c>
      <c r="G22">
        <f>Transport_Summary!F7</f>
        <v>3878162.7438382171</v>
      </c>
      <c r="H22">
        <f>Transport_Summary!G7</f>
        <v>3839179.4808863439</v>
      </c>
      <c r="I22">
        <f>Transport_Summary!H7</f>
        <v>3875261.4469870077</v>
      </c>
      <c r="J22">
        <f>Transport_Summary!I7</f>
        <v>3921256.0941458074</v>
      </c>
      <c r="K22">
        <f>Transport_Summary!J7</f>
        <v>3931623.9841889399</v>
      </c>
      <c r="L22">
        <f>Transport_Summary!K7</f>
        <v>4009212.0907480181</v>
      </c>
      <c r="M22">
        <f>Transport_Summary!L7</f>
        <v>3975850.9514257894</v>
      </c>
      <c r="N22">
        <f>Transport_Summary!M7</f>
        <v>3943643.4280371866</v>
      </c>
      <c r="O22">
        <f>Transport_Summary!N7</f>
        <v>3904543.1623219177</v>
      </c>
      <c r="P22">
        <f>Transport_Summary!O7</f>
        <v>3964794.9846715764</v>
      </c>
      <c r="Q22">
        <f>Transport_Summary!P7</f>
        <v>4020261.7494762829</v>
      </c>
      <c r="R22">
        <f>Transport_Summary!Q7</f>
        <v>4110545.0140439356</v>
      </c>
      <c r="S22">
        <f>Transport_Summary!R7</f>
        <v>4196601.7627940197</v>
      </c>
      <c r="T22">
        <f>Transport_Summary!S7</f>
        <v>4241357.8006787114</v>
      </c>
      <c r="U22">
        <f>Transport_Summary!T7</f>
        <v>4261043.2924775975</v>
      </c>
      <c r="V22">
        <f>Transport_Summary!U7</f>
        <v>4298322.1246594004</v>
      </c>
      <c r="W22">
        <f>Transport_Summary!V7</f>
        <v>3516899.2746836855</v>
      </c>
      <c r="X22">
        <f>Transport_Summary!W7</f>
        <v>3742236.2108397945</v>
      </c>
    </row>
    <row r="23" spans="1:24" x14ac:dyDescent="0.35">
      <c r="A23" t="s">
        <v>109</v>
      </c>
      <c r="B23" t="s">
        <v>114</v>
      </c>
      <c r="C23">
        <f>Transport_Summary!B8</f>
        <v>496482.34560773277</v>
      </c>
      <c r="D23">
        <f>Transport_Summary!C8</f>
        <v>495609.92962193594</v>
      </c>
      <c r="E23">
        <f>Transport_Summary!D8</f>
        <v>492831.79924435058</v>
      </c>
      <c r="F23">
        <f>Transport_Summary!E8</f>
        <v>495565.18499416119</v>
      </c>
      <c r="G23">
        <f>Transport_Summary!F8</f>
        <v>500165.37130745058</v>
      </c>
      <c r="H23">
        <f>Transport_Summary!G8</f>
        <v>497755.43070272659</v>
      </c>
      <c r="I23">
        <f>Transport_Summary!H8</f>
        <v>497841.2174737443</v>
      </c>
      <c r="J23">
        <f>Transport_Summary!I8</f>
        <v>507883.21228594572</v>
      </c>
      <c r="K23">
        <f>Transport_Summary!J8</f>
        <v>514132.96293375333</v>
      </c>
      <c r="L23">
        <f>Transport_Summary!K8</f>
        <v>489748.97799444327</v>
      </c>
      <c r="M23">
        <f>Transport_Summary!L8</f>
        <v>482187.30539438291</v>
      </c>
      <c r="N23">
        <f>Transport_Summary!M8</f>
        <v>485636.31790802866</v>
      </c>
      <c r="O23">
        <f>Transport_Summary!N8</f>
        <v>481089.94628181407</v>
      </c>
      <c r="P23">
        <f>Transport_Summary!O8</f>
        <v>479607.34783520486</v>
      </c>
      <c r="Q23">
        <f>Transport_Summary!P8</f>
        <v>475165.63679056946</v>
      </c>
      <c r="R23">
        <f>Transport_Summary!Q8</f>
        <v>490889.32691649272</v>
      </c>
      <c r="S23">
        <f>Transport_Summary!R8</f>
        <v>495296.20518255612</v>
      </c>
      <c r="T23">
        <f>Transport_Summary!S8</f>
        <v>477316.98917737685</v>
      </c>
      <c r="U23">
        <f>Transport_Summary!T8</f>
        <v>481003.26459190703</v>
      </c>
      <c r="V23">
        <f>Transport_Summary!U8</f>
        <v>484946.0502189633</v>
      </c>
      <c r="W23">
        <f>Transport_Summary!V8</f>
        <v>290536.01561368257</v>
      </c>
      <c r="X23">
        <f>Transport_Summary!W8</f>
        <v>327011.46241477772</v>
      </c>
    </row>
    <row r="24" spans="1:24" x14ac:dyDescent="0.35">
      <c r="A24" t="s">
        <v>110</v>
      </c>
      <c r="B24" t="s">
        <v>114</v>
      </c>
      <c r="C24">
        <f>Transport_Summary!B10</f>
        <v>67843.840564744096</v>
      </c>
      <c r="D24">
        <f>Transport_Summary!C10</f>
        <v>68539.656573900225</v>
      </c>
      <c r="E24">
        <f>Transport_Summary!D10</f>
        <v>69374.812774150167</v>
      </c>
      <c r="F24">
        <f>Transport_Summary!E10</f>
        <v>70183.361905556143</v>
      </c>
      <c r="G24">
        <f>Transport_Summary!F10</f>
        <v>72445.632887244108</v>
      </c>
      <c r="H24">
        <f>Transport_Summary!G10</f>
        <v>73154.697458878698</v>
      </c>
      <c r="I24">
        <f>Transport_Summary!H10</f>
        <v>74583.334218657837</v>
      </c>
      <c r="J24">
        <f>Transport_Summary!I10</f>
        <v>76350.815575898509</v>
      </c>
      <c r="K24">
        <f>Transport_Summary!J10</f>
        <v>79124.684832482046</v>
      </c>
      <c r="L24">
        <f>Transport_Summary!K10</f>
        <v>78491.058768954535</v>
      </c>
      <c r="M24">
        <f>Transport_Summary!L10</f>
        <v>80818.824573023419</v>
      </c>
      <c r="N24">
        <f>Transport_Summary!M10</f>
        <v>81212.75915489922</v>
      </c>
      <c r="O24">
        <f>Transport_Summary!N10</f>
        <v>82300.482448189461</v>
      </c>
      <c r="P24">
        <f>Transport_Summary!O10</f>
        <v>81874.19394914154</v>
      </c>
      <c r="Q24">
        <f>Transport_Summary!P10</f>
        <v>82028.681334256587</v>
      </c>
      <c r="R24">
        <f>Transport_Summary!Q10</f>
        <v>79939.70388606796</v>
      </c>
      <c r="S24">
        <f>Transport_Summary!R10</f>
        <v>82344.575219371458</v>
      </c>
      <c r="T24">
        <f>Transport_Summary!S10</f>
        <v>84124.391371363308</v>
      </c>
      <c r="U24">
        <f>Transport_Summary!T10</f>
        <v>86275.847035955259</v>
      </c>
      <c r="V24">
        <f>Transport_Summary!U10</f>
        <v>86131.8096350509</v>
      </c>
      <c r="W24">
        <f>Transport_Summary!V10</f>
        <v>51633.24688621876</v>
      </c>
      <c r="X24">
        <f>Transport_Summary!W10</f>
        <v>55543.667320154651</v>
      </c>
    </row>
    <row r="25" spans="1:24" x14ac:dyDescent="0.35">
      <c r="A25" t="s">
        <v>111</v>
      </c>
      <c r="B25" t="s">
        <v>114</v>
      </c>
      <c r="C25">
        <f>Transport_Summary!B11</f>
        <v>279790.78502490831</v>
      </c>
      <c r="D25">
        <f>Transport_Summary!C11</f>
        <v>274768.58030944155</v>
      </c>
      <c r="E25">
        <f>Transport_Summary!D11</f>
        <v>263902.80261380452</v>
      </c>
      <c r="F25">
        <f>Transport_Summary!E11</f>
        <v>256117.94756335358</v>
      </c>
      <c r="G25">
        <f>Transport_Summary!F11</f>
        <v>256276</v>
      </c>
      <c r="H25">
        <f>Transport_Summary!G11</f>
        <v>260160.99999999997</v>
      </c>
      <c r="I25">
        <f>Transport_Summary!H11</f>
        <v>265968</v>
      </c>
      <c r="J25">
        <f>Transport_Summary!I11</f>
        <v>265333.40746100002</v>
      </c>
      <c r="K25">
        <f>Transport_Summary!J11</f>
        <v>268919.54694299999</v>
      </c>
      <c r="L25">
        <f>Transport_Summary!K11</f>
        <v>255097.60376099998</v>
      </c>
      <c r="M25">
        <f>Transport_Summary!L11</f>
        <v>252199.85892402832</v>
      </c>
      <c r="N25">
        <f>Transport_Summary!M11</f>
        <v>259539.61330985857</v>
      </c>
      <c r="O25">
        <f>Transport_Summary!N11</f>
        <v>260950.77120198178</v>
      </c>
      <c r="P25">
        <f>Transport_Summary!O11</f>
        <v>263500.21886941406</v>
      </c>
      <c r="Q25">
        <f>Transport_Summary!P11</f>
        <v>268824.41951914661</v>
      </c>
      <c r="R25">
        <f>Transport_Summary!Q11</f>
        <v>271182.72936015407</v>
      </c>
      <c r="S25">
        <f>Transport_Summary!R11</f>
        <v>272009.8079018204</v>
      </c>
      <c r="T25">
        <f>Transport_Summary!S11</f>
        <v>276503.09581999999</v>
      </c>
      <c r="U25">
        <f>Transport_Summary!T11</f>
        <v>281054.27875400003</v>
      </c>
      <c r="V25">
        <f>Transport_Summary!U11</f>
        <v>288745.90493000002</v>
      </c>
      <c r="W25">
        <f>Transport_Summary!V11</f>
        <v>157860.8458726622</v>
      </c>
      <c r="X25">
        <f>Transport_Summary!W11</f>
        <v>180012.79495499231</v>
      </c>
    </row>
    <row r="26" spans="1:24" x14ac:dyDescent="0.35">
      <c r="A26" t="s">
        <v>138</v>
      </c>
      <c r="B26" t="s">
        <v>114</v>
      </c>
      <c r="C26">
        <f>Transport_Summary!B12</f>
        <v>58796</v>
      </c>
      <c r="D26">
        <f>Transport_Summary!C12</f>
        <v>65126</v>
      </c>
      <c r="E26">
        <f>Transport_Summary!D12</f>
        <v>68005</v>
      </c>
      <c r="F26">
        <f>Transport_Summary!E12</f>
        <v>70661</v>
      </c>
      <c r="G26">
        <f>Transport_Summary!F12</f>
        <v>75671</v>
      </c>
      <c r="H26">
        <f>Transport_Summary!G12</f>
        <v>79663</v>
      </c>
      <c r="I26">
        <f>Transport_Summary!H12</f>
        <v>83411</v>
      </c>
      <c r="J26">
        <f>Transport_Summary!I12</f>
        <v>87303</v>
      </c>
      <c r="K26">
        <f>Transport_Summary!J12</f>
        <v>96610</v>
      </c>
      <c r="L26">
        <f>Transport_Summary!K12</f>
        <v>103086</v>
      </c>
      <c r="M26">
        <f>Transport_Summary!L12</f>
        <v>104855.378343438</v>
      </c>
      <c r="N26">
        <f>Transport_Summary!M12</f>
        <v>103695.34</v>
      </c>
      <c r="O26">
        <f>Transport_Summary!N12</f>
        <v>105439.88</v>
      </c>
      <c r="P26">
        <f>Transport_Summary!O12</f>
        <v>107304.05</v>
      </c>
      <c r="Q26">
        <f>Transport_Summary!P12</f>
        <v>106379.7</v>
      </c>
      <c r="R26">
        <f>Transport_Summary!Q12</f>
        <v>109923.6</v>
      </c>
      <c r="S26">
        <f>Transport_Summary!R12</f>
        <v>114315.5</v>
      </c>
      <c r="T26">
        <f>Transport_Summary!S12</f>
        <v>124234.54</v>
      </c>
      <c r="U26">
        <f>Transport_Summary!T12</f>
        <v>126074.79</v>
      </c>
      <c r="V26">
        <f>Transport_Summary!U12</f>
        <v>132007.74</v>
      </c>
      <c r="W26">
        <f>Transport_Summary!V12</f>
        <v>69372.287669337777</v>
      </c>
      <c r="X26">
        <f>Transport_Summary!W12</f>
        <v>85223.347676007645</v>
      </c>
    </row>
    <row r="27" spans="1:24" x14ac:dyDescent="0.35">
      <c r="A27" t="s">
        <v>122</v>
      </c>
      <c r="B27" t="s">
        <v>114</v>
      </c>
      <c r="C27">
        <f>Transport_Summary!B23</f>
        <v>415.25356894718698</v>
      </c>
      <c r="D27">
        <f>Transport_Summary!C23</f>
        <v>449.1262276439117</v>
      </c>
      <c r="E27">
        <f>Transport_Summary!D23</f>
        <v>415.26836419307125</v>
      </c>
      <c r="F27">
        <f>Transport_Summary!E23</f>
        <v>378.82428268026786</v>
      </c>
      <c r="G27">
        <f>Transport_Summary!F23</f>
        <v>380.32000827410417</v>
      </c>
      <c r="H27">
        <f>Transport_Summary!G23</f>
        <v>360.57705964383183</v>
      </c>
      <c r="I27">
        <f>Transport_Summary!H23</f>
        <v>346.13194447818967</v>
      </c>
      <c r="J27">
        <f>Transport_Summary!I23</f>
        <v>331.94181890986505</v>
      </c>
      <c r="K27">
        <f>Transport_Summary!J23</f>
        <v>309.42791310132645</v>
      </c>
      <c r="L27">
        <f>Transport_Summary!K23</f>
        <v>278.91789452663943</v>
      </c>
      <c r="M27">
        <f>Transport_Summary!L23</f>
        <v>255.87337828657297</v>
      </c>
      <c r="N27">
        <f>Transport_Summary!M23</f>
        <v>254.51253353605449</v>
      </c>
      <c r="O27">
        <f>Transport_Summary!N23</f>
        <v>234.1304633693222</v>
      </c>
      <c r="P27">
        <f>Transport_Summary!O23</f>
        <v>222.93694548451836</v>
      </c>
      <c r="Q27">
        <f>Transport_Summary!P23</f>
        <v>250.57875135431195</v>
      </c>
      <c r="R27">
        <f>Transport_Summary!Q23</f>
        <v>245.71006561027897</v>
      </c>
      <c r="S27">
        <f>Transport_Summary!R23</f>
        <v>249.16581900703417</v>
      </c>
      <c r="T27">
        <f>Transport_Summary!S23</f>
        <v>249.38452671630412</v>
      </c>
      <c r="U27">
        <f>Transport_Summary!T23</f>
        <v>252.96236049529722</v>
      </c>
      <c r="V27">
        <f>Transport_Summary!U23</f>
        <v>262.67151572750964</v>
      </c>
      <c r="W27">
        <f>Transport_Summary!V23</f>
        <v>228.45080186810708</v>
      </c>
      <c r="X27">
        <f>Transport_Summary!W23</f>
        <v>272.01753324348954</v>
      </c>
    </row>
    <row r="28" spans="1:24" x14ac:dyDescent="0.35">
      <c r="A28" t="s">
        <v>124</v>
      </c>
      <c r="B28" t="s">
        <v>114</v>
      </c>
      <c r="C28">
        <f>Transport_Summary!B24</f>
        <v>1584.2301623788003</v>
      </c>
      <c r="D28">
        <f>Transport_Summary!C24</f>
        <v>1548.4561318122164</v>
      </c>
      <c r="E28">
        <f>Transport_Summary!D24</f>
        <v>1535.2549470385038</v>
      </c>
      <c r="F28">
        <f>Transport_Summary!E24</f>
        <v>1581.5275406198557</v>
      </c>
      <c r="G28">
        <f>Transport_Summary!F24</f>
        <v>1654.9073079083378</v>
      </c>
      <c r="H28">
        <f>Transport_Summary!G24</f>
        <v>1736.1596102198839</v>
      </c>
      <c r="I28">
        <f>Transport_Summary!H24</f>
        <v>1852.1548762277093</v>
      </c>
      <c r="J28">
        <f>Transport_Summary!I24</f>
        <v>1933.562251827381</v>
      </c>
      <c r="K28">
        <f>Transport_Summary!J24</f>
        <v>1903.6870929808006</v>
      </c>
      <c r="L28">
        <f>Transport_Summary!K24</f>
        <v>1776.8115156524784</v>
      </c>
      <c r="M28">
        <f>Transport_Summary!L24</f>
        <v>1853.6420323263114</v>
      </c>
      <c r="N28">
        <f>Transport_Summary!M24</f>
        <v>1860.1834212164858</v>
      </c>
      <c r="O28">
        <f>Transport_Summary!N24</f>
        <v>1878.9685740053615</v>
      </c>
      <c r="P28">
        <f>Transport_Summary!O24</f>
        <v>1875.0013508322518</v>
      </c>
      <c r="Q28">
        <f>Transport_Summary!P24</f>
        <v>2137.4599238597216</v>
      </c>
      <c r="R28">
        <f>Transport_Summary!Q24</f>
        <v>2168.8837952995168</v>
      </c>
      <c r="S28">
        <f>Transport_Summary!R24</f>
        <v>2191.4782196800415</v>
      </c>
      <c r="T28">
        <f>Transport_Summary!S24</f>
        <v>2227.8357503763091</v>
      </c>
      <c r="U28">
        <f>Transport_Summary!T24</f>
        <v>2276.3267130228228</v>
      </c>
      <c r="V28">
        <f>Transport_Summary!U24</f>
        <v>2374.5443351496892</v>
      </c>
      <c r="W28">
        <f>Transport_Summary!V24</f>
        <v>2153.2466091142114</v>
      </c>
      <c r="X28">
        <f>Transport_Summary!W24</f>
        <v>2490.2632392567934</v>
      </c>
    </row>
    <row r="29" spans="1:24" x14ac:dyDescent="0.35">
      <c r="A29" t="s">
        <v>125</v>
      </c>
      <c r="B29" t="s">
        <v>114</v>
      </c>
      <c r="C29">
        <f>Transport_Summary!B25</f>
        <v>23991.020633281507</v>
      </c>
      <c r="D29">
        <f>Transport_Summary!C25</f>
        <v>23152.904914197763</v>
      </c>
      <c r="E29">
        <f>Transport_Summary!D25</f>
        <v>23661.378106035947</v>
      </c>
      <c r="F29">
        <f>Transport_Summary!E25</f>
        <v>23815.632956915015</v>
      </c>
      <c r="G29">
        <f>Transport_Summary!F25</f>
        <v>25302.473198418538</v>
      </c>
      <c r="H29">
        <f>Transport_Summary!G25</f>
        <v>27064.853750075552</v>
      </c>
      <c r="I29">
        <f>Transport_Summary!H25</f>
        <v>29060.007092121839</v>
      </c>
      <c r="J29">
        <f>Transport_Summary!I25</f>
        <v>31412.41683202386</v>
      </c>
      <c r="K29">
        <f>Transport_Summary!J25</f>
        <v>32219.176236850202</v>
      </c>
      <c r="L29">
        <f>Transport_Summary!K25</f>
        <v>28580.284498915345</v>
      </c>
      <c r="M29">
        <f>Transport_Summary!L25</f>
        <v>34429.229741565192</v>
      </c>
      <c r="N29">
        <f>Transport_Summary!M25</f>
        <v>37375.561007095195</v>
      </c>
      <c r="O29">
        <f>Transport_Summary!N25</f>
        <v>35641.472266559191</v>
      </c>
      <c r="P29">
        <f>Transport_Summary!O25</f>
        <v>35415.244194811399</v>
      </c>
      <c r="Q29">
        <f>Transport_Summary!P25</f>
        <v>39514.894214843684</v>
      </c>
      <c r="R29">
        <f>Transport_Summary!Q25</f>
        <v>40969.107606390877</v>
      </c>
      <c r="S29">
        <f>Transport_Summary!R25</f>
        <v>41575.047856511352</v>
      </c>
      <c r="T29">
        <f>Transport_Summary!S25</f>
        <v>44799.97814804552</v>
      </c>
      <c r="U29">
        <f>Transport_Summary!T25</f>
        <v>46227.215419169625</v>
      </c>
      <c r="V29">
        <f>Transport_Summary!U25</f>
        <v>45157.104704644713</v>
      </c>
      <c r="W29">
        <f>Transport_Summary!V25</f>
        <v>42305.567992370619</v>
      </c>
      <c r="X29">
        <f>Transport_Summary!W25</f>
        <v>43763.183999466972</v>
      </c>
    </row>
    <row r="30" spans="1:24" x14ac:dyDescent="0.35">
      <c r="A30" t="s">
        <v>112</v>
      </c>
      <c r="B30" t="s">
        <v>115</v>
      </c>
      <c r="C30">
        <f>Transport_Summary!B19</f>
        <v>67104.703262425566</v>
      </c>
      <c r="D30">
        <f>Transport_Summary!C19</f>
        <v>70599.78065310065</v>
      </c>
      <c r="E30">
        <f>Transport_Summary!D19</f>
        <v>71782.892358628844</v>
      </c>
      <c r="F30">
        <f>Transport_Summary!E19</f>
        <v>74503.485281039699</v>
      </c>
      <c r="G30">
        <f>Transport_Summary!F19</f>
        <v>76766.808987321449</v>
      </c>
      <c r="H30">
        <f>Transport_Summary!G19</f>
        <v>78469.885293370666</v>
      </c>
      <c r="I30">
        <f>Transport_Summary!H19</f>
        <v>79352.372349876328</v>
      </c>
      <c r="J30">
        <f>Transport_Summary!I19</f>
        <v>83381.785458391169</v>
      </c>
      <c r="K30">
        <f>Transport_Summary!J19</f>
        <v>83087.02297828169</v>
      </c>
      <c r="L30">
        <f>Transport_Summary!K19</f>
        <v>82183.784600064959</v>
      </c>
      <c r="M30">
        <f>Transport_Summary!L19</f>
        <v>83856.305028275601</v>
      </c>
      <c r="N30">
        <f>Transport_Summary!M19</f>
        <v>84994.279007460558</v>
      </c>
      <c r="O30">
        <f>Transport_Summary!N19</f>
        <v>82181.742019867248</v>
      </c>
      <c r="P30">
        <f>Transport_Summary!O19</f>
        <v>82095.201825651427</v>
      </c>
      <c r="Q30">
        <f>Transport_Summary!P19</f>
        <v>84466.741241530297</v>
      </c>
      <c r="R30">
        <f>Transport_Summary!Q19</f>
        <v>85334.940455657939</v>
      </c>
      <c r="S30">
        <f>Transport_Summary!R19</f>
        <v>86377.673453126365</v>
      </c>
      <c r="T30">
        <f>Transport_Summary!S19</f>
        <v>89237.305009327858</v>
      </c>
      <c r="U30">
        <f>Transport_Summary!T19</f>
        <v>90922.062399519156</v>
      </c>
      <c r="V30">
        <f>Transport_Summary!U19</f>
        <v>93051.253882592733</v>
      </c>
      <c r="W30">
        <f>Transport_Summary!V19</f>
        <v>87281.470173344904</v>
      </c>
      <c r="X30">
        <f>Transport_Summary!W19</f>
        <v>96224.809828459576</v>
      </c>
    </row>
    <row r="31" spans="1:24" x14ac:dyDescent="0.35">
      <c r="A31" t="s">
        <v>113</v>
      </c>
      <c r="B31" t="s">
        <v>115</v>
      </c>
      <c r="C31">
        <f>Transport_Summary!B20</f>
        <v>1307595.5670135142</v>
      </c>
      <c r="D31">
        <f>Transport_Summary!C20</f>
        <v>1351666.6325400418</v>
      </c>
      <c r="E31">
        <f>Transport_Summary!D20</f>
        <v>1399280.5121613415</v>
      </c>
      <c r="F31">
        <f>Transport_Summary!E20</f>
        <v>1401310.5514471307</v>
      </c>
      <c r="G31">
        <f>Transport_Summary!F20</f>
        <v>1545325.8347390487</v>
      </c>
      <c r="H31">
        <f>Transport_Summary!G20</f>
        <v>1588632.5415685293</v>
      </c>
      <c r="I31">
        <f>Transport_Summary!H20</f>
        <v>1639241.0770877344</v>
      </c>
      <c r="J31">
        <f>Transport_Summary!I20</f>
        <v>1698163.7222408303</v>
      </c>
      <c r="K31">
        <f>Transport_Summary!J20</f>
        <v>1677002.1346472939</v>
      </c>
      <c r="L31">
        <f>Transport_Summary!K20</f>
        <v>1515849.7568493148</v>
      </c>
      <c r="M31">
        <f>Transport_Summary!L20</f>
        <v>1558712.8403168814</v>
      </c>
      <c r="N31">
        <f>Transport_Summary!M20</f>
        <v>1542024.4324815338</v>
      </c>
      <c r="O31">
        <f>Transport_Summary!N20</f>
        <v>1482052.1453989572</v>
      </c>
      <c r="P31">
        <f>Transport_Summary!O20</f>
        <v>1516727.6222790815</v>
      </c>
      <c r="Q31">
        <f>Transport_Summary!P20</f>
        <v>1527781.313294091</v>
      </c>
      <c r="R31">
        <f>Transport_Summary!Q20</f>
        <v>1562317.3587202737</v>
      </c>
      <c r="S31">
        <f>Transport_Summary!R20</f>
        <v>1620084.3436966741</v>
      </c>
      <c r="T31">
        <f>Transport_Summary!S20</f>
        <v>1707646.9871242896</v>
      </c>
      <c r="U31">
        <f>Transport_Summary!T20</f>
        <v>1707812.5097761312</v>
      </c>
      <c r="V31">
        <f>Transport_Summary!U20</f>
        <v>1765116.7010626465</v>
      </c>
      <c r="W31">
        <f>Transport_Summary!V20</f>
        <v>1745660.7010626465</v>
      </c>
      <c r="X31">
        <f>Transport_Summary!W20</f>
        <v>1862843.7010626465</v>
      </c>
    </row>
    <row r="32" spans="1:24" x14ac:dyDescent="0.35">
      <c r="A32" t="s">
        <v>73</v>
      </c>
      <c r="B32" t="s">
        <v>115</v>
      </c>
      <c r="C32">
        <f>Transport_Summary!B21</f>
        <v>387920.754642224</v>
      </c>
      <c r="D32">
        <f>Transport_Summary!C21</f>
        <v>369253.30225225695</v>
      </c>
      <c r="E32">
        <f>Transport_Summary!D21</f>
        <v>368161.19255303108</v>
      </c>
      <c r="F32">
        <f>Transport_Summary!E21</f>
        <v>376309.26875462406</v>
      </c>
      <c r="G32">
        <f>Transport_Summary!F21</f>
        <v>390035</v>
      </c>
      <c r="H32">
        <f>Transport_Summary!G21</f>
        <v>394596.99999999994</v>
      </c>
      <c r="I32">
        <f>Transport_Summary!H21</f>
        <v>416246</v>
      </c>
      <c r="J32">
        <f>Transport_Summary!I21</f>
        <v>430724.00000000006</v>
      </c>
      <c r="K32">
        <f>Transport_Summary!J21</f>
        <v>421685.99999999988</v>
      </c>
      <c r="L32">
        <f>Transport_Summary!K21</f>
        <v>344369.00000000006</v>
      </c>
      <c r="M32">
        <f>Transport_Summary!L21</f>
        <v>374955</v>
      </c>
      <c r="N32">
        <f>Transport_Summary!M21</f>
        <v>401122</v>
      </c>
      <c r="O32">
        <f>Transport_Summary!N21</f>
        <v>385189.00000000006</v>
      </c>
      <c r="P32">
        <f>Transport_Summary!O21</f>
        <v>384319</v>
      </c>
      <c r="Q32">
        <f>Transport_Summary!P21</f>
        <v>388931.99999999994</v>
      </c>
      <c r="R32">
        <f>Transport_Summary!Q21</f>
        <v>398517</v>
      </c>
      <c r="S32">
        <f>Transport_Summary!R21</f>
        <v>407458</v>
      </c>
      <c r="T32">
        <f>Transport_Summary!S21</f>
        <v>411278.00000000006</v>
      </c>
      <c r="U32">
        <f>Transport_Summary!T21</f>
        <v>418314</v>
      </c>
      <c r="V32">
        <f>Transport_Summary!U21</f>
        <v>407921.00000000006</v>
      </c>
      <c r="W32">
        <f>Transport_Summary!V21</f>
        <v>377307</v>
      </c>
      <c r="X32">
        <f>Transport_Summary!W21</f>
        <v>409571.98254603677</v>
      </c>
    </row>
    <row r="33" spans="1:24" x14ac:dyDescent="0.35">
      <c r="A33" t="s">
        <v>123</v>
      </c>
      <c r="B33" t="s">
        <v>115</v>
      </c>
      <c r="C33">
        <f>Transport_Summary!B23</f>
        <v>415.25356894718698</v>
      </c>
      <c r="D33">
        <f>Transport_Summary!C23</f>
        <v>449.1262276439117</v>
      </c>
      <c r="E33">
        <f>Transport_Summary!D23</f>
        <v>415.26836419307125</v>
      </c>
      <c r="F33">
        <f>Transport_Summary!E23</f>
        <v>378.82428268026786</v>
      </c>
      <c r="G33">
        <f>Transport_Summary!F23</f>
        <v>380.32000827410417</v>
      </c>
      <c r="H33">
        <f>Transport_Summary!G23</f>
        <v>360.57705964383183</v>
      </c>
      <c r="I33">
        <f>Transport_Summary!H23</f>
        <v>346.13194447818967</v>
      </c>
      <c r="J33">
        <f>Transport_Summary!I23</f>
        <v>331.94181890986505</v>
      </c>
      <c r="K33">
        <f>Transport_Summary!J23</f>
        <v>309.42791310132645</v>
      </c>
      <c r="L33">
        <f>Transport_Summary!K23</f>
        <v>278.91789452663943</v>
      </c>
      <c r="M33">
        <f>Transport_Summary!L23</f>
        <v>255.87337828657297</v>
      </c>
      <c r="N33">
        <f>Transport_Summary!M23</f>
        <v>254.51253353605449</v>
      </c>
      <c r="O33">
        <f>Transport_Summary!N23</f>
        <v>234.1304633693222</v>
      </c>
      <c r="P33">
        <f>Transport_Summary!O23</f>
        <v>222.93694548451836</v>
      </c>
      <c r="Q33">
        <f>Transport_Summary!P23</f>
        <v>250.57875135431195</v>
      </c>
      <c r="R33">
        <f>Transport_Summary!Q23</f>
        <v>245.71006561027897</v>
      </c>
      <c r="S33">
        <f>Transport_Summary!R23</f>
        <v>249.16581900703417</v>
      </c>
      <c r="T33">
        <f>Transport_Summary!S23</f>
        <v>249.38452671630412</v>
      </c>
      <c r="U33">
        <f>Transport_Summary!T23</f>
        <v>252.96236049529722</v>
      </c>
      <c r="V33">
        <f>Transport_Summary!U23</f>
        <v>262.67151572750964</v>
      </c>
      <c r="W33">
        <f>Transport_Summary!V23</f>
        <v>228.45080186810708</v>
      </c>
      <c r="X33">
        <f>Transport_Summary!W23</f>
        <v>272.01753324348954</v>
      </c>
    </row>
    <row r="34" spans="1:24" x14ac:dyDescent="0.35">
      <c r="A34" t="s">
        <v>126</v>
      </c>
      <c r="B34" t="s">
        <v>115</v>
      </c>
      <c r="C34">
        <f>Transport_Summary!B24</f>
        <v>1584.2301623788003</v>
      </c>
      <c r="D34">
        <f>Transport_Summary!C24</f>
        <v>1548.4561318122164</v>
      </c>
      <c r="E34">
        <f>Transport_Summary!D24</f>
        <v>1535.2549470385038</v>
      </c>
      <c r="F34">
        <f>Transport_Summary!E24</f>
        <v>1581.5275406198557</v>
      </c>
      <c r="G34">
        <f>Transport_Summary!F24</f>
        <v>1654.9073079083378</v>
      </c>
      <c r="H34">
        <f>Transport_Summary!G24</f>
        <v>1736.1596102198839</v>
      </c>
      <c r="I34">
        <f>Transport_Summary!H24</f>
        <v>1852.1548762277093</v>
      </c>
      <c r="J34">
        <f>Transport_Summary!I24</f>
        <v>1933.562251827381</v>
      </c>
      <c r="K34">
        <f>Transport_Summary!J24</f>
        <v>1903.6870929808006</v>
      </c>
      <c r="L34">
        <f>Transport_Summary!K24</f>
        <v>1776.8115156524784</v>
      </c>
      <c r="M34">
        <f>Transport_Summary!L24</f>
        <v>1853.6420323263114</v>
      </c>
      <c r="N34">
        <f>Transport_Summary!M24</f>
        <v>1860.1834212164858</v>
      </c>
      <c r="O34">
        <f>Transport_Summary!N24</f>
        <v>1878.9685740053615</v>
      </c>
      <c r="P34">
        <f>Transport_Summary!O24</f>
        <v>1875.0013508322518</v>
      </c>
      <c r="Q34">
        <f>Transport_Summary!P24</f>
        <v>2137.4599238597216</v>
      </c>
      <c r="R34">
        <f>Transport_Summary!Q24</f>
        <v>2168.8837952995168</v>
      </c>
      <c r="S34">
        <f>Transport_Summary!R24</f>
        <v>2191.4782196800415</v>
      </c>
      <c r="T34">
        <f>Transport_Summary!S24</f>
        <v>2227.8357503763091</v>
      </c>
      <c r="U34">
        <f>Transport_Summary!T24</f>
        <v>2276.3267130228228</v>
      </c>
      <c r="V34">
        <f>Transport_Summary!U24</f>
        <v>2374.5443351496892</v>
      </c>
      <c r="W34">
        <f>Transport_Summary!V24</f>
        <v>2153.2466091142114</v>
      </c>
      <c r="X34">
        <f>Transport_Summary!W24</f>
        <v>2490.2632392567934</v>
      </c>
    </row>
    <row r="35" spans="1:24" x14ac:dyDescent="0.35">
      <c r="A35" t="s">
        <v>127</v>
      </c>
      <c r="B35" t="s">
        <v>115</v>
      </c>
      <c r="C35">
        <f>Transport_Summary!B25</f>
        <v>23991.020633281507</v>
      </c>
      <c r="D35">
        <f>Transport_Summary!C25</f>
        <v>23152.904914197763</v>
      </c>
      <c r="E35">
        <f>Transport_Summary!D25</f>
        <v>23661.378106035947</v>
      </c>
      <c r="F35">
        <f>Transport_Summary!E25</f>
        <v>23815.632956915015</v>
      </c>
      <c r="G35">
        <f>Transport_Summary!F25</f>
        <v>25302.473198418538</v>
      </c>
      <c r="H35">
        <f>Transport_Summary!G25</f>
        <v>27064.853750075552</v>
      </c>
      <c r="I35">
        <f>Transport_Summary!H25</f>
        <v>29060.007092121839</v>
      </c>
      <c r="J35">
        <f>Transport_Summary!I25</f>
        <v>31412.41683202386</v>
      </c>
      <c r="K35">
        <f>Transport_Summary!J25</f>
        <v>32219.176236850202</v>
      </c>
      <c r="L35">
        <f>Transport_Summary!K25</f>
        <v>28580.284498915345</v>
      </c>
      <c r="M35">
        <f>Transport_Summary!L25</f>
        <v>34429.229741565192</v>
      </c>
      <c r="N35">
        <f>Transport_Summary!M25</f>
        <v>37375.561007095195</v>
      </c>
      <c r="O35">
        <f>Transport_Summary!N25</f>
        <v>35641.472266559191</v>
      </c>
      <c r="P35">
        <f>Transport_Summary!O25</f>
        <v>35415.244194811399</v>
      </c>
      <c r="Q35">
        <f>Transport_Summary!P25</f>
        <v>39514.894214843684</v>
      </c>
      <c r="R35">
        <f>Transport_Summary!Q25</f>
        <v>40969.107606390877</v>
      </c>
      <c r="S35">
        <f>Transport_Summary!R25</f>
        <v>41575.047856511352</v>
      </c>
      <c r="T35">
        <f>Transport_Summary!S25</f>
        <v>44799.97814804552</v>
      </c>
      <c r="U35">
        <f>Transport_Summary!T25</f>
        <v>46227.215419169625</v>
      </c>
      <c r="V35">
        <f>Transport_Summary!U25</f>
        <v>45157.104704644713</v>
      </c>
      <c r="W35">
        <f>Transport_Summary!V25</f>
        <v>42305.567992370619</v>
      </c>
      <c r="X35">
        <f>Transport_Summary!W25</f>
        <v>43763.183999466972</v>
      </c>
    </row>
    <row r="36" spans="1:24" x14ac:dyDescent="0.35">
      <c r="A36" t="s">
        <v>117</v>
      </c>
      <c r="B36" t="s">
        <v>115</v>
      </c>
      <c r="C36">
        <f>Transport_Summary!B27</f>
        <v>76596.15400000001</v>
      </c>
      <c r="D36">
        <f>Transport_Summary!C27</f>
        <v>64020.692000000003</v>
      </c>
      <c r="E36">
        <f>Transport_Summary!D27</f>
        <v>66795.686000000002</v>
      </c>
      <c r="F36">
        <f>Transport_Summary!E27</f>
        <v>67745.404999999999</v>
      </c>
      <c r="G36">
        <f>Transport_Summary!F27</f>
        <v>68197.284000000014</v>
      </c>
      <c r="H36">
        <f>Transport_Summary!G27</f>
        <v>73544.827999999994</v>
      </c>
      <c r="I36">
        <f>Transport_Summary!H27</f>
        <v>83935.32</v>
      </c>
      <c r="J36">
        <f>Transport_Summary!I27</f>
        <v>78202.846000000034</v>
      </c>
      <c r="K36">
        <f>Transport_Summary!J27</f>
        <v>79039.016999999993</v>
      </c>
      <c r="L36">
        <f>Transport_Summary!K27</f>
        <v>74074.441000000006</v>
      </c>
      <c r="M36">
        <f>Transport_Summary!L27</f>
        <v>76846.177999999971</v>
      </c>
      <c r="N36">
        <f>Transport_Summary!M27</f>
        <v>79703.701000000001</v>
      </c>
      <c r="O36">
        <f>Transport_Summary!N27</f>
        <v>73036.384999999995</v>
      </c>
      <c r="P36">
        <f>Transport_Summary!O27</f>
        <v>65542.02900000001</v>
      </c>
      <c r="Q36">
        <f>Transport_Summary!P27</f>
        <v>73084.285000000018</v>
      </c>
      <c r="R36">
        <f>Transport_Summary!Q27</f>
        <v>74391.38900000001</v>
      </c>
      <c r="S36">
        <f>Transport_Summary!R27</f>
        <v>76206.787999999986</v>
      </c>
      <c r="T36">
        <f>Transport_Summary!S27</f>
        <v>77857.45</v>
      </c>
      <c r="U36">
        <f>Transport_Summary!T27</f>
        <v>80222.216000000015</v>
      </c>
      <c r="V36">
        <f>Transport_Summary!U27</f>
        <v>80740.039000000004</v>
      </c>
      <c r="W36">
        <f>Transport_Summary!V27</f>
        <v>77040.050000000017</v>
      </c>
      <c r="X36">
        <f>Transport_Summary!W27</f>
        <v>76906.86500000002</v>
      </c>
    </row>
    <row r="37" spans="1:24" x14ac:dyDescent="0.35">
      <c r="A37" t="s">
        <v>139</v>
      </c>
      <c r="B37" t="s">
        <v>115</v>
      </c>
      <c r="C37">
        <f>Transport_Summary!B28</f>
        <v>133714.88559999998</v>
      </c>
      <c r="D37">
        <f>Transport_Summary!C28</f>
        <v>132416.24360000002</v>
      </c>
      <c r="E37">
        <f>Transport_Summary!D28</f>
        <v>132414.02299999999</v>
      </c>
      <c r="F37">
        <f>Transport_Summary!E28</f>
        <v>123435.08520000002</v>
      </c>
      <c r="G37">
        <f>Transport_Summary!F28</f>
        <v>136763.15100000001</v>
      </c>
      <c r="H37">
        <f>Transport_Summary!G28</f>
        <v>138610.97440000001</v>
      </c>
      <c r="I37">
        <f>Transport_Summary!H28</f>
        <v>138416.96909999999</v>
      </c>
      <c r="J37">
        <f>Transport_Summary!I28</f>
        <v>145402</v>
      </c>
      <c r="K37">
        <f>Transport_Summary!J28</f>
        <v>146903</v>
      </c>
      <c r="L37">
        <f>Transport_Summary!K28</f>
        <v>132606</v>
      </c>
      <c r="M37">
        <f>Transport_Summary!L28</f>
        <v>155365</v>
      </c>
      <c r="N37">
        <f>Transport_Summary!M28</f>
        <v>141825</v>
      </c>
      <c r="O37">
        <f>Transport_Summary!N28</f>
        <v>149822</v>
      </c>
      <c r="P37">
        <f>Transport_Summary!O28</f>
        <v>152584</v>
      </c>
      <c r="Q37">
        <f>Transport_Summary!P28</f>
        <v>150707</v>
      </c>
      <c r="R37">
        <f>Transport_Summary!Q28</f>
        <v>147351</v>
      </c>
      <c r="S37">
        <f>Transport_Summary!R28</f>
        <v>146609</v>
      </c>
      <c r="T37">
        <f>Transport_Summary!S28</f>
        <v>147223.33333333331</v>
      </c>
      <c r="U37">
        <f>Transport_Summary!T28</f>
        <v>131302.77777777778</v>
      </c>
      <c r="V37">
        <f>Transport_Summary!U28</f>
        <v>139697</v>
      </c>
      <c r="W37">
        <f>Transport_Summary!V28</f>
        <v>131741.01</v>
      </c>
      <c r="X37">
        <f>Transport_Summary!W28</f>
        <v>136076</v>
      </c>
    </row>
    <row r="38" spans="1:24" x14ac:dyDescent="0.35">
      <c r="A38" t="s">
        <v>140</v>
      </c>
      <c r="B38" t="s">
        <v>115</v>
      </c>
      <c r="C38">
        <f>Transport_Summary!B30</f>
        <v>753767.24071499996</v>
      </c>
      <c r="D38">
        <f>Transport_Summary!C30</f>
        <v>780873.54106299998</v>
      </c>
      <c r="E38">
        <f>Transport_Summary!D30</f>
        <v>793361.74395400006</v>
      </c>
      <c r="F38">
        <f>Transport_Summary!E30</f>
        <v>807199.90117699991</v>
      </c>
      <c r="G38">
        <f>Transport_Summary!F30</f>
        <v>831866.44911899988</v>
      </c>
      <c r="H38">
        <f>Transport_Summary!G30</f>
        <v>834011.02166099998</v>
      </c>
      <c r="I38">
        <f>Transport_Summary!H30</f>
        <v>820751.74994500016</v>
      </c>
      <c r="J38">
        <f>Transport_Summary!I30</f>
        <v>821736.85036699986</v>
      </c>
      <c r="K38">
        <f>Transport_Summary!J30</f>
        <v>823455.9682560002</v>
      </c>
      <c r="L38">
        <f>Transport_Summary!K30</f>
        <v>749736.74779499997</v>
      </c>
      <c r="M38">
        <f>Transport_Summary!L30</f>
        <v>810990.88261199987</v>
      </c>
      <c r="N38">
        <f>Transport_Summary!M30</f>
        <v>819202.74876200012</v>
      </c>
      <c r="O38">
        <f>Transport_Summary!N30</f>
        <v>813110.6150639999</v>
      </c>
      <c r="P38">
        <f>Transport_Summary!O30</f>
        <v>831474.02015</v>
      </c>
      <c r="Q38">
        <f>Transport_Summary!P30</f>
        <v>858027.52009200002</v>
      </c>
      <c r="R38">
        <f>Transport_Summary!Q30</f>
        <v>847483.61328800011</v>
      </c>
      <c r="S38">
        <f>Transport_Summary!R30</f>
        <v>885484.94313100004</v>
      </c>
      <c r="T38">
        <f>Transport_Summary!S30</f>
        <v>892626.678526</v>
      </c>
      <c r="U38">
        <f>Transport_Summary!T30</f>
        <v>949847.57712200028</v>
      </c>
      <c r="V38">
        <f>Transport_Summary!U30</f>
        <v>955169.91404700011</v>
      </c>
      <c r="W38">
        <f>Transport_Summary!V30</f>
        <v>893950.70762199978</v>
      </c>
      <c r="X38">
        <f>Transport_Summary!W30</f>
        <v>910620.84579399996</v>
      </c>
    </row>
    <row r="39" spans="1:24" x14ac:dyDescent="0.35">
      <c r="A39" t="s">
        <v>141</v>
      </c>
      <c r="B39" t="s">
        <v>115</v>
      </c>
      <c r="C39">
        <f>Transport_Summary!B31</f>
        <v>4573090.2058290001</v>
      </c>
      <c r="D39">
        <f>Transport_Summary!C31</f>
        <v>4819707.3522489993</v>
      </c>
      <c r="E39">
        <f>Transport_Summary!D31</f>
        <v>4967035.0078689996</v>
      </c>
      <c r="F39">
        <f>Transport_Summary!E31</f>
        <v>5164281.6414679997</v>
      </c>
      <c r="G39">
        <f>Transport_Summary!F31</f>
        <v>5478738.6065090001</v>
      </c>
      <c r="H39">
        <f>Transport_Summary!G31</f>
        <v>5953900.1237660004</v>
      </c>
      <c r="I39">
        <f>Transport_Summary!H31</f>
        <v>6298476.3433570005</v>
      </c>
      <c r="J39">
        <f>Transport_Summary!I31</f>
        <v>6547982.0748070003</v>
      </c>
      <c r="K39">
        <f>Transport_Summary!J31</f>
        <v>6779824.9121089997</v>
      </c>
      <c r="L39">
        <f>Transport_Summary!K31</f>
        <v>5698774.1615930004</v>
      </c>
      <c r="M39">
        <f>Transport_Summary!L31</f>
        <v>6132005.2139380006</v>
      </c>
      <c r="N39">
        <f>Transport_Summary!M31</f>
        <v>6664256.6799120009</v>
      </c>
      <c r="O39">
        <f>Transport_Summary!N31</f>
        <v>6655520.0527049983</v>
      </c>
      <c r="P39">
        <f>Transport_Summary!O31</f>
        <v>6463814.9535870003</v>
      </c>
      <c r="Q39">
        <f>Transport_Summary!P31</f>
        <v>6777645.6898129992</v>
      </c>
      <c r="R39">
        <f>Transport_Summary!Q31</f>
        <v>6860751.9061540021</v>
      </c>
      <c r="S39">
        <f>Transport_Summary!R31</f>
        <v>6838701.4294969998</v>
      </c>
      <c r="T39">
        <f>Transport_Summary!S31</f>
        <v>7093921.0302830022</v>
      </c>
      <c r="U39">
        <f>Transport_Summary!T31</f>
        <v>7263902.3548599994</v>
      </c>
      <c r="V39">
        <f>Transport_Summary!U31</f>
        <v>7467308.4549629986</v>
      </c>
      <c r="W39">
        <f>Transport_Summary!V31</f>
        <v>6847553.0221190006</v>
      </c>
      <c r="X39">
        <f>Transport_Summary!W31</f>
        <v>7225198.3423020002</v>
      </c>
    </row>
    <row r="40" spans="1:24" x14ac:dyDescent="0.35">
      <c r="A40" t="str" cm="1">
        <f t="array" ref="A40:A56">Ind_Summary!A183:A199</f>
        <v>Physical output (kt steel)</v>
      </c>
      <c r="B40" t="s">
        <v>142</v>
      </c>
      <c r="C40" cm="1">
        <f t="array" ref="C40:X56">Ind_Summary!B183:W199</f>
        <v>178302.95899999997</v>
      </c>
      <c r="D40">
        <v>173967.12300000002</v>
      </c>
      <c r="E40">
        <v>176612.33000000002</v>
      </c>
      <c r="F40">
        <v>179594.136</v>
      </c>
      <c r="G40">
        <v>189153.777</v>
      </c>
      <c r="H40">
        <v>182842.14299999998</v>
      </c>
      <c r="I40">
        <v>193920.21236</v>
      </c>
      <c r="J40">
        <v>196436.22524494567</v>
      </c>
      <c r="K40">
        <v>185657.50396322913</v>
      </c>
      <c r="L40">
        <v>129607.84823597805</v>
      </c>
      <c r="M40">
        <v>163517.16265126329</v>
      </c>
      <c r="N40">
        <v>168684.94458119618</v>
      </c>
      <c r="O40">
        <v>159423.27466179745</v>
      </c>
      <c r="P40">
        <v>154916.41559039656</v>
      </c>
      <c r="Q40">
        <v>157583.15292352985</v>
      </c>
      <c r="R40">
        <v>155891.05915516257</v>
      </c>
      <c r="S40">
        <v>155050.79428769561</v>
      </c>
      <c r="T40">
        <v>161445.48045486247</v>
      </c>
      <c r="U40">
        <v>160522.41042022867</v>
      </c>
      <c r="V40">
        <v>150695.08442022867</v>
      </c>
      <c r="W40">
        <v>132660.63842022867</v>
      </c>
      <c r="X40">
        <v>153098.70242022868</v>
      </c>
    </row>
    <row r="41" spans="1:24" x14ac:dyDescent="0.35">
      <c r="A41" t="str">
        <v>Integrated steelworks (kt steel)</v>
      </c>
      <c r="B41" t="s">
        <v>142</v>
      </c>
      <c r="C41">
        <v>109563.16899999999</v>
      </c>
      <c r="D41">
        <v>104778.12300000001</v>
      </c>
      <c r="E41">
        <v>107717.68799999999</v>
      </c>
      <c r="F41">
        <v>109169.515</v>
      </c>
      <c r="G41">
        <v>113743.823</v>
      </c>
      <c r="H41">
        <v>109280.692</v>
      </c>
      <c r="I41">
        <v>112074.67236</v>
      </c>
      <c r="J41">
        <v>113574.95083</v>
      </c>
      <c r="K41">
        <v>104851.186904</v>
      </c>
      <c r="L41">
        <v>69558.092999999993</v>
      </c>
      <c r="M41">
        <v>93793.496593999997</v>
      </c>
      <c r="N41">
        <v>95020.019792000006</v>
      </c>
      <c r="O41">
        <v>90577.381626000002</v>
      </c>
      <c r="P41">
        <v>90148.532999999996</v>
      </c>
      <c r="Q41">
        <v>93096.957000000009</v>
      </c>
      <c r="R41">
        <v>91817.957999999999</v>
      </c>
      <c r="S41">
        <v>91908.816999999995</v>
      </c>
      <c r="T41">
        <v>94428.224000000002</v>
      </c>
      <c r="U41">
        <v>92136.396000000008</v>
      </c>
      <c r="V41">
        <v>86768.317999999999</v>
      </c>
      <c r="W41">
        <v>74498.881999999998</v>
      </c>
      <c r="X41">
        <v>85511.426999999996</v>
      </c>
    </row>
    <row r="42" spans="1:24" x14ac:dyDescent="0.35">
      <c r="A42" t="str">
        <v>Electric arc (kt steel)</v>
      </c>
      <c r="B42" t="s">
        <v>142</v>
      </c>
      <c r="C42">
        <v>68739.789999999994</v>
      </c>
      <c r="D42">
        <v>69189</v>
      </c>
      <c r="E42">
        <v>68894.642000000007</v>
      </c>
      <c r="F42">
        <v>70424.620999999999</v>
      </c>
      <c r="G42">
        <v>75409.953999999998</v>
      </c>
      <c r="H42">
        <v>73561.451000000001</v>
      </c>
      <c r="I42">
        <v>81845.540000000008</v>
      </c>
      <c r="J42">
        <v>82861.27441494567</v>
      </c>
      <c r="K42">
        <v>80806.317059229128</v>
      </c>
      <c r="L42">
        <v>60049.755235978053</v>
      </c>
      <c r="M42">
        <v>69723.666057263312</v>
      </c>
      <c r="N42">
        <v>73664.924789196157</v>
      </c>
      <c r="O42">
        <v>68845.893035797431</v>
      </c>
      <c r="P42">
        <v>64767.882590396577</v>
      </c>
      <c r="Q42">
        <v>64486.195923529842</v>
      </c>
      <c r="R42">
        <v>64073.101155162571</v>
      </c>
      <c r="S42">
        <v>63141.977287695619</v>
      </c>
      <c r="T42">
        <v>67017.256454862465</v>
      </c>
      <c r="U42">
        <v>68386.014420228661</v>
      </c>
      <c r="V42">
        <v>63926.766420228669</v>
      </c>
      <c r="W42">
        <v>58161.756420228667</v>
      </c>
      <c r="X42">
        <v>67587.275420228674</v>
      </c>
    </row>
    <row r="43" spans="1:24" x14ac:dyDescent="0.35">
      <c r="A43" t="str">
        <v>Alumina production (kt alumina)</v>
      </c>
      <c r="B43" t="s">
        <v>143</v>
      </c>
      <c r="C43">
        <v>5643</v>
      </c>
      <c r="D43">
        <v>4863</v>
      </c>
      <c r="E43">
        <v>5735</v>
      </c>
      <c r="F43">
        <v>6057</v>
      </c>
      <c r="G43">
        <v>6698</v>
      </c>
      <c r="H43">
        <v>7492</v>
      </c>
      <c r="I43">
        <v>7585</v>
      </c>
      <c r="J43">
        <v>7134</v>
      </c>
      <c r="K43">
        <v>7284.875</v>
      </c>
      <c r="L43">
        <v>5220.72</v>
      </c>
      <c r="M43">
        <v>6623.7</v>
      </c>
      <c r="N43">
        <v>7668.9539999999997</v>
      </c>
      <c r="O43">
        <v>6956.88</v>
      </c>
      <c r="P43">
        <v>7351.5119999999997</v>
      </c>
      <c r="Q43">
        <v>6959.04</v>
      </c>
      <c r="R43">
        <v>7157.5190000000002</v>
      </c>
      <c r="S43">
        <v>7180.46</v>
      </c>
      <c r="T43">
        <v>7166.4</v>
      </c>
      <c r="U43">
        <v>7178</v>
      </c>
      <c r="V43">
        <v>7086.4</v>
      </c>
      <c r="W43">
        <v>7001</v>
      </c>
      <c r="X43">
        <v>7029.2731611597183</v>
      </c>
    </row>
    <row r="44" spans="1:24" x14ac:dyDescent="0.35">
      <c r="A44" t="str">
        <v>Aluminium production (kt aluminium)</v>
      </c>
      <c r="B44" t="s">
        <v>144</v>
      </c>
      <c r="C44">
        <v>5006.8525999784542</v>
      </c>
      <c r="D44">
        <v>4957.3678661763488</v>
      </c>
      <c r="E44">
        <v>5076.4279999999999</v>
      </c>
      <c r="F44">
        <v>5054.2890000000007</v>
      </c>
      <c r="G44">
        <v>5248.0839999999998</v>
      </c>
      <c r="H44">
        <v>5759.4395000000004</v>
      </c>
      <c r="I44">
        <v>5946.1329999999998</v>
      </c>
      <c r="J44">
        <v>6178.4</v>
      </c>
      <c r="K44">
        <v>6026.4639999999999</v>
      </c>
      <c r="L44">
        <v>4217.3835686595903</v>
      </c>
      <c r="M44">
        <v>5169.2733716051407</v>
      </c>
      <c r="N44">
        <v>5216.0688035244184</v>
      </c>
      <c r="O44">
        <v>4854.5879783310129</v>
      </c>
      <c r="P44">
        <v>4761.6249801772847</v>
      </c>
      <c r="Q44">
        <v>4367.5255482675075</v>
      </c>
      <c r="R44">
        <v>4545.3399881698979</v>
      </c>
      <c r="S44">
        <v>4747.8420000713541</v>
      </c>
      <c r="T44">
        <v>5124.826352485803</v>
      </c>
      <c r="U44">
        <v>5095.1823480161274</v>
      </c>
      <c r="V44">
        <v>4939.161437364869</v>
      </c>
      <c r="W44">
        <v>4510.5090286063842</v>
      </c>
      <c r="X44">
        <v>4633.4299704808964</v>
      </c>
    </row>
    <row r="45" spans="1:24" x14ac:dyDescent="0.35">
      <c r="A45" t="str">
        <v>Aluminium - primary production (kt aluminium)</v>
      </c>
      <c r="B45" t="s">
        <v>144</v>
      </c>
      <c r="C45">
        <v>2662.266000000001</v>
      </c>
      <c r="D45">
        <v>2684.6889999999999</v>
      </c>
      <c r="E45">
        <v>2707.1480000000001</v>
      </c>
      <c r="F45">
        <v>2754.34</v>
      </c>
      <c r="G45">
        <v>2890.7919999999999</v>
      </c>
      <c r="H45">
        <v>2898.951</v>
      </c>
      <c r="I45">
        <v>2676.3580000000002</v>
      </c>
      <c r="J45">
        <v>2739.0830000000001</v>
      </c>
      <c r="K45">
        <v>2732.8330000000001</v>
      </c>
      <c r="L45">
        <v>1918.566</v>
      </c>
      <c r="M45">
        <v>2150.6529999999998</v>
      </c>
      <c r="N45">
        <v>2355.462</v>
      </c>
      <c r="O45">
        <v>1971.962</v>
      </c>
      <c r="P45">
        <v>1876</v>
      </c>
      <c r="Q45">
        <v>1802.567</v>
      </c>
      <c r="R45">
        <v>1926.028</v>
      </c>
      <c r="S45">
        <v>1967.9</v>
      </c>
      <c r="T45">
        <v>2203.8000000000002</v>
      </c>
      <c r="U45">
        <v>2160</v>
      </c>
      <c r="V45">
        <v>2035.894</v>
      </c>
      <c r="W45">
        <v>2006.4749999999999</v>
      </c>
      <c r="X45">
        <v>2016.6949999999999</v>
      </c>
    </row>
    <row r="46" spans="1:24" x14ac:dyDescent="0.35">
      <c r="A46" t="str">
        <v>Aluminium - secondary production (kt aluminium)</v>
      </c>
      <c r="B46" t="s">
        <v>144</v>
      </c>
      <c r="C46">
        <v>2344.5865999784528</v>
      </c>
      <c r="D46">
        <v>2272.6788661763489</v>
      </c>
      <c r="E46">
        <v>2369.2800000000002</v>
      </c>
      <c r="F46">
        <v>2299.9490000000001</v>
      </c>
      <c r="G46">
        <v>2357.2919999999999</v>
      </c>
      <c r="H46">
        <v>2860.4884999999999</v>
      </c>
      <c r="I46">
        <v>3269.7750000000001</v>
      </c>
      <c r="J46">
        <v>3439.317</v>
      </c>
      <c r="K46">
        <v>3293.6309999999999</v>
      </c>
      <c r="L46">
        <v>2298.8175686595901</v>
      </c>
      <c r="M46">
        <v>3018.6203716051409</v>
      </c>
      <c r="N46">
        <v>2860.606803524418</v>
      </c>
      <c r="O46">
        <v>2882.6259783310129</v>
      </c>
      <c r="P46">
        <v>2885.6249801772851</v>
      </c>
      <c r="Q46">
        <v>2564.958548267507</v>
      </c>
      <c r="R46">
        <v>2619.3119881698981</v>
      </c>
      <c r="S46">
        <v>2779.942000071354</v>
      </c>
      <c r="T46">
        <v>2921.0263524858028</v>
      </c>
      <c r="U46">
        <v>2935.1823480161279</v>
      </c>
      <c r="V46">
        <v>2903.2674373648688</v>
      </c>
      <c r="W46">
        <v>2504.0340286063838</v>
      </c>
      <c r="X46">
        <v>2616.7349704808962</v>
      </c>
    </row>
    <row r="47" spans="1:24" x14ac:dyDescent="0.35">
      <c r="A47" t="str">
        <v>Other non-ferrous metals (kt lead eq.)</v>
      </c>
      <c r="B47" t="s">
        <v>145</v>
      </c>
      <c r="C47">
        <v>13337.551616666669</v>
      </c>
      <c r="D47">
        <v>13883.746300000001</v>
      </c>
      <c r="E47">
        <v>13696.844616666671</v>
      </c>
      <c r="F47">
        <v>13088.355600000001</v>
      </c>
      <c r="G47">
        <v>13296.606866666671</v>
      </c>
      <c r="H47">
        <v>13202.318950000001</v>
      </c>
      <c r="I47">
        <v>12922.435533333341</v>
      </c>
      <c r="J47">
        <v>13011.281116666671</v>
      </c>
      <c r="K47">
        <v>12667.240641666671</v>
      </c>
      <c r="L47">
        <v>11527.25023333333</v>
      </c>
      <c r="M47">
        <v>12595.54315</v>
      </c>
      <c r="N47">
        <v>13182.232216666671</v>
      </c>
      <c r="O47">
        <v>12806.596133333331</v>
      </c>
      <c r="P47">
        <v>12911.44319</v>
      </c>
      <c r="Q47">
        <v>13238.351070000001</v>
      </c>
      <c r="R47">
        <v>13864.914117621851</v>
      </c>
      <c r="S47">
        <v>13971.67704026309</v>
      </c>
      <c r="T47">
        <v>14014.883184995049</v>
      </c>
      <c r="U47">
        <v>13807.778155123309</v>
      </c>
      <c r="V47">
        <v>13722.58896735075</v>
      </c>
      <c r="W47">
        <v>13508.46087600122</v>
      </c>
      <c r="X47">
        <v>14545.401992955671</v>
      </c>
    </row>
    <row r="48" spans="1:24" x14ac:dyDescent="0.35">
      <c r="A48" t="str">
        <v>Basic chemicals (kt ethylene eq.)</v>
      </c>
      <c r="B48" t="s">
        <v>146</v>
      </c>
      <c r="C48">
        <v>61640.244879418569</v>
      </c>
      <c r="D48">
        <v>61759.920819245628</v>
      </c>
      <c r="E48">
        <v>62921.040217367998</v>
      </c>
      <c r="F48">
        <v>66549.950779299645</v>
      </c>
      <c r="G48">
        <v>66427.448222676176</v>
      </c>
      <c r="H48">
        <v>68620.873344828753</v>
      </c>
      <c r="I48">
        <v>68644.71243864928</v>
      </c>
      <c r="J48">
        <v>72469.63428953191</v>
      </c>
      <c r="K48">
        <v>74633.226757868149</v>
      </c>
      <c r="L48">
        <v>64909.914866820043</v>
      </c>
      <c r="M48">
        <v>71733.309524997268</v>
      </c>
      <c r="N48">
        <v>74513.426785583593</v>
      </c>
      <c r="O48">
        <v>75584.41322544156</v>
      </c>
      <c r="P48">
        <v>77725.20222247405</v>
      </c>
      <c r="Q48">
        <v>76828.956680364208</v>
      </c>
      <c r="R48">
        <v>79492.254314055303</v>
      </c>
      <c r="S48">
        <v>76158.09402481516</v>
      </c>
      <c r="T48">
        <v>83883.918346762832</v>
      </c>
      <c r="U48">
        <v>79534.085584134882</v>
      </c>
      <c r="V48">
        <v>80633.679268685475</v>
      </c>
      <c r="W48">
        <v>80650.934307762975</v>
      </c>
      <c r="X48">
        <v>84286.336540003118</v>
      </c>
    </row>
    <row r="49" spans="1:24" x14ac:dyDescent="0.35">
      <c r="A49" t="str">
        <v>Other chemicals (kt ethylene eq.)</v>
      </c>
      <c r="B49" t="s">
        <v>146</v>
      </c>
      <c r="C49">
        <v>39663.43423208809</v>
      </c>
      <c r="D49">
        <v>36096.598427216697</v>
      </c>
      <c r="E49">
        <v>32964.629781468073</v>
      </c>
      <c r="F49">
        <v>33266.686472038738</v>
      </c>
      <c r="G49">
        <v>32799.252889822063</v>
      </c>
      <c r="H49">
        <v>33279.703974680873</v>
      </c>
      <c r="I49">
        <v>30787.475739104029</v>
      </c>
      <c r="J49">
        <v>32819.672563057276</v>
      </c>
      <c r="K49">
        <v>29286.54778748579</v>
      </c>
      <c r="L49">
        <v>26966.762202098609</v>
      </c>
      <c r="M49">
        <v>26129.679156977531</v>
      </c>
      <c r="N49">
        <v>27092.669327397329</v>
      </c>
      <c r="O49">
        <v>27667.974617642929</v>
      </c>
      <c r="P49">
        <v>26237.955705322369</v>
      </c>
      <c r="Q49">
        <v>29599.28602972993</v>
      </c>
      <c r="R49">
        <v>27005.691900819809</v>
      </c>
      <c r="S49">
        <v>27376.836103092821</v>
      </c>
      <c r="T49">
        <v>25149.527697746871</v>
      </c>
      <c r="U49">
        <v>27607.00507338631</v>
      </c>
      <c r="V49">
        <v>26835.206370278629</v>
      </c>
      <c r="W49">
        <v>32335.36430807097</v>
      </c>
      <c r="X49">
        <v>32136.272344459911</v>
      </c>
    </row>
    <row r="50" spans="1:24" x14ac:dyDescent="0.35">
      <c r="A50" t="str">
        <v>Pharmaceutical products etc. (kt ethylene eq.)</v>
      </c>
      <c r="B50" t="s">
        <v>146</v>
      </c>
      <c r="C50">
        <v>9006.8195238814424</v>
      </c>
      <c r="D50">
        <v>9132.7666597005827</v>
      </c>
      <c r="E50">
        <v>9230.1981414545953</v>
      </c>
      <c r="F50">
        <v>10041.82212043071</v>
      </c>
      <c r="G50">
        <v>9301.9969261893875</v>
      </c>
      <c r="H50">
        <v>9733.5427002379474</v>
      </c>
      <c r="I50">
        <v>9796.3887037070253</v>
      </c>
      <c r="J50">
        <v>9912.2396884869158</v>
      </c>
      <c r="K50">
        <v>9540.1798129772687</v>
      </c>
      <c r="L50">
        <v>10347.24416299288</v>
      </c>
      <c r="M50">
        <v>9032.7898706515953</v>
      </c>
      <c r="N50">
        <v>9056.2771687680633</v>
      </c>
      <c r="O50">
        <v>9597.1585809496919</v>
      </c>
      <c r="P50">
        <v>9661.3652852984815</v>
      </c>
      <c r="Q50">
        <v>10222.3738000266</v>
      </c>
      <c r="R50">
        <v>10152.69836330575</v>
      </c>
      <c r="S50">
        <v>10309.11973081959</v>
      </c>
      <c r="T50">
        <v>9128.309414936406</v>
      </c>
      <c r="U50">
        <v>9668.7399975425251</v>
      </c>
      <c r="V50">
        <v>10285.02692556824</v>
      </c>
      <c r="W50">
        <v>11056.78552347484</v>
      </c>
      <c r="X50">
        <v>10524.76918535111</v>
      </c>
    </row>
    <row r="51" spans="1:24" x14ac:dyDescent="0.35">
      <c r="A51" t="str">
        <v>Cement (kt Cement)</v>
      </c>
      <c r="B51" t="s">
        <v>152</v>
      </c>
      <c r="C51">
        <v>220796.98199999999</v>
      </c>
      <c r="D51">
        <v>216649.72500000001</v>
      </c>
      <c r="E51">
        <v>215885.13399999999</v>
      </c>
      <c r="F51">
        <v>223432.35500000001</v>
      </c>
      <c r="G51">
        <v>231196.24</v>
      </c>
      <c r="H51">
        <v>232211.81299999999</v>
      </c>
      <c r="I51">
        <v>255089.13800000001</v>
      </c>
      <c r="J51">
        <v>258798.83420000001</v>
      </c>
      <c r="K51">
        <v>235718.53966800001</v>
      </c>
      <c r="L51">
        <v>188839.06277799999</v>
      </c>
      <c r="M51">
        <v>183329.14897499999</v>
      </c>
      <c r="N51">
        <v>184249.26954075001</v>
      </c>
      <c r="O51">
        <v>166801.56341589749</v>
      </c>
      <c r="P51">
        <v>157559.12222703471</v>
      </c>
      <c r="Q51">
        <v>158695.23022200001</v>
      </c>
      <c r="R51">
        <v>157175.951482089</v>
      </c>
      <c r="S51">
        <v>160513.80956629731</v>
      </c>
      <c r="T51">
        <v>167017.61890811089</v>
      </c>
      <c r="U51">
        <v>169387.175706446</v>
      </c>
      <c r="V51">
        <v>173937.23326962581</v>
      </c>
      <c r="W51">
        <v>172744.13729680571</v>
      </c>
      <c r="X51">
        <v>176142.90545704431</v>
      </c>
    </row>
    <row r="52" spans="1:24" x14ac:dyDescent="0.35">
      <c r="A52" t="str">
        <v>Ceramics &amp; other NMM (kt bricks eq.)</v>
      </c>
      <c r="B52" t="s">
        <v>147</v>
      </c>
      <c r="C52">
        <v>325022.00936293718</v>
      </c>
      <c r="D52">
        <v>341574.60525658872</v>
      </c>
      <c r="E52">
        <v>329821.12584607559</v>
      </c>
      <c r="F52">
        <v>361482.08213064523</v>
      </c>
      <c r="G52">
        <v>365080.70789436571</v>
      </c>
      <c r="H52">
        <v>400597.53391052329</v>
      </c>
      <c r="I52">
        <v>337130.9596911582</v>
      </c>
      <c r="J52">
        <v>363323.53218121961</v>
      </c>
      <c r="K52">
        <v>365262.21862890403</v>
      </c>
      <c r="L52">
        <v>288218.59281333338</v>
      </c>
      <c r="M52">
        <v>312327.20460975199</v>
      </c>
      <c r="N52">
        <v>325732.39780923107</v>
      </c>
      <c r="O52">
        <v>311194.3022834232</v>
      </c>
      <c r="P52">
        <v>304177.4789439349</v>
      </c>
      <c r="Q52">
        <v>295214.34315725887</v>
      </c>
      <c r="R52">
        <v>311058.88010486629</v>
      </c>
      <c r="S52">
        <v>314123.73532037158</v>
      </c>
      <c r="T52">
        <v>295096.24771314522</v>
      </c>
      <c r="U52">
        <v>308914.71157955151</v>
      </c>
      <c r="V52">
        <v>312422.72584734572</v>
      </c>
      <c r="W52">
        <v>306004.21103624848</v>
      </c>
      <c r="X52">
        <v>328968.91806054453</v>
      </c>
    </row>
    <row r="53" spans="1:24" x14ac:dyDescent="0.35">
      <c r="A53" t="str">
        <v>Glass production  (kt glass)</v>
      </c>
      <c r="B53" t="s">
        <v>149</v>
      </c>
      <c r="C53">
        <v>32689.128239463909</v>
      </c>
      <c r="D53">
        <v>33044.890524899172</v>
      </c>
      <c r="E53">
        <v>33392.874156494952</v>
      </c>
      <c r="F53">
        <v>33832.40458551039</v>
      </c>
      <c r="G53">
        <v>34319.410731783399</v>
      </c>
      <c r="H53">
        <v>34211.983117139418</v>
      </c>
      <c r="I53">
        <v>34977.921222803743</v>
      </c>
      <c r="J53">
        <v>35326.875341089843</v>
      </c>
      <c r="K53">
        <v>34467.449021295652</v>
      </c>
      <c r="L53">
        <v>30653.741364731712</v>
      </c>
      <c r="M53">
        <v>32229.3174656806</v>
      </c>
      <c r="N53">
        <v>32770.577314666189</v>
      </c>
      <c r="O53">
        <v>32224.647898134401</v>
      </c>
      <c r="P53">
        <v>31721.778690749139</v>
      </c>
      <c r="Q53">
        <v>32532.229160688559</v>
      </c>
      <c r="R53">
        <v>33162.177841473618</v>
      </c>
      <c r="S53">
        <v>33712.102438649177</v>
      </c>
      <c r="T53">
        <v>34793.927201366307</v>
      </c>
      <c r="U53">
        <v>35755.86749125916</v>
      </c>
      <c r="V53">
        <v>35423.057848159879</v>
      </c>
      <c r="W53">
        <v>34049.272234211749</v>
      </c>
      <c r="X53">
        <v>34253.800378097338</v>
      </c>
    </row>
    <row r="54" spans="1:24" x14ac:dyDescent="0.35">
      <c r="A54" t="str">
        <v>Pulp production (kt pulp)</v>
      </c>
      <c r="B54" t="s">
        <v>150</v>
      </c>
      <c r="C54">
        <v>37559.699999999997</v>
      </c>
      <c r="D54">
        <v>35897.699999999997</v>
      </c>
      <c r="E54">
        <v>36982.47</v>
      </c>
      <c r="F54">
        <v>38329.699999999997</v>
      </c>
      <c r="G54">
        <v>39791.75</v>
      </c>
      <c r="H54">
        <v>38761.14</v>
      </c>
      <c r="I54">
        <v>41320.33</v>
      </c>
      <c r="J54">
        <v>41193.22</v>
      </c>
      <c r="K54">
        <v>39678.980000000003</v>
      </c>
      <c r="L54">
        <v>34463.24</v>
      </c>
      <c r="M54">
        <v>36682.65</v>
      </c>
      <c r="N54">
        <v>37071.910000000003</v>
      </c>
      <c r="O54">
        <v>36825.706047819462</v>
      </c>
      <c r="P54">
        <v>36593.589668508641</v>
      </c>
      <c r="Q54">
        <v>36424.674512819343</v>
      </c>
      <c r="R54">
        <v>36216.168345337079</v>
      </c>
      <c r="S54">
        <v>37002.574096945893</v>
      </c>
      <c r="T54">
        <v>38396.66662148411</v>
      </c>
      <c r="U54">
        <v>38598.277243402918</v>
      </c>
      <c r="V54">
        <v>38242.03724340292</v>
      </c>
      <c r="W54">
        <v>37267.221722668139</v>
      </c>
      <c r="X54">
        <v>37738.12172266814</v>
      </c>
    </row>
    <row r="55" spans="1:24" x14ac:dyDescent="0.35">
      <c r="A55" t="str">
        <v>Paper production  (kt paper)</v>
      </c>
      <c r="B55" t="s">
        <v>151</v>
      </c>
      <c r="C55">
        <v>83548.56</v>
      </c>
      <c r="D55">
        <v>82324.539999999994</v>
      </c>
      <c r="E55">
        <v>84794.11</v>
      </c>
      <c r="F55">
        <v>86864.03</v>
      </c>
      <c r="G55">
        <v>91242.89</v>
      </c>
      <c r="H55">
        <v>92137.31</v>
      </c>
      <c r="I55">
        <v>96507.13</v>
      </c>
      <c r="J55">
        <v>96692.53</v>
      </c>
      <c r="K55">
        <v>93295.4</v>
      </c>
      <c r="L55">
        <v>84210.94</v>
      </c>
      <c r="M55">
        <v>90977.95</v>
      </c>
      <c r="N55">
        <v>90107.3</v>
      </c>
      <c r="O55">
        <v>88495.362497723851</v>
      </c>
      <c r="P55">
        <v>88430.045162919268</v>
      </c>
      <c r="Q55">
        <v>87307.479173427753</v>
      </c>
      <c r="R55">
        <v>87430.674067521075</v>
      </c>
      <c r="S55">
        <v>87592.44550897798</v>
      </c>
      <c r="T55">
        <v>88961.542000000001</v>
      </c>
      <c r="U55">
        <v>88898.354938775505</v>
      </c>
      <c r="V55">
        <v>86417.42659944389</v>
      </c>
      <c r="W55">
        <v>82234.018105116687</v>
      </c>
      <c r="X55">
        <v>86876.175043997748</v>
      </c>
    </row>
    <row r="56" spans="1:24" x14ac:dyDescent="0.35">
      <c r="A56" t="str">
        <v>Printing and media reproduction (kt paper eq.)</v>
      </c>
      <c r="B56" t="s">
        <v>148</v>
      </c>
      <c r="C56">
        <v>10933.42623845353</v>
      </c>
      <c r="D56">
        <v>10942.183418635101</v>
      </c>
      <c r="E56">
        <v>10933.491055673951</v>
      </c>
      <c r="F56">
        <v>10973.38010744605</v>
      </c>
      <c r="G56">
        <v>11154.20833194596</v>
      </c>
      <c r="H56">
        <v>11377.937639237791</v>
      </c>
      <c r="I56">
        <v>11432.25639802455</v>
      </c>
      <c r="J56">
        <v>11594.734321508249</v>
      </c>
      <c r="K56">
        <v>11111.4740240026</v>
      </c>
      <c r="L56">
        <v>10154.52006519213</v>
      </c>
      <c r="M56">
        <v>10731.27885146444</v>
      </c>
      <c r="N56">
        <v>10437.613954418521</v>
      </c>
      <c r="O56">
        <v>10193.96659533114</v>
      </c>
      <c r="P56">
        <v>10214.477642937291</v>
      </c>
      <c r="Q56">
        <v>10191.863114542321</v>
      </c>
      <c r="R56">
        <v>9908.3395688157725</v>
      </c>
      <c r="S56">
        <v>10644.709918045861</v>
      </c>
      <c r="T56">
        <v>10458.25839803407</v>
      </c>
      <c r="U56">
        <v>10658.433549138579</v>
      </c>
      <c r="V56">
        <v>9912.6422485932017</v>
      </c>
      <c r="W56">
        <v>9351.3455000070462</v>
      </c>
      <c r="X56">
        <v>11125.12033669288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D329B-C1B1-4E54-9600-BE73ED3BA379}">
  <dimension ref="A1:A35"/>
  <sheetViews>
    <sheetView zoomScale="160" zoomScaleNormal="160" workbookViewId="0">
      <selection activeCell="R26" sqref="R26"/>
    </sheetView>
  </sheetViews>
  <sheetFormatPr defaultColWidth="10.90625" defaultRowHeight="14.5" x14ac:dyDescent="0.35"/>
  <sheetData>
    <row r="1" spans="1:1" ht="21" x14ac:dyDescent="0.5">
      <c r="A1" s="87" t="s">
        <v>118</v>
      </c>
    </row>
    <row r="35" spans="1:1" ht="21" x14ac:dyDescent="0.5">
      <c r="A35" s="87" t="s">
        <v>119</v>
      </c>
    </row>
  </sheetData>
  <pageMargins left="0.7" right="0.7" top="0.78740157499999996" bottom="0.78740157499999996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DBC5F-E8C2-425D-B9C4-A2C91E16D91E}">
  <sheetPr>
    <pageSetUpPr fitToPage="1"/>
  </sheetPr>
  <dimension ref="A1:CY199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CZ225" sqref="CZ225"/>
    </sheetView>
  </sheetViews>
  <sheetFormatPr defaultColWidth="9.1796875" defaultRowHeight="12" customHeight="1" x14ac:dyDescent="0.35"/>
  <cols>
    <col min="1" max="1" width="50.7265625" style="88" customWidth="1"/>
    <col min="2" max="23" width="9.26953125" style="88" customWidth="1"/>
    <col min="24" max="34" width="9.1796875" style="88" hidden="1" customWidth="1"/>
    <col min="35" max="103" width="13" style="88" hidden="1" customWidth="1"/>
    <col min="104" max="104" width="2.7265625" style="88" customWidth="1"/>
    <col min="105" max="107" width="9.1796875" style="88" customWidth="1"/>
    <col min="108" max="16384" width="9.1796875" style="88"/>
  </cols>
  <sheetData>
    <row r="1" spans="1:23" ht="15" customHeight="1" x14ac:dyDescent="0.35">
      <c r="A1" s="2" t="str">
        <f>[1]index!$A$1&amp;": Industry Summary"</f>
        <v>EU27: Industry Summary</v>
      </c>
      <c r="B1" s="3">
        <v>2000</v>
      </c>
      <c r="C1" s="3">
        <v>2001</v>
      </c>
      <c r="D1" s="3">
        <v>2002</v>
      </c>
      <c r="E1" s="3">
        <v>2003</v>
      </c>
      <c r="F1" s="3">
        <v>2004</v>
      </c>
      <c r="G1" s="3">
        <v>2005</v>
      </c>
      <c r="H1" s="3">
        <v>2006</v>
      </c>
      <c r="I1" s="3">
        <v>2007</v>
      </c>
      <c r="J1" s="3">
        <v>2008</v>
      </c>
      <c r="K1" s="3">
        <v>2009</v>
      </c>
      <c r="L1" s="3">
        <v>2010</v>
      </c>
      <c r="M1" s="3">
        <v>2011</v>
      </c>
      <c r="N1" s="3">
        <v>2012</v>
      </c>
      <c r="O1" s="3">
        <v>2013</v>
      </c>
      <c r="P1" s="3">
        <v>2014</v>
      </c>
      <c r="Q1" s="3">
        <v>2015</v>
      </c>
      <c r="R1" s="3">
        <v>2016</v>
      </c>
      <c r="S1" s="3">
        <v>2017</v>
      </c>
      <c r="T1" s="3">
        <v>2018</v>
      </c>
      <c r="U1" s="3">
        <v>2019</v>
      </c>
      <c r="V1" s="3">
        <v>2020</v>
      </c>
      <c r="W1" s="3">
        <v>2021</v>
      </c>
    </row>
    <row r="3" spans="1:23" ht="12" customHeight="1" x14ac:dyDescent="0.35">
      <c r="A3" s="23" t="s">
        <v>0</v>
      </c>
      <c r="B3" s="25">
        <f>[1]ISI!B$3+[1]NFM!B$3+[1]CHI!B$3+[1]NMM!B$3+[1]PPA!B$3+[1]FBT!B$3+[1]TRE!B$3+[1]MAE!B$3+[1]TEL!B$3+[1]WWP!B$3+[1]OIS!B$3</f>
        <v>2245126.5918818396</v>
      </c>
      <c r="C3" s="25">
        <f>[1]ISI!C$3+[1]NFM!C$3+[1]CHI!C$3+[1]NMM!C$3+[1]PPA!C$3+[1]FBT!C$3+[1]TRE!C$3+[1]MAE!C$3+[1]TEL!C$3+[1]WWP!C$3+[1]OIS!C$3</f>
        <v>2262880.2529874076</v>
      </c>
      <c r="D3" s="25">
        <f>[1]ISI!D$3+[1]NFM!D$3+[1]CHI!D$3+[1]NMM!D$3+[1]PPA!D$3+[1]FBT!D$3+[1]TRE!D$3+[1]MAE!D$3+[1]TEL!D$3+[1]WWP!D$3+[1]OIS!D$3</f>
        <v>2249191.7592077339</v>
      </c>
      <c r="E3" s="25">
        <f>[1]ISI!E$3+[1]NFM!E$3+[1]CHI!E$3+[1]NMM!E$3+[1]PPA!E$3+[1]FBT!E$3+[1]TRE!E$3+[1]MAE!E$3+[1]TEL!E$3+[1]WWP!E$3+[1]OIS!E$3</f>
        <v>2232384.475456255</v>
      </c>
      <c r="F3" s="25">
        <f>[1]ISI!F$3+[1]NFM!F$3+[1]CHI!F$3+[1]NMM!F$3+[1]PPA!F$3+[1]FBT!F$3+[1]TRE!F$3+[1]MAE!F$3+[1]TEL!F$3+[1]WWP!F$3+[1]OIS!F$3</f>
        <v>2278946.5584964193</v>
      </c>
      <c r="G3" s="25">
        <f>[1]ISI!G$3+[1]NFM!G$3+[1]CHI!G$3+[1]NMM!G$3+[1]PPA!G$3+[1]FBT!G$3+[1]TRE!G$3+[1]MAE!G$3+[1]TEL!G$3+[1]WWP!G$3+[1]OIS!G$3</f>
        <v>2306363.1608681367</v>
      </c>
      <c r="H3" s="25">
        <f>[1]ISI!H$3+[1]NFM!H$3+[1]CHI!H$3+[1]NMM!H$3+[1]PPA!H$3+[1]FBT!H$3+[1]TRE!H$3+[1]MAE!H$3+[1]TEL!H$3+[1]WWP!H$3+[1]OIS!H$3</f>
        <v>2419628.3501709104</v>
      </c>
      <c r="I3" s="25">
        <f>[1]ISI!I$3+[1]NFM!I$3+[1]CHI!I$3+[1]NMM!I$3+[1]PPA!I$3+[1]FBT!I$3+[1]TRE!I$3+[1]MAE!I$3+[1]TEL!I$3+[1]WWP!I$3+[1]OIS!I$3</f>
        <v>2510080.1600853191</v>
      </c>
      <c r="J3" s="25">
        <f>[1]ISI!J$3+[1]NFM!J$3+[1]CHI!J$3+[1]NMM!J$3+[1]PPA!J$3+[1]FBT!J$3+[1]TRE!J$3+[1]MAE!J$3+[1]TEL!J$3+[1]WWP!J$3+[1]OIS!J$3</f>
        <v>2471567.0188197484</v>
      </c>
      <c r="K3" s="25">
        <f>[1]ISI!K$3+[1]NFM!K$3+[1]CHI!K$3+[1]NMM!K$3+[1]PPA!K$3+[1]FBT!K$3+[1]TRE!K$3+[1]MAE!K$3+[1]TEL!K$3+[1]WWP!K$3+[1]OIS!K$3</f>
        <v>2180030.9083993351</v>
      </c>
      <c r="L3" s="25">
        <f>[1]ISI!L$3+[1]NFM!L$3+[1]CHI!L$3+[1]NMM!L$3+[1]PPA!L$3+[1]FBT!L$3+[1]TRE!L$3+[1]MAE!L$3+[1]TEL!L$3+[1]WWP!L$3+[1]OIS!L$3</f>
        <v>2262114.8248839909</v>
      </c>
      <c r="M3" s="25">
        <f>[1]ISI!M$3+[1]NFM!M$3+[1]CHI!M$3+[1]NMM!M$3+[1]PPA!M$3+[1]FBT!M$3+[1]TRE!M$3+[1]MAE!M$3+[1]TEL!M$3+[1]WWP!M$3+[1]OIS!M$3</f>
        <v>2326499.6923050196</v>
      </c>
      <c r="N3" s="25">
        <f>[1]ISI!N$3+[1]NFM!N$3+[1]CHI!N$3+[1]NMM!N$3+[1]PPA!N$3+[1]FBT!N$3+[1]TRE!N$3+[1]MAE!N$3+[1]TEL!N$3+[1]WWP!N$3+[1]OIS!N$3</f>
        <v>2267740.968761717</v>
      </c>
      <c r="O3" s="25">
        <f>[1]ISI!O$3+[1]NFM!O$3+[1]CHI!O$3+[1]NMM!O$3+[1]PPA!O$3+[1]FBT!O$3+[1]TRE!O$3+[1]MAE!O$3+[1]TEL!O$3+[1]WWP!O$3+[1]OIS!O$3</f>
        <v>2228109.3060025615</v>
      </c>
      <c r="P3" s="25">
        <f>[1]ISI!P$3+[1]NFM!P$3+[1]CHI!P$3+[1]NMM!P$3+[1]PPA!P$3+[1]FBT!P$3+[1]TRE!P$3+[1]MAE!P$3+[1]TEL!P$3+[1]WWP!P$3+[1]OIS!P$3</f>
        <v>2275602.5813669544</v>
      </c>
      <c r="Q3" s="25">
        <f>[1]ISI!Q$3+[1]NFM!Q$3+[1]CHI!Q$3+[1]NMM!Q$3+[1]PPA!Q$3+[1]FBT!Q$3+[1]TRE!Q$3+[1]MAE!Q$3+[1]TEL!Q$3+[1]WWP!Q$3+[1]OIS!Q$3</f>
        <v>2368451.1590821277</v>
      </c>
      <c r="R3" s="25">
        <f>[1]ISI!R$3+[1]NFM!R$3+[1]CHI!R$3+[1]NMM!R$3+[1]PPA!R$3+[1]FBT!R$3+[1]TRE!R$3+[1]MAE!R$3+[1]TEL!R$3+[1]WWP!R$3+[1]OIS!R$3</f>
        <v>2418603.8811328402</v>
      </c>
      <c r="S3" s="25">
        <f>[1]ISI!S$3+[1]NFM!S$3+[1]CHI!S$3+[1]NMM!S$3+[1]PPA!S$3+[1]FBT!S$3+[1]TRE!S$3+[1]MAE!S$3+[1]TEL!S$3+[1]WWP!S$3+[1]OIS!S$3</f>
        <v>2480957.4697840828</v>
      </c>
      <c r="T3" s="25">
        <f>[1]ISI!T$3+[1]NFM!T$3+[1]CHI!T$3+[1]NMM!T$3+[1]PPA!T$3+[1]FBT!T$3+[1]TRE!T$3+[1]MAE!T$3+[1]TEL!T$3+[1]WWP!T$3+[1]OIS!T$3</f>
        <v>2534946.8790618293</v>
      </c>
      <c r="U3" s="25">
        <f>[1]ISI!U$3+[1]NFM!U$3+[1]CHI!U$3+[1]NMM!U$3+[1]PPA!U$3+[1]FBT!U$3+[1]TRE!U$3+[1]MAE!U$3+[1]TEL!U$3+[1]WWP!U$3+[1]OIS!U$3</f>
        <v>2556532.6047689877</v>
      </c>
      <c r="V3" s="25">
        <f>[1]ISI!V$3+[1]NFM!V$3+[1]CHI!V$3+[1]NMM!V$3+[1]PPA!V$3+[1]FBT!V$3+[1]TRE!V$3+[1]MAE!V$3+[1]TEL!V$3+[1]WWP!V$3+[1]OIS!V$3</f>
        <v>2396789.5836239955</v>
      </c>
      <c r="W3" s="25">
        <f>[1]ISI!W$3+[1]NFM!W$3+[1]CHI!W$3+[1]NMM!W$3+[1]PPA!W$3+[1]FBT!W$3+[1]TRE!W$3+[1]MAE!W$3+[1]TEL!W$3+[1]WWP!W$3+[1]OIS!W$3</f>
        <v>2571109.1385431066</v>
      </c>
    </row>
    <row r="4" spans="1:23" ht="12" customHeight="1" x14ac:dyDescent="0.35">
      <c r="A4" s="5" t="s">
        <v>1</v>
      </c>
      <c r="B4" s="26">
        <f>[1]ISI!B$3</f>
        <v>53100.41965659945</v>
      </c>
      <c r="C4" s="26">
        <f>[1]ISI!C$3</f>
        <v>50746.225506592222</v>
      </c>
      <c r="D4" s="26">
        <f>[1]ISI!D$3</f>
        <v>47887.083446499491</v>
      </c>
      <c r="E4" s="26">
        <f>[1]ISI!E$3</f>
        <v>47437.72077067892</v>
      </c>
      <c r="F4" s="26">
        <f>[1]ISI!F$3</f>
        <v>53122.137257005881</v>
      </c>
      <c r="G4" s="26">
        <f>[1]ISI!G$3</f>
        <v>55745.288087968176</v>
      </c>
      <c r="H4" s="26">
        <f>[1]ISI!H$3</f>
        <v>59782.02479756697</v>
      </c>
      <c r="I4" s="26">
        <f>[1]ISI!I$3</f>
        <v>66292.465976633845</v>
      </c>
      <c r="J4" s="26">
        <f>[1]ISI!J$3</f>
        <v>60374.619647317268</v>
      </c>
      <c r="K4" s="26">
        <f>[1]ISI!K$3</f>
        <v>35516.382412286468</v>
      </c>
      <c r="L4" s="26">
        <f>[1]ISI!L$3</f>
        <v>40666.649467418436</v>
      </c>
      <c r="M4" s="26">
        <f>[1]ISI!M$3</f>
        <v>45327.562040446282</v>
      </c>
      <c r="N4" s="26">
        <f>[1]ISI!N$3</f>
        <v>41404.429230928072</v>
      </c>
      <c r="O4" s="26">
        <f>[1]ISI!O$3</f>
        <v>40039.803512912062</v>
      </c>
      <c r="P4" s="26">
        <f>[1]ISI!P$3</f>
        <v>41160.173718232531</v>
      </c>
      <c r="Q4" s="26">
        <f>[1]ISI!Q$3</f>
        <v>41367.781277122202</v>
      </c>
      <c r="R4" s="26">
        <f>[1]ISI!R$3</f>
        <v>41197.912183258217</v>
      </c>
      <c r="S4" s="26">
        <f>[1]ISI!S$3</f>
        <v>43500.388391352884</v>
      </c>
      <c r="T4" s="26">
        <f>[1]ISI!T$3</f>
        <v>46474.803984483879</v>
      </c>
      <c r="U4" s="26">
        <f>[1]ISI!U$3</f>
        <v>39226.3703284191</v>
      </c>
      <c r="V4" s="26">
        <f>[1]ISI!V$3</f>
        <v>32459.21958988301</v>
      </c>
      <c r="W4" s="26">
        <f>[1]ISI!W$3</f>
        <v>42717.513105451661</v>
      </c>
    </row>
    <row r="5" spans="1:23" ht="12" customHeight="1" x14ac:dyDescent="0.35">
      <c r="A5" s="6" t="s">
        <v>2</v>
      </c>
      <c r="B5" s="27">
        <f>[1]NFM!B$3</f>
        <v>18642.886337720098</v>
      </c>
      <c r="C5" s="27">
        <f>[1]NFM!C$3</f>
        <v>17729.881783475641</v>
      </c>
      <c r="D5" s="27">
        <f>[1]NFM!D$3</f>
        <v>16843.148213152297</v>
      </c>
      <c r="E5" s="27">
        <f>[1]NFM!E$3</f>
        <v>16684.733319917788</v>
      </c>
      <c r="F5" s="27">
        <f>[1]NFM!F$3</f>
        <v>18498.374612133848</v>
      </c>
      <c r="G5" s="27">
        <f>[1]NFM!G$3</f>
        <v>19343.216784106258</v>
      </c>
      <c r="H5" s="27">
        <f>[1]NFM!H$3</f>
        <v>20896.191755040491</v>
      </c>
      <c r="I5" s="27">
        <f>[1]NFM!I$3</f>
        <v>23094.301360499976</v>
      </c>
      <c r="J5" s="27">
        <f>[1]NFM!J$3</f>
        <v>21418.74229558972</v>
      </c>
      <c r="K5" s="27">
        <f>[1]NFM!K$3</f>
        <v>17576.145834970208</v>
      </c>
      <c r="L5" s="27">
        <f>[1]NFM!L$3</f>
        <v>20824.806091489118</v>
      </c>
      <c r="M5" s="27">
        <f>[1]NFM!M$3</f>
        <v>21744.353991756267</v>
      </c>
      <c r="N5" s="27">
        <f>[1]NFM!N$3</f>
        <v>21704.292416355456</v>
      </c>
      <c r="O5" s="27">
        <f>[1]NFM!O$3</f>
        <v>20444.177287894061</v>
      </c>
      <c r="P5" s="27">
        <f>[1]NFM!P$3</f>
        <v>20852.395881619472</v>
      </c>
      <c r="Q5" s="27">
        <f>[1]NFM!Q$3</f>
        <v>22522.718722877798</v>
      </c>
      <c r="R5" s="27">
        <f>[1]NFM!R$3</f>
        <v>22719.050075335086</v>
      </c>
      <c r="S5" s="27">
        <f>[1]NFM!S$3</f>
        <v>23179.09466293233</v>
      </c>
      <c r="T5" s="27">
        <f>[1]NFM!T$3</f>
        <v>23008.516125822396</v>
      </c>
      <c r="U5" s="27">
        <f>[1]NFM!U$3</f>
        <v>22382.543832245654</v>
      </c>
      <c r="V5" s="27">
        <f>[1]NFM!V$3</f>
        <v>19712.922927116851</v>
      </c>
      <c r="W5" s="27">
        <f>[1]NFM!W$3</f>
        <v>24635.930309618001</v>
      </c>
    </row>
    <row r="6" spans="1:23" ht="12" customHeight="1" x14ac:dyDescent="0.35">
      <c r="A6" s="7" t="s">
        <v>3</v>
      </c>
      <c r="B6" s="26">
        <f>[1]NFM!B$4</f>
        <v>1878.141839195383</v>
      </c>
      <c r="C6" s="26">
        <f>[1]NFM!C$4</f>
        <v>1841.05868473386</v>
      </c>
      <c r="D6" s="26">
        <f>[1]NFM!D$4</f>
        <v>1717.3534337489709</v>
      </c>
      <c r="E6" s="26">
        <f>[1]NFM!E$4</f>
        <v>1758.1091515460871</v>
      </c>
      <c r="F6" s="26">
        <f>[1]NFM!F$4</f>
        <v>1862.1894104493649</v>
      </c>
      <c r="G6" s="26">
        <f>[1]NFM!G$4</f>
        <v>1930.9328777978001</v>
      </c>
      <c r="H6" s="26">
        <f>[1]NFM!H$4</f>
        <v>2143.4983872839362</v>
      </c>
      <c r="I6" s="26">
        <f>[1]NFM!I$4</f>
        <v>2141.8636741707292</v>
      </c>
      <c r="J6" s="26">
        <f>[1]NFM!J$4</f>
        <v>2020.098379427815</v>
      </c>
      <c r="K6" s="26">
        <f>[1]NFM!K$4</f>
        <v>1247.308353811537</v>
      </c>
      <c r="L6" s="26">
        <f>[1]NFM!L$4</f>
        <v>1537.6138191449959</v>
      </c>
      <c r="M6" s="26">
        <f>[1]NFM!M$4</f>
        <v>1559.124880843706</v>
      </c>
      <c r="N6" s="26">
        <f>[1]NFM!N$4</f>
        <v>1383.697141175169</v>
      </c>
      <c r="O6" s="26">
        <f>[1]NFM!O$4</f>
        <v>1372.314121723105</v>
      </c>
      <c r="P6" s="26">
        <f>[1]NFM!P$4</f>
        <v>1418.1431038974599</v>
      </c>
      <c r="Q6" s="26">
        <f>[1]NFM!Q$4</f>
        <v>1343.1855668065559</v>
      </c>
      <c r="R6" s="26">
        <f>[1]NFM!R$4</f>
        <v>1305.26556987973</v>
      </c>
      <c r="S6" s="26">
        <f>[1]NFM!S$4</f>
        <v>1650.5154022559429</v>
      </c>
      <c r="T6" s="26">
        <f>[1]NFM!T$4</f>
        <v>1684.4722789676121</v>
      </c>
      <c r="U6" s="26">
        <f>[1]NFM!U$4</f>
        <v>1549.356505714326</v>
      </c>
      <c r="V6" s="26">
        <f>[1]NFM!V$4</f>
        <v>1398.4916867192931</v>
      </c>
      <c r="W6" s="26">
        <f>[1]NFM!W$4</f>
        <v>1611.217754624591</v>
      </c>
    </row>
    <row r="7" spans="1:23" ht="12" customHeight="1" x14ac:dyDescent="0.35">
      <c r="A7" s="7" t="s">
        <v>4</v>
      </c>
      <c r="B7" s="26">
        <f>[1]NFM!B$5</f>
        <v>8075.7262174621901</v>
      </c>
      <c r="C7" s="26">
        <f>[1]NFM!C$5</f>
        <v>7673.7919043596157</v>
      </c>
      <c r="D7" s="26">
        <f>[1]NFM!D$5</f>
        <v>7211.7122920148595</v>
      </c>
      <c r="E7" s="26">
        <f>[1]NFM!E$5</f>
        <v>7087.1667312934223</v>
      </c>
      <c r="F7" s="26">
        <f>[1]NFM!F$5</f>
        <v>7802.7863183109857</v>
      </c>
      <c r="G7" s="26">
        <f>[1]NFM!G$5</f>
        <v>8172.9446666553131</v>
      </c>
      <c r="H7" s="26">
        <f>[1]NFM!H$5</f>
        <v>8775.4439632610593</v>
      </c>
      <c r="I7" s="26">
        <f>[1]NFM!I$5</f>
        <v>9672.3500817757467</v>
      </c>
      <c r="J7" s="26">
        <f>[1]NFM!J$5</f>
        <v>9115.9531785493346</v>
      </c>
      <c r="K7" s="26">
        <f>[1]NFM!K$5</f>
        <v>7153.1209411680693</v>
      </c>
      <c r="L7" s="26">
        <f>[1]NFM!L$5</f>
        <v>9544.2524205248719</v>
      </c>
      <c r="M7" s="26">
        <f>[1]NFM!M$5</f>
        <v>10072.351091591732</v>
      </c>
      <c r="N7" s="26">
        <f>[1]NFM!N$5</f>
        <v>9345.2876903794167</v>
      </c>
      <c r="O7" s="26">
        <f>[1]NFM!O$5</f>
        <v>9205.2546789200132</v>
      </c>
      <c r="P7" s="26">
        <f>[1]NFM!P$5</f>
        <v>8600.5356874988138</v>
      </c>
      <c r="Q7" s="26">
        <f>[1]NFM!Q$5</f>
        <v>9041.8774577705444</v>
      </c>
      <c r="R7" s="26">
        <f>[1]NFM!R$5</f>
        <v>9305.5918321321551</v>
      </c>
      <c r="S7" s="26">
        <f>[1]NFM!S$5</f>
        <v>9807.1644785746266</v>
      </c>
      <c r="T7" s="26">
        <f>[1]NFM!T$5</f>
        <v>9806.874922962761</v>
      </c>
      <c r="U7" s="26">
        <f>[1]NFM!U$5</f>
        <v>9434.9940224867078</v>
      </c>
      <c r="V7" s="26">
        <f>[1]NFM!V$5</f>
        <v>8263.2264068386794</v>
      </c>
      <c r="W7" s="26">
        <f>[1]NFM!W$5</f>
        <v>9630.8992073587815</v>
      </c>
    </row>
    <row r="8" spans="1:23" ht="12" customHeight="1" x14ac:dyDescent="0.35">
      <c r="A8" s="7" t="s">
        <v>5</v>
      </c>
      <c r="B8" s="26">
        <f>[1]NFM!B$8</f>
        <v>8689.0182810625229</v>
      </c>
      <c r="C8" s="26">
        <f>[1]NFM!C$8</f>
        <v>8215.0311943821671</v>
      </c>
      <c r="D8" s="26">
        <f>[1]NFM!D$8</f>
        <v>7914.0824873884658</v>
      </c>
      <c r="E8" s="26">
        <f>[1]NFM!E$8</f>
        <v>7839.4574370782793</v>
      </c>
      <c r="F8" s="26">
        <f>[1]NFM!F$8</f>
        <v>8833.3988833734984</v>
      </c>
      <c r="G8" s="26">
        <f>[1]NFM!G$8</f>
        <v>9239.3392396531453</v>
      </c>
      <c r="H8" s="26">
        <f>[1]NFM!H$8</f>
        <v>9977.2494044954947</v>
      </c>
      <c r="I8" s="26">
        <f>[1]NFM!I$8</f>
        <v>11280.087604553501</v>
      </c>
      <c r="J8" s="26">
        <f>[1]NFM!J$8</f>
        <v>10282.690737612569</v>
      </c>
      <c r="K8" s="26">
        <f>[1]NFM!K$8</f>
        <v>9175.7165399905989</v>
      </c>
      <c r="L8" s="26">
        <f>[1]NFM!L$8</f>
        <v>9742.9398518192502</v>
      </c>
      <c r="M8" s="26">
        <f>[1]NFM!M$8</f>
        <v>10112.878019320829</v>
      </c>
      <c r="N8" s="26">
        <f>[1]NFM!N$8</f>
        <v>10975.30758480087</v>
      </c>
      <c r="O8" s="26">
        <f>[1]NFM!O$8</f>
        <v>9866.6084872509437</v>
      </c>
      <c r="P8" s="26">
        <f>[1]NFM!P$8</f>
        <v>10833.717090223199</v>
      </c>
      <c r="Q8" s="26">
        <f>[1]NFM!Q$8</f>
        <v>12137.655698300699</v>
      </c>
      <c r="R8" s="26">
        <f>[1]NFM!R$8</f>
        <v>12108.192673323199</v>
      </c>
      <c r="S8" s="26">
        <f>[1]NFM!S$8</f>
        <v>11721.41478210176</v>
      </c>
      <c r="T8" s="26">
        <f>[1]NFM!T$8</f>
        <v>11517.168923892021</v>
      </c>
      <c r="U8" s="26">
        <f>[1]NFM!U$8</f>
        <v>11398.19330404462</v>
      </c>
      <c r="V8" s="26">
        <f>[1]NFM!V$8</f>
        <v>10051.204833558881</v>
      </c>
      <c r="W8" s="26">
        <f>[1]NFM!W$8</f>
        <v>13393.81334763463</v>
      </c>
    </row>
    <row r="9" spans="1:23" ht="12" customHeight="1" x14ac:dyDescent="0.35">
      <c r="A9" s="6" t="s">
        <v>6</v>
      </c>
      <c r="B9" s="27">
        <f>[1]CHI!B$3</f>
        <v>193919.37752477662</v>
      </c>
      <c r="C9" s="27">
        <f>[1]CHI!C$3</f>
        <v>199916.85306153726</v>
      </c>
      <c r="D9" s="27">
        <f>[1]CHI!D$3</f>
        <v>205177.76579871034</v>
      </c>
      <c r="E9" s="27">
        <f>[1]CHI!E$3</f>
        <v>197591.10743346094</v>
      </c>
      <c r="F9" s="27">
        <f>[1]CHI!F$3</f>
        <v>196428.92299655903</v>
      </c>
      <c r="G9" s="27">
        <f>[1]CHI!G$3</f>
        <v>200474.54624530801</v>
      </c>
      <c r="H9" s="27">
        <f>[1]CHI!H$3</f>
        <v>202142.7175686952</v>
      </c>
      <c r="I9" s="27">
        <f>[1]CHI!I$3</f>
        <v>209114.86015316629</v>
      </c>
      <c r="J9" s="27">
        <f>[1]CHI!J$3</f>
        <v>205386.23588912925</v>
      </c>
      <c r="K9" s="27">
        <f>[1]CHI!K$3</f>
        <v>198041.18818606815</v>
      </c>
      <c r="L9" s="27">
        <f>[1]CHI!L$3</f>
        <v>209869.09964646248</v>
      </c>
      <c r="M9" s="27">
        <f>[1]CHI!M$3</f>
        <v>215228.9171649155</v>
      </c>
      <c r="N9" s="27">
        <f>[1]CHI!N$3</f>
        <v>211905.22721252608</v>
      </c>
      <c r="O9" s="27">
        <f>[1]CHI!O$3</f>
        <v>209274.80276131839</v>
      </c>
      <c r="P9" s="27">
        <f>[1]CHI!P$3</f>
        <v>215718.28920409473</v>
      </c>
      <c r="Q9" s="27">
        <f>[1]CHI!Q$3</f>
        <v>277695.3442467422</v>
      </c>
      <c r="R9" s="27">
        <f>[1]CHI!R$3</f>
        <v>279611.05414692324</v>
      </c>
      <c r="S9" s="27">
        <f>[1]CHI!S$3</f>
        <v>284331.30140105169</v>
      </c>
      <c r="T9" s="27">
        <f>[1]CHI!T$3</f>
        <v>293350.03339497553</v>
      </c>
      <c r="U9" s="27">
        <f>[1]CHI!U$3</f>
        <v>296911.74434386124</v>
      </c>
      <c r="V9" s="27">
        <f>[1]CHI!V$3</f>
        <v>309678.44844126096</v>
      </c>
      <c r="W9" s="27">
        <f>[1]CHI!W$3</f>
        <v>343099.86111633223</v>
      </c>
    </row>
    <row r="10" spans="1:23" ht="12" customHeight="1" x14ac:dyDescent="0.35">
      <c r="A10" s="7" t="s">
        <v>7</v>
      </c>
      <c r="B10" s="26">
        <f>[1]CHI!B$5</f>
        <v>46231.891836254217</v>
      </c>
      <c r="C10" s="26">
        <f>[1]CHI!C$5</f>
        <v>47451.230221916478</v>
      </c>
      <c r="D10" s="26">
        <f>[1]CHI!D$5</f>
        <v>48230.988271586022</v>
      </c>
      <c r="E10" s="26">
        <f>[1]CHI!E$5</f>
        <v>48337.567610988182</v>
      </c>
      <c r="F10" s="26">
        <f>[1]CHI!F$5</f>
        <v>48758.350017214361</v>
      </c>
      <c r="G10" s="26">
        <f>[1]CHI!G$5</f>
        <v>49158.515895756573</v>
      </c>
      <c r="H10" s="26">
        <f>[1]CHI!H$5</f>
        <v>51309.175602457923</v>
      </c>
      <c r="I10" s="26">
        <f>[1]CHI!I$5</f>
        <v>53506.921361537563</v>
      </c>
      <c r="J10" s="26">
        <f>[1]CHI!J$5</f>
        <v>57080.994670163731</v>
      </c>
      <c r="K10" s="26">
        <f>[1]CHI!K$5</f>
        <v>50889.831397604918</v>
      </c>
      <c r="L10" s="26">
        <f>[1]CHI!L$5</f>
        <v>59162.077743336456</v>
      </c>
      <c r="M10" s="26">
        <f>[1]CHI!M$5</f>
        <v>62238.898559649788</v>
      </c>
      <c r="N10" s="26">
        <f>[1]CHI!N$5</f>
        <v>58915.241424511863</v>
      </c>
      <c r="O10" s="26">
        <f>[1]CHI!O$5</f>
        <v>57836.64861025069</v>
      </c>
      <c r="P10" s="26">
        <f>[1]CHI!P$5</f>
        <v>56972.610257210566</v>
      </c>
      <c r="Q10" s="26">
        <f>[1]CHI!Q$5</f>
        <v>66213.425538716008</v>
      </c>
      <c r="R10" s="26">
        <f>[1]CHI!R$5</f>
        <v>64912.300749086411</v>
      </c>
      <c r="S10" s="26">
        <f>[1]CHI!S$5</f>
        <v>71702.508905105235</v>
      </c>
      <c r="T10" s="26">
        <f>[1]CHI!T$5</f>
        <v>67004.756206716818</v>
      </c>
      <c r="U10" s="26">
        <f>[1]CHI!U$5</f>
        <v>64029.532512620397</v>
      </c>
      <c r="V10" s="26">
        <f>[1]CHI!V$5</f>
        <v>59559.569032262618</v>
      </c>
      <c r="W10" s="26">
        <f>[1]CHI!W$5</f>
        <v>66143.799386523227</v>
      </c>
    </row>
    <row r="11" spans="1:23" ht="12" customHeight="1" x14ac:dyDescent="0.35">
      <c r="A11" s="7" t="s">
        <v>8</v>
      </c>
      <c r="B11" s="26">
        <f>[1]CHI!B$6</f>
        <v>75311.81117311072</v>
      </c>
      <c r="C11" s="26">
        <f>[1]CHI!C$6</f>
        <v>71848.680934133328</v>
      </c>
      <c r="D11" s="26">
        <f>[1]CHI!D$6</f>
        <v>69613.550593443491</v>
      </c>
      <c r="E11" s="26">
        <f>[1]CHI!E$6</f>
        <v>64523.71747860944</v>
      </c>
      <c r="F11" s="26">
        <f>[1]CHI!F$6</f>
        <v>66087.617337746837</v>
      </c>
      <c r="G11" s="26">
        <f>[1]CHI!G$6</f>
        <v>66332.958863840613</v>
      </c>
      <c r="H11" s="26">
        <f>[1]CHI!H$6</f>
        <v>65269.848165254487</v>
      </c>
      <c r="I11" s="26">
        <f>[1]CHI!I$6</f>
        <v>67729.901475447754</v>
      </c>
      <c r="J11" s="26">
        <f>[1]CHI!J$6</f>
        <v>60858.544970257972</v>
      </c>
      <c r="K11" s="26">
        <f>[1]CHI!K$6</f>
        <v>56286.547836145597</v>
      </c>
      <c r="L11" s="26">
        <f>[1]CHI!L$6</f>
        <v>58160.468552715232</v>
      </c>
      <c r="M11" s="26">
        <f>[1]CHI!M$6</f>
        <v>59555.211136530539</v>
      </c>
      <c r="N11" s="26">
        <f>[1]CHI!N$6</f>
        <v>59809.84207470699</v>
      </c>
      <c r="O11" s="26">
        <f>[1]CHI!O$6</f>
        <v>60382.269975366908</v>
      </c>
      <c r="P11" s="26">
        <f>[1]CHI!P$6</f>
        <v>65055.999517598051</v>
      </c>
      <c r="Q11" s="26">
        <f>[1]CHI!Q$6</f>
        <v>65716.943963594647</v>
      </c>
      <c r="R11" s="26">
        <f>[1]CHI!R$6</f>
        <v>69854.461700899687</v>
      </c>
      <c r="S11" s="26">
        <f>[1]CHI!S$6</f>
        <v>67454.910554700895</v>
      </c>
      <c r="T11" s="26">
        <f>[1]CHI!T$6</f>
        <v>67247.195297589831</v>
      </c>
      <c r="U11" s="26">
        <f>[1]CHI!U$6</f>
        <v>69443.417942853441</v>
      </c>
      <c r="V11" s="26">
        <f>[1]CHI!V$6</f>
        <v>72459.579193828133</v>
      </c>
      <c r="W11" s="26">
        <f>[1]CHI!W$6</f>
        <v>78492.07163788451</v>
      </c>
    </row>
    <row r="12" spans="1:23" ht="12" customHeight="1" x14ac:dyDescent="0.35">
      <c r="A12" s="7" t="s">
        <v>9</v>
      </c>
      <c r="B12" s="26">
        <f>[1]CHI!B$7</f>
        <v>72375.674515411694</v>
      </c>
      <c r="C12" s="26">
        <f>[1]CHI!C$7</f>
        <v>80616.941905487445</v>
      </c>
      <c r="D12" s="26">
        <f>[1]CHI!D$7</f>
        <v>87333.226933680839</v>
      </c>
      <c r="E12" s="26">
        <f>[1]CHI!E$7</f>
        <v>84729.822343863329</v>
      </c>
      <c r="F12" s="26">
        <f>[1]CHI!F$7</f>
        <v>81582.95564159783</v>
      </c>
      <c r="G12" s="26">
        <f>[1]CHI!G$7</f>
        <v>84983.071485710811</v>
      </c>
      <c r="H12" s="26">
        <f>[1]CHI!H$7</f>
        <v>85563.693800982772</v>
      </c>
      <c r="I12" s="26">
        <f>[1]CHI!I$7</f>
        <v>87878.037316180969</v>
      </c>
      <c r="J12" s="26">
        <f>[1]CHI!J$7</f>
        <v>87446.696248707551</v>
      </c>
      <c r="K12" s="26">
        <f>[1]CHI!K$7</f>
        <v>90864.808952317617</v>
      </c>
      <c r="L12" s="26">
        <f>[1]CHI!L$7</f>
        <v>92546.553350410773</v>
      </c>
      <c r="M12" s="26">
        <f>[1]CHI!M$7</f>
        <v>93434.807468735176</v>
      </c>
      <c r="N12" s="26">
        <f>[1]CHI!N$7</f>
        <v>93180.143713307232</v>
      </c>
      <c r="O12" s="26">
        <f>[1]CHI!O$7</f>
        <v>91055.884175700819</v>
      </c>
      <c r="P12" s="26">
        <f>[1]CHI!P$7</f>
        <v>93689.679429286101</v>
      </c>
      <c r="Q12" s="26">
        <f>[1]CHI!Q$7</f>
        <v>145764.97474443159</v>
      </c>
      <c r="R12" s="26">
        <f>[1]CHI!R$7</f>
        <v>144844.29169693711</v>
      </c>
      <c r="S12" s="26">
        <f>[1]CHI!S$7</f>
        <v>145173.88194124561</v>
      </c>
      <c r="T12" s="26">
        <f>[1]CHI!T$7</f>
        <v>159098.08189066889</v>
      </c>
      <c r="U12" s="26">
        <f>[1]CHI!U$7</f>
        <v>163438.79388838739</v>
      </c>
      <c r="V12" s="26">
        <f>[1]CHI!V$7</f>
        <v>177659.30021517019</v>
      </c>
      <c r="W12" s="26">
        <f>[1]CHI!W$7</f>
        <v>198463.9900919245</v>
      </c>
    </row>
    <row r="13" spans="1:23" ht="12" customHeight="1" x14ac:dyDescent="0.35">
      <c r="A13" s="6" t="s">
        <v>10</v>
      </c>
      <c r="B13" s="27">
        <f>[1]NMM!B$3</f>
        <v>83102.523023900692</v>
      </c>
      <c r="C13" s="27">
        <f>[1]NMM!C$3</f>
        <v>81900.153487304793</v>
      </c>
      <c r="D13" s="27">
        <f>[1]NMM!D$3</f>
        <v>81119.792120644517</v>
      </c>
      <c r="E13" s="27">
        <f>[1]NMM!E$3</f>
        <v>78314.095199452058</v>
      </c>
      <c r="F13" s="27">
        <f>[1]NMM!F$3</f>
        <v>78281.43824008209</v>
      </c>
      <c r="G13" s="27">
        <f>[1]NMM!G$3</f>
        <v>78526.001312601264</v>
      </c>
      <c r="H13" s="27">
        <f>[1]NMM!H$3</f>
        <v>81432.880638308037</v>
      </c>
      <c r="I13" s="27">
        <f>[1]NMM!I$3</f>
        <v>85839.803375459349</v>
      </c>
      <c r="J13" s="27">
        <f>[1]NMM!J$3</f>
        <v>80419.180085911328</v>
      </c>
      <c r="K13" s="27">
        <f>[1]NMM!K$3</f>
        <v>66831.351590405931</v>
      </c>
      <c r="L13" s="27">
        <f>[1]NMM!L$3</f>
        <v>64899.202043782025</v>
      </c>
      <c r="M13" s="27">
        <f>[1]NMM!M$3</f>
        <v>65539.932794292879</v>
      </c>
      <c r="N13" s="27">
        <f>[1]NMM!N$3</f>
        <v>61913.536712116715</v>
      </c>
      <c r="O13" s="27">
        <f>[1]NMM!O$3</f>
        <v>60197.319950947072</v>
      </c>
      <c r="P13" s="27">
        <f>[1]NMM!P$3</f>
        <v>62236.836004087469</v>
      </c>
      <c r="Q13" s="27">
        <f>[1]NMM!Q$3</f>
        <v>62435.099999999991</v>
      </c>
      <c r="R13" s="27">
        <f>[1]NMM!R$3</f>
        <v>65121.844378480797</v>
      </c>
      <c r="S13" s="27">
        <f>[1]NMM!S$3</f>
        <v>65606.262303498195</v>
      </c>
      <c r="T13" s="27">
        <f>[1]NMM!T$3</f>
        <v>67438.680263810849</v>
      </c>
      <c r="U13" s="27">
        <f>[1]NMM!U$3</f>
        <v>69219.309764854261</v>
      </c>
      <c r="V13" s="27">
        <f>[1]NMM!V$3</f>
        <v>65652.145924005061</v>
      </c>
      <c r="W13" s="27">
        <f>[1]NMM!W$3</f>
        <v>68801.680322362809</v>
      </c>
    </row>
    <row r="14" spans="1:23" ht="12" customHeight="1" x14ac:dyDescent="0.35">
      <c r="A14" s="7" t="s">
        <v>11</v>
      </c>
      <c r="B14" s="26">
        <f>[1]NMM!B$4</f>
        <v>35196.743127138361</v>
      </c>
      <c r="C14" s="26">
        <f>[1]NMM!C$4</f>
        <v>34087.492210248864</v>
      </c>
      <c r="D14" s="26">
        <f>[1]NMM!D$4</f>
        <v>34295.295941851073</v>
      </c>
      <c r="E14" s="26">
        <f>[1]NMM!E$4</f>
        <v>32659.044641054781</v>
      </c>
      <c r="F14" s="26">
        <f>[1]NMM!F$4</f>
        <v>32888.344302408252</v>
      </c>
      <c r="G14" s="26">
        <f>[1]NMM!G$4</f>
        <v>32140.666703245421</v>
      </c>
      <c r="H14" s="26">
        <f>[1]NMM!H$4</f>
        <v>37443.880459033317</v>
      </c>
      <c r="I14" s="26">
        <f>[1]NMM!I$4</f>
        <v>38496.600132115564</v>
      </c>
      <c r="J14" s="26">
        <f>[1]NMM!J$4</f>
        <v>35289.1310675122</v>
      </c>
      <c r="K14" s="26">
        <f>[1]NMM!K$4</f>
        <v>30345.833905075171</v>
      </c>
      <c r="L14" s="26">
        <f>[1]NMM!L$4</f>
        <v>26604.077790568481</v>
      </c>
      <c r="M14" s="26">
        <f>[1]NMM!M$4</f>
        <v>26736.202180668759</v>
      </c>
      <c r="N14" s="26">
        <f>[1]NMM!N$4</f>
        <v>24830.91238725945</v>
      </c>
      <c r="O14" s="26">
        <f>[1]NMM!O$4</f>
        <v>23673.55418270583</v>
      </c>
      <c r="P14" s="26">
        <f>[1]NMM!P$4</f>
        <v>24642.291510152379</v>
      </c>
      <c r="Q14" s="26">
        <f>[1]NMM!Q$4</f>
        <v>24464.92947467657</v>
      </c>
      <c r="R14" s="26">
        <f>[1]NMM!R$4</f>
        <v>25179.112401502829</v>
      </c>
      <c r="S14" s="26">
        <f>[1]NMM!S$4</f>
        <v>25756.70491742995</v>
      </c>
      <c r="T14" s="26">
        <f>[1]NMM!T$4</f>
        <v>26657.578286546908</v>
      </c>
      <c r="U14" s="26">
        <f>[1]NMM!U$4</f>
        <v>27761.76954289489</v>
      </c>
      <c r="V14" s="26">
        <f>[1]NMM!V$4</f>
        <v>27876.163385500291</v>
      </c>
      <c r="W14" s="26">
        <f>[1]NMM!W$4</f>
        <v>28724.57974685447</v>
      </c>
    </row>
    <row r="15" spans="1:23" ht="12" customHeight="1" x14ac:dyDescent="0.35">
      <c r="A15" s="7" t="s">
        <v>12</v>
      </c>
      <c r="B15" s="26">
        <f>[1]NMM!B$5</f>
        <v>28926.048809613061</v>
      </c>
      <c r="C15" s="26">
        <f>[1]NMM!C$5</f>
        <v>28863.7030173569</v>
      </c>
      <c r="D15" s="26">
        <f>[1]NMM!D$5</f>
        <v>27823.621539547519</v>
      </c>
      <c r="E15" s="26">
        <f>[1]NMM!E$5</f>
        <v>27820.102712793148</v>
      </c>
      <c r="F15" s="26">
        <f>[1]NMM!F$5</f>
        <v>27906.589178024351</v>
      </c>
      <c r="G15" s="26">
        <f>[1]NMM!G$5</f>
        <v>29329.08237037676</v>
      </c>
      <c r="H15" s="26">
        <f>[1]NMM!H$5</f>
        <v>25891.047988914968</v>
      </c>
      <c r="I15" s="26">
        <f>[1]NMM!I$5</f>
        <v>28751.896089563299</v>
      </c>
      <c r="J15" s="26">
        <f>[1]NMM!J$5</f>
        <v>27666.319354715259</v>
      </c>
      <c r="K15" s="26">
        <f>[1]NMM!K$5</f>
        <v>22285.8423027463</v>
      </c>
      <c r="L15" s="26">
        <f>[1]NMM!L$5</f>
        <v>22917.30444474224</v>
      </c>
      <c r="M15" s="26">
        <f>[1]NMM!M$5</f>
        <v>23169.788288042291</v>
      </c>
      <c r="N15" s="26">
        <f>[1]NMM!N$5</f>
        <v>22171.397506840349</v>
      </c>
      <c r="O15" s="26">
        <f>[1]NMM!O$5</f>
        <v>21869.390445108391</v>
      </c>
      <c r="P15" s="26">
        <f>[1]NMM!P$5</f>
        <v>22793.57695193178</v>
      </c>
      <c r="Q15" s="26">
        <f>[1]NMM!Q$5</f>
        <v>22814.434492528591</v>
      </c>
      <c r="R15" s="26">
        <f>[1]NMM!R$5</f>
        <v>23971.911574424012</v>
      </c>
      <c r="S15" s="26">
        <f>[1]NMM!S$5</f>
        <v>23500.586896440109</v>
      </c>
      <c r="T15" s="26">
        <f>[1]NMM!T$5</f>
        <v>23703.387749819449</v>
      </c>
      <c r="U15" s="26">
        <f>[1]NMM!U$5</f>
        <v>24368.55134483322</v>
      </c>
      <c r="V15" s="26">
        <f>[1]NMM!V$5</f>
        <v>22438.889355426822</v>
      </c>
      <c r="W15" s="26">
        <f>[1]NMM!W$5</f>
        <v>23947.256761015338</v>
      </c>
    </row>
    <row r="16" spans="1:23" ht="12" customHeight="1" x14ac:dyDescent="0.35">
      <c r="A16" s="7" t="s">
        <v>13</v>
      </c>
      <c r="B16" s="26">
        <f>[1]NMM!B$6</f>
        <v>18979.731087149259</v>
      </c>
      <c r="C16" s="26">
        <f>[1]NMM!C$6</f>
        <v>18948.958259699029</v>
      </c>
      <c r="D16" s="26">
        <f>[1]NMM!D$6</f>
        <v>19000.874639245929</v>
      </c>
      <c r="E16" s="26">
        <f>[1]NMM!E$6</f>
        <v>17834.947845604129</v>
      </c>
      <c r="F16" s="26">
        <f>[1]NMM!F$6</f>
        <v>17486.504759649481</v>
      </c>
      <c r="G16" s="26">
        <f>[1]NMM!G$6</f>
        <v>17056.252238979079</v>
      </c>
      <c r="H16" s="26">
        <f>[1]NMM!H$6</f>
        <v>18097.952190359742</v>
      </c>
      <c r="I16" s="26">
        <f>[1]NMM!I$6</f>
        <v>18591.30715378049</v>
      </c>
      <c r="J16" s="26">
        <f>[1]NMM!J$6</f>
        <v>17463.72966368388</v>
      </c>
      <c r="K16" s="26">
        <f>[1]NMM!K$6</f>
        <v>14199.675382584461</v>
      </c>
      <c r="L16" s="26">
        <f>[1]NMM!L$6</f>
        <v>15377.8198084713</v>
      </c>
      <c r="M16" s="26">
        <f>[1]NMM!M$6</f>
        <v>15633.94232558182</v>
      </c>
      <c r="N16" s="26">
        <f>[1]NMM!N$6</f>
        <v>14911.22681801691</v>
      </c>
      <c r="O16" s="26">
        <f>[1]NMM!O$6</f>
        <v>14654.37532313285</v>
      </c>
      <c r="P16" s="26">
        <f>[1]NMM!P$6</f>
        <v>14800.967542003311</v>
      </c>
      <c r="Q16" s="26">
        <f>[1]NMM!Q$6</f>
        <v>15155.73603279483</v>
      </c>
      <c r="R16" s="26">
        <f>[1]NMM!R$6</f>
        <v>15970.820402553951</v>
      </c>
      <c r="S16" s="26">
        <f>[1]NMM!S$6</f>
        <v>16348.970489628129</v>
      </c>
      <c r="T16" s="26">
        <f>[1]NMM!T$6</f>
        <v>17077.7142274445</v>
      </c>
      <c r="U16" s="26">
        <f>[1]NMM!U$6</f>
        <v>17088.98887712615</v>
      </c>
      <c r="V16" s="26">
        <f>[1]NMM!V$6</f>
        <v>15337.093183077939</v>
      </c>
      <c r="W16" s="26">
        <f>[1]NMM!W$6</f>
        <v>16129.843814493001</v>
      </c>
    </row>
    <row r="17" spans="1:23" ht="12" customHeight="1" x14ac:dyDescent="0.35">
      <c r="A17" s="6" t="s">
        <v>14</v>
      </c>
      <c r="B17" s="27">
        <f>[1]PPA!B$3</f>
        <v>102266.93474442216</v>
      </c>
      <c r="C17" s="27">
        <f>[1]PPA!C$3</f>
        <v>102223.72452620308</v>
      </c>
      <c r="D17" s="27">
        <f>[1]PPA!D$3</f>
        <v>98398.675120163884</v>
      </c>
      <c r="E17" s="27">
        <f>[1]PPA!E$3</f>
        <v>91628.116379127401</v>
      </c>
      <c r="F17" s="27">
        <f>[1]PPA!F$3</f>
        <v>91118.192800817487</v>
      </c>
      <c r="G17" s="27">
        <f>[1]PPA!G$3</f>
        <v>88785.749421314598</v>
      </c>
      <c r="H17" s="27">
        <f>[1]PPA!H$3</f>
        <v>88766.538006603078</v>
      </c>
      <c r="I17" s="27">
        <f>[1]PPA!I$3</f>
        <v>88320.331679067109</v>
      </c>
      <c r="J17" s="27">
        <f>[1]PPA!J$3</f>
        <v>81830.761216564046</v>
      </c>
      <c r="K17" s="27">
        <f>[1]PPA!K$3</f>
        <v>73686.302646395634</v>
      </c>
      <c r="L17" s="27">
        <f>[1]PPA!L$3</f>
        <v>74678.486841809528</v>
      </c>
      <c r="M17" s="27">
        <f>[1]PPA!M$3</f>
        <v>74257.053199031696</v>
      </c>
      <c r="N17" s="27">
        <f>[1]PPA!N$3</f>
        <v>72001.318629841961</v>
      </c>
      <c r="O17" s="27">
        <f>[1]PPA!O$3</f>
        <v>68584.705135404831</v>
      </c>
      <c r="P17" s="27">
        <f>[1]PPA!P$3</f>
        <v>69587.873021616455</v>
      </c>
      <c r="Q17" s="27">
        <f>[1]PPA!Q$3</f>
        <v>69849.8</v>
      </c>
      <c r="R17" s="27">
        <f>[1]PPA!R$3</f>
        <v>70622.578129979956</v>
      </c>
      <c r="S17" s="27">
        <f>[1]PPA!S$3</f>
        <v>70124.090407309443</v>
      </c>
      <c r="T17" s="27">
        <f>[1]PPA!T$3</f>
        <v>71442.09664446277</v>
      </c>
      <c r="U17" s="27">
        <f>[1]PPA!U$3</f>
        <v>70516.38381107738</v>
      </c>
      <c r="V17" s="27">
        <f>[1]PPA!V$3</f>
        <v>64588.525769312924</v>
      </c>
      <c r="W17" s="27">
        <f>[1]PPA!W$3</f>
        <v>64997.424551010918</v>
      </c>
    </row>
    <row r="18" spans="1:23" ht="12" customHeight="1" x14ac:dyDescent="0.35">
      <c r="A18" s="7" t="s">
        <v>15</v>
      </c>
      <c r="B18" s="26">
        <f>[1]PPA!B$5</f>
        <v>3836.0168956676248</v>
      </c>
      <c r="C18" s="26">
        <f>[1]PPA!C$5</f>
        <v>3726.9417361073852</v>
      </c>
      <c r="D18" s="26">
        <f>[1]PPA!D$5</f>
        <v>3451.5806651715088</v>
      </c>
      <c r="E18" s="26">
        <f>[1]PPA!E$5</f>
        <v>3226.419496996105</v>
      </c>
      <c r="F18" s="26">
        <f>[1]PPA!F$5</f>
        <v>3027.5179943753528</v>
      </c>
      <c r="G18" s="26">
        <f>[1]PPA!G$5</f>
        <v>2838.9293087774759</v>
      </c>
      <c r="H18" s="26">
        <f>[1]PPA!H$5</f>
        <v>2864.5393752805062</v>
      </c>
      <c r="I18" s="26">
        <f>[1]PPA!I$5</f>
        <v>2872.6666217941929</v>
      </c>
      <c r="J18" s="26">
        <f>[1]PPA!J$5</f>
        <v>2492.3242571084261</v>
      </c>
      <c r="K18" s="26">
        <f>[1]PPA!K$5</f>
        <v>1639.208110100134</v>
      </c>
      <c r="L18" s="26">
        <f>[1]PPA!L$5</f>
        <v>2900.972987869749</v>
      </c>
      <c r="M18" s="26">
        <f>[1]PPA!M$5</f>
        <v>2611.831374331583</v>
      </c>
      <c r="N18" s="26">
        <f>[1]PPA!N$5</f>
        <v>2235.775977911695</v>
      </c>
      <c r="O18" s="26">
        <f>[1]PPA!O$5</f>
        <v>2327.0318024450739</v>
      </c>
      <c r="P18" s="26">
        <f>[1]PPA!P$5</f>
        <v>2579.5008171484469</v>
      </c>
      <c r="Q18" s="26">
        <f>[1]PPA!Q$5</f>
        <v>2892.5080319003359</v>
      </c>
      <c r="R18" s="26">
        <f>[1]PPA!R$5</f>
        <v>2800.4038210180252</v>
      </c>
      <c r="S18" s="26">
        <f>[1]PPA!S$5</f>
        <v>2927.74322275343</v>
      </c>
      <c r="T18" s="26">
        <f>[1]PPA!T$5</f>
        <v>3444.2698515978882</v>
      </c>
      <c r="U18" s="26">
        <f>[1]PPA!U$5</f>
        <v>2808.590377691864</v>
      </c>
      <c r="V18" s="26">
        <f>[1]PPA!V$5</f>
        <v>2331.858726253673</v>
      </c>
      <c r="W18" s="26">
        <f>[1]PPA!W$5</f>
        <v>2312.9137658340828</v>
      </c>
    </row>
    <row r="19" spans="1:23" ht="12" customHeight="1" x14ac:dyDescent="0.35">
      <c r="A19" s="7" t="s">
        <v>16</v>
      </c>
      <c r="B19" s="26">
        <f>[1]PPA!B$6</f>
        <v>50660.307362693333</v>
      </c>
      <c r="C19" s="26">
        <f>[1]PPA!C$6</f>
        <v>51606.380272383518</v>
      </c>
      <c r="D19" s="26">
        <f>[1]PPA!D$6</f>
        <v>49260.601255134767</v>
      </c>
      <c r="E19" s="26">
        <f>[1]PPA!E$6</f>
        <v>46159.853015912071</v>
      </c>
      <c r="F19" s="26">
        <f>[1]PPA!F$6</f>
        <v>45559.870657473293</v>
      </c>
      <c r="G19" s="26">
        <f>[1]PPA!G$6</f>
        <v>42938.710485240183</v>
      </c>
      <c r="H19" s="26">
        <f>[1]PPA!H$6</f>
        <v>43131.988677766778</v>
      </c>
      <c r="I19" s="26">
        <f>[1]PPA!I$6</f>
        <v>43718.277522563993</v>
      </c>
      <c r="J19" s="26">
        <f>[1]PPA!J$6</f>
        <v>39913.442274932801</v>
      </c>
      <c r="K19" s="26">
        <f>[1]PPA!K$6</f>
        <v>37407.414811337723</v>
      </c>
      <c r="L19" s="26">
        <f>[1]PPA!L$6</f>
        <v>37452.834952710109</v>
      </c>
      <c r="M19" s="26">
        <f>[1]PPA!M$6</f>
        <v>38384.153339072123</v>
      </c>
      <c r="N19" s="26">
        <f>[1]PPA!N$6</f>
        <v>38378.478462379877</v>
      </c>
      <c r="O19" s="26">
        <f>[1]PPA!O$6</f>
        <v>36938.255301513833</v>
      </c>
      <c r="P19" s="26">
        <f>[1]PPA!P$6</f>
        <v>38395.482702722009</v>
      </c>
      <c r="Q19" s="26">
        <f>[1]PPA!Q$6</f>
        <v>39223.091968099667</v>
      </c>
      <c r="R19" s="26">
        <f>[1]PPA!R$6</f>
        <v>39955.666913442939</v>
      </c>
      <c r="S19" s="26">
        <f>[1]PPA!S$6</f>
        <v>40179.723707755657</v>
      </c>
      <c r="T19" s="26">
        <f>[1]PPA!T$6</f>
        <v>42117.535494204683</v>
      </c>
      <c r="U19" s="26">
        <f>[1]PPA!U$6</f>
        <v>42504.965937242589</v>
      </c>
      <c r="V19" s="26">
        <f>[1]PPA!V$6</f>
        <v>39640.251601412972</v>
      </c>
      <c r="W19" s="26">
        <f>[1]PPA!W$6</f>
        <v>39759.80543088245</v>
      </c>
    </row>
    <row r="20" spans="1:23" ht="12" customHeight="1" x14ac:dyDescent="0.35">
      <c r="A20" s="7" t="s">
        <v>17</v>
      </c>
      <c r="B20" s="26">
        <f>[1]PPA!B$7</f>
        <v>47770.610486061203</v>
      </c>
      <c r="C20" s="26">
        <f>[1]PPA!C$7</f>
        <v>46890.402517712173</v>
      </c>
      <c r="D20" s="26">
        <f>[1]PPA!D$7</f>
        <v>45686.493199857607</v>
      </c>
      <c r="E20" s="26">
        <f>[1]PPA!E$7</f>
        <v>42241.84386621922</v>
      </c>
      <c r="F20" s="26">
        <f>[1]PPA!F$7</f>
        <v>42530.80414896884</v>
      </c>
      <c r="G20" s="26">
        <f>[1]PPA!G$7</f>
        <v>43008.10962729693</v>
      </c>
      <c r="H20" s="26">
        <f>[1]PPA!H$7</f>
        <v>42770.009953555797</v>
      </c>
      <c r="I20" s="26">
        <f>[1]PPA!I$7</f>
        <v>41729.38753470892</v>
      </c>
      <c r="J20" s="26">
        <f>[1]PPA!J$7</f>
        <v>39424.994684522811</v>
      </c>
      <c r="K20" s="26">
        <f>[1]PPA!K$7</f>
        <v>34639.679724957787</v>
      </c>
      <c r="L20" s="26">
        <f>[1]PPA!L$7</f>
        <v>34324.678901229679</v>
      </c>
      <c r="M20" s="26">
        <f>[1]PPA!M$7</f>
        <v>33261.068485627991</v>
      </c>
      <c r="N20" s="26">
        <f>[1]PPA!N$7</f>
        <v>31387.06418955038</v>
      </c>
      <c r="O20" s="26">
        <f>[1]PPA!O$7</f>
        <v>29319.41803144593</v>
      </c>
      <c r="P20" s="26">
        <f>[1]PPA!P$7</f>
        <v>28612.889501746002</v>
      </c>
      <c r="Q20" s="26">
        <f>[1]PPA!Q$7</f>
        <v>27734.2</v>
      </c>
      <c r="R20" s="26">
        <f>[1]PPA!R$7</f>
        <v>27866.507395518998</v>
      </c>
      <c r="S20" s="26">
        <f>[1]PPA!S$7</f>
        <v>27016.62347680036</v>
      </c>
      <c r="T20" s="26">
        <f>[1]PPA!T$7</f>
        <v>25880.291298660199</v>
      </c>
      <c r="U20" s="26">
        <f>[1]PPA!U$7</f>
        <v>25202.827496142931</v>
      </c>
      <c r="V20" s="26">
        <f>[1]PPA!V$7</f>
        <v>22616.415441646281</v>
      </c>
      <c r="W20" s="26">
        <f>[1]PPA!W$7</f>
        <v>22924.70535429438</v>
      </c>
    </row>
    <row r="21" spans="1:23" ht="12" customHeight="1" x14ac:dyDescent="0.35">
      <c r="A21" s="8" t="s">
        <v>18</v>
      </c>
      <c r="B21" s="28">
        <f>[1]FBT!B$3</f>
        <v>208952.20180473241</v>
      </c>
      <c r="C21" s="28">
        <f>[1]FBT!C$3</f>
        <v>211827.24054880411</v>
      </c>
      <c r="D21" s="28">
        <f>[1]FBT!D$3</f>
        <v>215633.03696090929</v>
      </c>
      <c r="E21" s="28">
        <f>[1]FBT!E$3</f>
        <v>216594.91211557441</v>
      </c>
      <c r="F21" s="28">
        <f>[1]FBT!F$3</f>
        <v>219048.6263626393</v>
      </c>
      <c r="G21" s="28">
        <f>[1]FBT!G$3</f>
        <v>216546.2741676672</v>
      </c>
      <c r="H21" s="28">
        <f>[1]FBT!H$3</f>
        <v>213861.76983858109</v>
      </c>
      <c r="I21" s="28">
        <f>[1]FBT!I$3</f>
        <v>217217.69008836269</v>
      </c>
      <c r="J21" s="28">
        <f>[1]FBT!J$3</f>
        <v>214855.6756222914</v>
      </c>
      <c r="K21" s="28">
        <f>[1]FBT!K$3</f>
        <v>213807.58166139899</v>
      </c>
      <c r="L21" s="28">
        <f>[1]FBT!L$3</f>
        <v>214795.03596897531</v>
      </c>
      <c r="M21" s="28">
        <f>[1]FBT!M$3</f>
        <v>216449.2027307766</v>
      </c>
      <c r="N21" s="28">
        <f>[1]FBT!N$3</f>
        <v>217013.4857065611</v>
      </c>
      <c r="O21" s="28">
        <f>[1]FBT!O$3</f>
        <v>217959.5205214422</v>
      </c>
      <c r="P21" s="28">
        <f>[1]FBT!P$3</f>
        <v>224040.601021707</v>
      </c>
      <c r="Q21" s="28">
        <f>[1]FBT!Q$3</f>
        <v>229714.2</v>
      </c>
      <c r="R21" s="28">
        <f>[1]FBT!R$3</f>
        <v>234383.50473402269</v>
      </c>
      <c r="S21" s="28">
        <f>[1]FBT!S$3</f>
        <v>234928.49710076541</v>
      </c>
      <c r="T21" s="28">
        <f>[1]FBT!T$3</f>
        <v>236469.68500669979</v>
      </c>
      <c r="U21" s="28">
        <f>[1]FBT!U$3</f>
        <v>238194.58758428961</v>
      </c>
      <c r="V21" s="28">
        <f>[1]FBT!V$3</f>
        <v>232367.29321775431</v>
      </c>
      <c r="W21" s="28">
        <f>[1]FBT!W$3</f>
        <v>229494.03909983649</v>
      </c>
    </row>
    <row r="22" spans="1:23" ht="12" customHeight="1" x14ac:dyDescent="0.35">
      <c r="A22" s="5" t="s">
        <v>19</v>
      </c>
      <c r="B22" s="26">
        <f>[1]TRE!B$3</f>
        <v>184730.92965160121</v>
      </c>
      <c r="C22" s="26">
        <f>[1]TRE!C$3</f>
        <v>193947.10201477641</v>
      </c>
      <c r="D22" s="26">
        <f>[1]TRE!D$3</f>
        <v>194249.0323489455</v>
      </c>
      <c r="E22" s="26">
        <f>[1]TRE!E$3</f>
        <v>197587.54149659199</v>
      </c>
      <c r="F22" s="26">
        <f>[1]TRE!F$3</f>
        <v>196620.47119695201</v>
      </c>
      <c r="G22" s="26">
        <f>[1]TRE!G$3</f>
        <v>196350.5715481104</v>
      </c>
      <c r="H22" s="26">
        <f>[1]TRE!H$3</f>
        <v>210530.75708566821</v>
      </c>
      <c r="I22" s="26">
        <f>[1]TRE!I$3</f>
        <v>219816.87832345409</v>
      </c>
      <c r="J22" s="26">
        <f>[1]TRE!J$3</f>
        <v>205893.42301663529</v>
      </c>
      <c r="K22" s="26">
        <f>[1]TRE!K$3</f>
        <v>168487.09432379709</v>
      </c>
      <c r="L22" s="26">
        <f>[1]TRE!L$3</f>
        <v>206452.3082363646</v>
      </c>
      <c r="M22" s="26">
        <f>[1]TRE!M$3</f>
        <v>220702.89525825129</v>
      </c>
      <c r="N22" s="26">
        <f>[1]TRE!N$3</f>
        <v>216832.21509234159</v>
      </c>
      <c r="O22" s="26">
        <f>[1]TRE!O$3</f>
        <v>220796.61239328311</v>
      </c>
      <c r="P22" s="26">
        <f>[1]TRE!P$3</f>
        <v>240376.3639571637</v>
      </c>
      <c r="Q22" s="26">
        <f>[1]TRE!Q$3</f>
        <v>254354.6</v>
      </c>
      <c r="R22" s="26">
        <f>[1]TRE!R$3</f>
        <v>272228.84896915709</v>
      </c>
      <c r="S22" s="26">
        <f>[1]TRE!S$3</f>
        <v>283808.11213137727</v>
      </c>
      <c r="T22" s="26">
        <f>[1]TRE!T$3</f>
        <v>281001.05896667222</v>
      </c>
      <c r="U22" s="26">
        <f>[1]TRE!U$3</f>
        <v>281001.04305100709</v>
      </c>
      <c r="V22" s="26">
        <f>[1]TRE!V$3</f>
        <v>230571.63993552001</v>
      </c>
      <c r="W22" s="26">
        <f>[1]TRE!W$3</f>
        <v>245089.0848580719</v>
      </c>
    </row>
    <row r="23" spans="1:23" ht="12" customHeight="1" x14ac:dyDescent="0.35">
      <c r="A23" s="5" t="s">
        <v>20</v>
      </c>
      <c r="B23" s="26">
        <f>[1]MAE!B$3</f>
        <v>530368.93316041469</v>
      </c>
      <c r="C23" s="26">
        <f>[1]MAE!C$3</f>
        <v>521725.08834846999</v>
      </c>
      <c r="D23" s="26">
        <f>[1]MAE!D$3</f>
        <v>507363.14935852349</v>
      </c>
      <c r="E23" s="26">
        <f>[1]MAE!E$3</f>
        <v>502102.51249155949</v>
      </c>
      <c r="F23" s="26">
        <f>[1]MAE!F$3</f>
        <v>517713.14359723008</v>
      </c>
      <c r="G23" s="26">
        <f>[1]MAE!G$3</f>
        <v>523898.57663143758</v>
      </c>
      <c r="H23" s="26">
        <f>[1]MAE!H$3</f>
        <v>558963.23944405245</v>
      </c>
      <c r="I23" s="26">
        <f>[1]MAE!I$3</f>
        <v>587943.8361339171</v>
      </c>
      <c r="J23" s="26">
        <f>[1]MAE!J$3</f>
        <v>582346.13094670197</v>
      </c>
      <c r="K23" s="26">
        <f>[1]MAE!K$3</f>
        <v>476307.14344496722</v>
      </c>
      <c r="L23" s="26">
        <f>[1]MAE!L$3</f>
        <v>518593.22979366581</v>
      </c>
      <c r="M23" s="26">
        <f>[1]MAE!M$3</f>
        <v>545971.14132986253</v>
      </c>
      <c r="N23" s="26">
        <f>[1]MAE!N$3</f>
        <v>534308.00460499455</v>
      </c>
      <c r="O23" s="26">
        <f>[1]MAE!O$3</f>
        <v>527526.51731021865</v>
      </c>
      <c r="P23" s="26">
        <f>[1]MAE!P$3</f>
        <v>540617.83434036444</v>
      </c>
      <c r="Q23" s="26">
        <f>[1]MAE!Q$3</f>
        <v>546672.64778807689</v>
      </c>
      <c r="R23" s="26">
        <f>[1]MAE!R$3</f>
        <v>557910.79079072329</v>
      </c>
      <c r="S23" s="26">
        <f>[1]MAE!S$3</f>
        <v>573302.51274662779</v>
      </c>
      <c r="T23" s="26">
        <f>[1]MAE!T$3</f>
        <v>585323.77363899536</v>
      </c>
      <c r="U23" s="26">
        <f>[1]MAE!U$3</f>
        <v>583333.08801664691</v>
      </c>
      <c r="V23" s="26">
        <f>[1]MAE!V$3</f>
        <v>537387.61373900354</v>
      </c>
      <c r="W23" s="26">
        <f>[1]MAE!W$3</f>
        <v>582681.33828187198</v>
      </c>
    </row>
    <row r="24" spans="1:23" ht="12" customHeight="1" x14ac:dyDescent="0.35">
      <c r="A24" s="5" t="s">
        <v>21</v>
      </c>
      <c r="B24" s="26">
        <f>[1]TEL!B$3</f>
        <v>94515.906644736853</v>
      </c>
      <c r="C24" s="26">
        <f>[1]TEL!C$3</f>
        <v>94538.194791471469</v>
      </c>
      <c r="D24" s="26">
        <f>[1]TEL!D$3</f>
        <v>90429.905474966508</v>
      </c>
      <c r="E24" s="26">
        <f>[1]TEL!E$3</f>
        <v>85771.891854971051</v>
      </c>
      <c r="F24" s="26">
        <f>[1]TEL!F$3</f>
        <v>81650.685471928635</v>
      </c>
      <c r="G24" s="26">
        <f>[1]TEL!G$3</f>
        <v>76713.903599334211</v>
      </c>
      <c r="H24" s="26">
        <f>[1]TEL!H$3</f>
        <v>75545.395009004962</v>
      </c>
      <c r="I24" s="26">
        <f>[1]TEL!I$3</f>
        <v>76023.827745405797</v>
      </c>
      <c r="J24" s="26">
        <f>[1]TEL!J$3</f>
        <v>71876.526185114417</v>
      </c>
      <c r="K24" s="26">
        <f>[1]TEL!K$3</f>
        <v>61041.575758887913</v>
      </c>
      <c r="L24" s="26">
        <f>[1]TEL!L$3</f>
        <v>64075.639152276373</v>
      </c>
      <c r="M24" s="26">
        <f>[1]TEL!M$3</f>
        <v>68021.994407371283</v>
      </c>
      <c r="N24" s="26">
        <f>[1]TEL!N$3</f>
        <v>63786.417797252478</v>
      </c>
      <c r="O24" s="26">
        <f>[1]TEL!O$3</f>
        <v>63159.849298623507</v>
      </c>
      <c r="P24" s="26">
        <f>[1]TEL!P$3</f>
        <v>64334.579840322011</v>
      </c>
      <c r="Q24" s="26">
        <f>[1]TEL!Q$3</f>
        <v>64583.499999999993</v>
      </c>
      <c r="R24" s="26">
        <f>[1]TEL!R$3</f>
        <v>65276.392469425809</v>
      </c>
      <c r="S24" s="26">
        <f>[1]TEL!S$3</f>
        <v>66106.467792740747</v>
      </c>
      <c r="T24" s="26">
        <f>[1]TEL!T$3</f>
        <v>65969.04869974649</v>
      </c>
      <c r="U24" s="26">
        <f>[1]TEL!U$3</f>
        <v>64965.127165543388</v>
      </c>
      <c r="V24" s="26">
        <f>[1]TEL!V$3</f>
        <v>55106.165529239552</v>
      </c>
      <c r="W24" s="26">
        <f>[1]TEL!W$3</f>
        <v>60759.690924492337</v>
      </c>
    </row>
    <row r="25" spans="1:23" ht="12" customHeight="1" x14ac:dyDescent="0.35">
      <c r="A25" s="5" t="s">
        <v>22</v>
      </c>
      <c r="B25" s="26">
        <f>[1]WWP!B$3</f>
        <v>41579.616756122377</v>
      </c>
      <c r="C25" s="26">
        <f>[1]WWP!C$3</f>
        <v>41349.592455131969</v>
      </c>
      <c r="D25" s="26">
        <f>[1]WWP!D$3</f>
        <v>39943.138773995619</v>
      </c>
      <c r="E25" s="26">
        <f>[1]WWP!E$3</f>
        <v>39695.905423708558</v>
      </c>
      <c r="F25" s="26">
        <f>[1]WWP!F$3</f>
        <v>40177.026455451407</v>
      </c>
      <c r="G25" s="26">
        <f>[1]WWP!G$3</f>
        <v>39527.931727599876</v>
      </c>
      <c r="H25" s="26">
        <f>[1]WWP!H$3</f>
        <v>41237.861454214908</v>
      </c>
      <c r="I25" s="26">
        <f>[1]WWP!I$3</f>
        <v>43287.784983568461</v>
      </c>
      <c r="J25" s="26">
        <f>[1]WWP!J$3</f>
        <v>38868.9891473561</v>
      </c>
      <c r="K25" s="26">
        <f>[1]WWP!K$3</f>
        <v>33416.85622909449</v>
      </c>
      <c r="L25" s="26">
        <f>[1]WWP!L$3</f>
        <v>35442.277410819843</v>
      </c>
      <c r="M25" s="26">
        <f>[1]WWP!M$3</f>
        <v>35090.781371396333</v>
      </c>
      <c r="N25" s="26">
        <f>[1]WWP!N$3</f>
        <v>32307.947823464201</v>
      </c>
      <c r="O25" s="26">
        <f>[1]WWP!O$3</f>
        <v>31390.939389116858</v>
      </c>
      <c r="P25" s="26">
        <f>[1]WWP!P$3</f>
        <v>31970.54591582144</v>
      </c>
      <c r="Q25" s="26">
        <f>[1]WWP!Q$3</f>
        <v>33382.199999999997</v>
      </c>
      <c r="R25" s="26">
        <f>[1]WWP!R$3</f>
        <v>33467.603242009383</v>
      </c>
      <c r="S25" s="26">
        <f>[1]WWP!S$3</f>
        <v>34606.533339591813</v>
      </c>
      <c r="T25" s="26">
        <f>[1]WWP!T$3</f>
        <v>35147.647629453568</v>
      </c>
      <c r="U25" s="26">
        <f>[1]WWP!U$3</f>
        <v>35842.785478975748</v>
      </c>
      <c r="V25" s="26">
        <f>[1]WWP!V$3</f>
        <v>35642.34472863876</v>
      </c>
      <c r="W25" s="26">
        <f>[1]WWP!W$3</f>
        <v>43921.250566485913</v>
      </c>
    </row>
    <row r="26" spans="1:23" ht="12" customHeight="1" x14ac:dyDescent="0.35">
      <c r="A26" s="9" t="s">
        <v>23</v>
      </c>
      <c r="B26" s="29">
        <f>[1]OIS!B$3</f>
        <v>733946.8625768132</v>
      </c>
      <c r="C26" s="29">
        <f>[1]OIS!C$3</f>
        <v>746976.19646364066</v>
      </c>
      <c r="D26" s="29">
        <f>[1]OIS!D$3</f>
        <v>752147.03159122285</v>
      </c>
      <c r="E26" s="29">
        <f>[1]OIS!E$3</f>
        <v>758975.93897121248</v>
      </c>
      <c r="F26" s="29">
        <f>[1]OIS!F$3</f>
        <v>786287.53950561909</v>
      </c>
      <c r="G26" s="29">
        <f>[1]OIS!G$3</f>
        <v>810451.10134268913</v>
      </c>
      <c r="H26" s="29">
        <f>[1]OIS!H$3</f>
        <v>866468.97457317507</v>
      </c>
      <c r="I26" s="29">
        <f>[1]OIS!I$3</f>
        <v>893128.3802657848</v>
      </c>
      <c r="J26" s="29">
        <f>[1]OIS!J$3</f>
        <v>908296.73476713768</v>
      </c>
      <c r="K26" s="29">
        <f>[1]OIS!K$3</f>
        <v>835319.2863110631</v>
      </c>
      <c r="L26" s="29">
        <f>[1]OIS!L$3</f>
        <v>811818.09023092757</v>
      </c>
      <c r="M26" s="29">
        <f>[1]OIS!M$3</f>
        <v>818165.85801691876</v>
      </c>
      <c r="N26" s="29">
        <f>[1]OIS!N$3</f>
        <v>794564.09353533457</v>
      </c>
      <c r="O26" s="29">
        <f>[1]OIS!O$3</f>
        <v>768735.05844140076</v>
      </c>
      <c r="P26" s="29">
        <f>[1]OIS!P$3</f>
        <v>764707.08846192528</v>
      </c>
      <c r="Q26" s="29">
        <f>[1]OIS!Q$3</f>
        <v>765873.26704730839</v>
      </c>
      <c r="R26" s="29">
        <f>[1]OIS!R$3</f>
        <v>776064.30201352458</v>
      </c>
      <c r="S26" s="29">
        <f>[1]OIS!S$3</f>
        <v>801464.20950683521</v>
      </c>
      <c r="T26" s="29">
        <f>[1]OIS!T$3</f>
        <v>829321.53470670653</v>
      </c>
      <c r="U26" s="29">
        <f>[1]OIS!U$3</f>
        <v>854939.62139206717</v>
      </c>
      <c r="V26" s="29">
        <f>[1]OIS!V$3</f>
        <v>813623.26382226089</v>
      </c>
      <c r="W26" s="29">
        <f>[1]OIS!W$3</f>
        <v>864911.32540757221</v>
      </c>
    </row>
    <row r="28" spans="1:23" ht="12" customHeight="1" x14ac:dyDescent="0.35">
      <c r="A28" s="23" t="s">
        <v>24</v>
      </c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</row>
    <row r="29" spans="1:23" ht="12" customHeight="1" x14ac:dyDescent="0.35">
      <c r="A29" s="22" t="s">
        <v>25</v>
      </c>
      <c r="B29" s="30">
        <f>[1]ISI!B25+[1]NFM!B43+[1]CHI!B32+[1]NMM!B31+[1]PPA!B32+[1]FBT!B12+[1]TRE!B12+[1]MAE!B12+[1]TEL!B12+[1]WWP!B12+[1]OIS!B12</f>
        <v>269384.1220419007</v>
      </c>
      <c r="C29" s="30">
        <f>[1]ISI!C25+[1]NFM!C43+[1]CHI!C32+[1]NMM!C31+[1]PPA!C32+[1]FBT!C12+[1]TRE!C12+[1]MAE!C12+[1]TEL!C12+[1]WWP!C12+[1]OIS!C12</f>
        <v>268427.73490774358</v>
      </c>
      <c r="D29" s="30">
        <f>[1]ISI!D25+[1]NFM!D43+[1]CHI!D32+[1]NMM!D31+[1]PPA!D32+[1]FBT!D12+[1]TRE!D12+[1]MAE!D12+[1]TEL!D12+[1]WWP!D12+[1]OIS!D12</f>
        <v>268305.00206002104</v>
      </c>
      <c r="E29" s="30">
        <f>[1]ISI!E25+[1]NFM!E43+[1]CHI!E32+[1]NMM!E31+[1]PPA!E32+[1]FBT!E12+[1]TRE!E12+[1]MAE!E12+[1]TEL!E12+[1]WWP!E12+[1]OIS!E12</f>
        <v>275070.63350893365</v>
      </c>
      <c r="F29" s="30">
        <f>[1]ISI!F25+[1]NFM!F43+[1]CHI!F32+[1]NMM!F31+[1]PPA!F32+[1]FBT!F12+[1]TRE!F12+[1]MAE!F12+[1]TEL!F12+[1]WWP!F12+[1]OIS!F12</f>
        <v>274409.77516739746</v>
      </c>
      <c r="G29" s="30">
        <f>[1]ISI!G25+[1]NFM!G43+[1]CHI!G32+[1]NMM!G31+[1]PPA!G32+[1]FBT!G12+[1]TRE!G12+[1]MAE!G12+[1]TEL!G12+[1]WWP!G12+[1]OIS!G12</f>
        <v>274930.28112086147</v>
      </c>
      <c r="H29" s="30">
        <f>[1]ISI!H25+[1]NFM!H43+[1]CHI!H32+[1]NMM!H31+[1]PPA!H32+[1]FBT!H12+[1]TRE!H12+[1]MAE!H12+[1]TEL!H12+[1]WWP!H12+[1]OIS!H12</f>
        <v>269540.865584591</v>
      </c>
      <c r="I29" s="30">
        <f>[1]ISI!I25+[1]NFM!I43+[1]CHI!I32+[1]NMM!I31+[1]PPA!I32+[1]FBT!I12+[1]TRE!I12+[1]MAE!I12+[1]TEL!I12+[1]WWP!I12+[1]OIS!I12</f>
        <v>274240.64951933851</v>
      </c>
      <c r="J29" s="30">
        <f>[1]ISI!J25+[1]NFM!J43+[1]CHI!J32+[1]NMM!J31+[1]PPA!J32+[1]FBT!J12+[1]TRE!J12+[1]MAE!J12+[1]TEL!J12+[1]WWP!J12+[1]OIS!J12</f>
        <v>265072.24574376608</v>
      </c>
      <c r="K29" s="30">
        <f>[1]ISI!K25+[1]NFM!K43+[1]CHI!K32+[1]NMM!K31+[1]PPA!K32+[1]FBT!K12+[1]TRE!K12+[1]MAE!K12+[1]TEL!K12+[1]WWP!K12+[1]OIS!K12</f>
        <v>229181.37420464316</v>
      </c>
      <c r="L29" s="30">
        <f>[1]ISI!L25+[1]NFM!L43+[1]CHI!L32+[1]NMM!L31+[1]PPA!L32+[1]FBT!L12+[1]TRE!L12+[1]MAE!L12+[1]TEL!L12+[1]WWP!L12+[1]OIS!L12</f>
        <v>243878.36844368014</v>
      </c>
      <c r="M29" s="30">
        <f>[1]ISI!M25+[1]NFM!M43+[1]CHI!M32+[1]NMM!M31+[1]PPA!M32+[1]FBT!M12+[1]TRE!M12+[1]MAE!M12+[1]TEL!M12+[1]WWP!M12+[1]OIS!M12</f>
        <v>244386.22132416166</v>
      </c>
      <c r="N29" s="30">
        <f>[1]ISI!N25+[1]NFM!N43+[1]CHI!N32+[1]NMM!N31+[1]PPA!N32+[1]FBT!N12+[1]TRE!N12+[1]MAE!N12+[1]TEL!N12+[1]WWP!N12+[1]OIS!N12</f>
        <v>239836.10679277728</v>
      </c>
      <c r="O29" s="30">
        <f>[1]ISI!O25+[1]NFM!O43+[1]CHI!O32+[1]NMM!O31+[1]PPA!O32+[1]FBT!O12+[1]TRE!O12+[1]MAE!O12+[1]TEL!O12+[1]WWP!O12+[1]OIS!O12</f>
        <v>236914.08761822869</v>
      </c>
      <c r="P29" s="30">
        <f>[1]ISI!P25+[1]NFM!P43+[1]CHI!P32+[1]NMM!P31+[1]PPA!P32+[1]FBT!P12+[1]TRE!P12+[1]MAE!P12+[1]TEL!P12+[1]WWP!P12+[1]OIS!P12</f>
        <v>233441.63912295786</v>
      </c>
      <c r="Q29" s="30">
        <f>[1]ISI!Q25+[1]NFM!Q43+[1]CHI!Q32+[1]NMM!Q31+[1]PPA!Q32+[1]FBT!Q12+[1]TRE!Q12+[1]MAE!Q12+[1]TEL!Q12+[1]WWP!Q12+[1]OIS!Q12</f>
        <v>233475.93740326737</v>
      </c>
      <c r="R29" s="30">
        <f>[1]ISI!R25+[1]NFM!R43+[1]CHI!R32+[1]NMM!R31+[1]PPA!R32+[1]FBT!R12+[1]TRE!R12+[1]MAE!R12+[1]TEL!R12+[1]WWP!R12+[1]OIS!R12</f>
        <v>237760.30068787618</v>
      </c>
      <c r="S29" s="30">
        <f>[1]ISI!S25+[1]NFM!S43+[1]CHI!S32+[1]NMM!S31+[1]PPA!S32+[1]FBT!S12+[1]TRE!S12+[1]MAE!S12+[1]TEL!S12+[1]WWP!S12+[1]OIS!S12</f>
        <v>239973.73955288043</v>
      </c>
      <c r="T29" s="30">
        <f>[1]ISI!T25+[1]NFM!T43+[1]CHI!T32+[1]NMM!T31+[1]PPA!T32+[1]FBT!T12+[1]TRE!T12+[1]MAE!T12+[1]TEL!T12+[1]WWP!T12+[1]OIS!T12</f>
        <v>241772.61891659498</v>
      </c>
      <c r="U29" s="30">
        <f>[1]ISI!U25+[1]NFM!U43+[1]CHI!U32+[1]NMM!U31+[1]PPA!U32+[1]FBT!U12+[1]TRE!U12+[1]MAE!U12+[1]TEL!U12+[1]WWP!U12+[1]OIS!U12</f>
        <v>238971.38658641445</v>
      </c>
      <c r="V29" s="30">
        <f>[1]ISI!V25+[1]NFM!V43+[1]CHI!V32+[1]NMM!V31+[1]PPA!V32+[1]FBT!V12+[1]TRE!V12+[1]MAE!V12+[1]TEL!V12+[1]WWP!V12+[1]OIS!V12</f>
        <v>230303.2716251075</v>
      </c>
      <c r="W29" s="30">
        <f>[1]ISI!W25+[1]NFM!W43+[1]CHI!W32+[1]NMM!W31+[1]PPA!W32+[1]FBT!W12+[1]TRE!W12+[1]MAE!W12+[1]TEL!W12+[1]WWP!W12+[1]OIS!W12</f>
        <v>243631.82459157347</v>
      </c>
    </row>
    <row r="30" spans="1:23" ht="12" customHeight="1" x14ac:dyDescent="0.35">
      <c r="A30" s="10" t="s">
        <v>26</v>
      </c>
      <c r="B30" s="31">
        <f t="shared" ref="B30:W30" si="0">B31+B32</f>
        <v>22810.469303525362</v>
      </c>
      <c r="C30" s="31">
        <f t="shared" si="0"/>
        <v>20365.668056749782</v>
      </c>
      <c r="D30" s="31">
        <f t="shared" si="0"/>
        <v>19108.770851246776</v>
      </c>
      <c r="E30" s="31">
        <f t="shared" si="0"/>
        <v>19743.310748065349</v>
      </c>
      <c r="F30" s="31">
        <f t="shared" si="0"/>
        <v>18499.91908856406</v>
      </c>
      <c r="G30" s="31">
        <f t="shared" si="0"/>
        <v>17673.429578675834</v>
      </c>
      <c r="H30" s="31">
        <f t="shared" si="0"/>
        <v>17620.803095442818</v>
      </c>
      <c r="I30" s="31">
        <f t="shared" si="0"/>
        <v>18226.160705073082</v>
      </c>
      <c r="J30" s="31">
        <f t="shared" si="0"/>
        <v>16835.214445399826</v>
      </c>
      <c r="K30" s="31">
        <f t="shared" si="0"/>
        <v>13351.738950988823</v>
      </c>
      <c r="L30" s="31">
        <f t="shared" si="0"/>
        <v>13490.268701633704</v>
      </c>
      <c r="M30" s="31">
        <f t="shared" si="0"/>
        <v>15011.164918314704</v>
      </c>
      <c r="N30" s="31">
        <f t="shared" si="0"/>
        <v>13931.306706792777</v>
      </c>
      <c r="O30" s="31">
        <f t="shared" si="0"/>
        <v>13153.561822871881</v>
      </c>
      <c r="P30" s="31">
        <f t="shared" si="0"/>
        <v>12837.333619948406</v>
      </c>
      <c r="Q30" s="31">
        <f t="shared" si="0"/>
        <v>13157.662940670678</v>
      </c>
      <c r="R30" s="31">
        <f t="shared" si="0"/>
        <v>13161.297162510748</v>
      </c>
      <c r="S30" s="31">
        <f t="shared" si="0"/>
        <v>13365.87558039553</v>
      </c>
      <c r="T30" s="31">
        <f t="shared" si="0"/>
        <v>12771.385726569217</v>
      </c>
      <c r="U30" s="31">
        <f t="shared" si="0"/>
        <v>11847.406018916594</v>
      </c>
      <c r="V30" s="31">
        <f t="shared" si="0"/>
        <v>11027.445227858983</v>
      </c>
      <c r="W30" s="31">
        <f t="shared" si="0"/>
        <v>10983.431298366293</v>
      </c>
    </row>
    <row r="31" spans="1:23" ht="12" customHeight="1" x14ac:dyDescent="0.35">
      <c r="A31" s="11" t="s">
        <v>27</v>
      </c>
      <c r="B31" s="26">
        <f>[1]ISI!B27+[1]NFM!B44+[1]CHI!B33+[1]NMM!B32+[1]PPA!B33+[1]FBT!B13+[1]TRE!B13+[1]MAE!B13+[1]TEL!B13+[1]WWP!B13+[1]OIS!B13</f>
        <v>18908.225967325878</v>
      </c>
      <c r="C31" s="26">
        <f>[1]ISI!C27+[1]NFM!C44+[1]CHI!C33+[1]NMM!C32+[1]PPA!C33+[1]FBT!C13+[1]TRE!C13+[1]MAE!C13+[1]TEL!C13+[1]WWP!C13+[1]OIS!C13</f>
        <v>17141.663456577815</v>
      </c>
      <c r="D31" s="26">
        <f>[1]ISI!D27+[1]NFM!D44+[1]CHI!D33+[1]NMM!D32+[1]PPA!D33+[1]FBT!D13+[1]TRE!D13+[1]MAE!D13+[1]TEL!D13+[1]WWP!D13+[1]OIS!D13</f>
        <v>15531.269303525367</v>
      </c>
      <c r="E31" s="26">
        <f>[1]ISI!E27+[1]NFM!E44+[1]CHI!E33+[1]NMM!E32+[1]PPA!E33+[1]FBT!E13+[1]TRE!E13+[1]MAE!E13+[1]TEL!E13+[1]WWP!E13+[1]OIS!E13</f>
        <v>15622.626655202062</v>
      </c>
      <c r="F31" s="26">
        <f>[1]ISI!F27+[1]NFM!F44+[1]CHI!F33+[1]NMM!F32+[1]PPA!F33+[1]FBT!F13+[1]TRE!F13+[1]MAE!F13+[1]TEL!F13+[1]WWP!F13+[1]OIS!F13</f>
        <v>15536.37437661221</v>
      </c>
      <c r="G31" s="26">
        <f>[1]ISI!G27+[1]NFM!G44+[1]CHI!G33+[1]NMM!G32+[1]PPA!G33+[1]FBT!G13+[1]TRE!G13+[1]MAE!G13+[1]TEL!G13+[1]WWP!G13+[1]OIS!G13</f>
        <v>14770.242132416162</v>
      </c>
      <c r="H31" s="26">
        <f>[1]ISI!H27+[1]NFM!H44+[1]CHI!H33+[1]NMM!H32+[1]PPA!H33+[1]FBT!H13+[1]TRE!H13+[1]MAE!H13+[1]TEL!H13+[1]WWP!H13+[1]OIS!H13</f>
        <v>14153.425881341358</v>
      </c>
      <c r="I31" s="26">
        <f>[1]ISI!I27+[1]NFM!I44+[1]CHI!I33+[1]NMM!I32+[1]PPA!I33+[1]FBT!I13+[1]TRE!I13+[1]MAE!I13+[1]TEL!I13+[1]WWP!I13+[1]OIS!I13</f>
        <v>15409.762596732584</v>
      </c>
      <c r="J31" s="26">
        <f>[1]ISI!J27+[1]NFM!J44+[1]CHI!J33+[1]NMM!J32+[1]PPA!J33+[1]FBT!J13+[1]TRE!J13+[1]MAE!J13+[1]TEL!J13+[1]WWP!J13+[1]OIS!J13</f>
        <v>14515.081599312121</v>
      </c>
      <c r="K31" s="26">
        <f>[1]ISI!K27+[1]NFM!K44+[1]CHI!K33+[1]NMM!K32+[1]PPA!K33+[1]FBT!K13+[1]TRE!K13+[1]MAE!K13+[1]TEL!K13+[1]WWP!K13+[1]OIS!K13</f>
        <v>11653.35769561479</v>
      </c>
      <c r="L31" s="26">
        <f>[1]ISI!L27+[1]NFM!L44+[1]CHI!L33+[1]NMM!L32+[1]PPA!L33+[1]FBT!L13+[1]TRE!L13+[1]MAE!L13+[1]TEL!L13+[1]WWP!L13+[1]OIS!L13</f>
        <v>11621.111349957006</v>
      </c>
      <c r="M31" s="26">
        <f>[1]ISI!M27+[1]NFM!M44+[1]CHI!M33+[1]NMM!M32+[1]PPA!M33+[1]FBT!M13+[1]TRE!M13+[1]MAE!M13+[1]TEL!M13+[1]WWP!M13+[1]OIS!M13</f>
        <v>12772.740498710233</v>
      </c>
      <c r="N31" s="26">
        <f>[1]ISI!N27+[1]NFM!N44+[1]CHI!N33+[1]NMM!N32+[1]PPA!N33+[1]FBT!N13+[1]TRE!N13+[1]MAE!N13+[1]TEL!N13+[1]WWP!N13+[1]OIS!N13</f>
        <v>12153.543164230439</v>
      </c>
      <c r="O31" s="26">
        <f>[1]ISI!O27+[1]NFM!O44+[1]CHI!O33+[1]NMM!O32+[1]PPA!O33+[1]FBT!O13+[1]TRE!O13+[1]MAE!O13+[1]TEL!O13+[1]WWP!O13+[1]OIS!O13</f>
        <v>11508.076010318142</v>
      </c>
      <c r="P31" s="26">
        <f>[1]ISI!P27+[1]NFM!P44+[1]CHI!P33+[1]NMM!P32+[1]PPA!P33+[1]FBT!P13+[1]TRE!P13+[1]MAE!P13+[1]TEL!P13+[1]WWP!P13+[1]OIS!P13</f>
        <v>11342.508254514183</v>
      </c>
      <c r="Q31" s="26">
        <f>[1]ISI!Q27+[1]NFM!Q44+[1]CHI!Q33+[1]NMM!Q32+[1]PPA!Q33+[1]FBT!Q13+[1]TRE!Q13+[1]MAE!Q13+[1]TEL!Q13+[1]WWP!Q13+[1]OIS!Q13</f>
        <v>11504.939036973345</v>
      </c>
      <c r="R31" s="26">
        <f>[1]ISI!R27+[1]NFM!R44+[1]CHI!R33+[1]NMM!R32+[1]PPA!R33+[1]FBT!R13+[1]TRE!R13+[1]MAE!R13+[1]TEL!R13+[1]WWP!R13+[1]OIS!R13</f>
        <v>11517.301633705933</v>
      </c>
      <c r="S31" s="26">
        <f>[1]ISI!S27+[1]NFM!S44+[1]CHI!S33+[1]NMM!S32+[1]PPA!S33+[1]FBT!S13+[1]TRE!S13+[1]MAE!S13+[1]TEL!S13+[1]WWP!S13+[1]OIS!S13</f>
        <v>11683.771969045572</v>
      </c>
      <c r="T31" s="26">
        <f>[1]ISI!T27+[1]NFM!T44+[1]CHI!T33+[1]NMM!T32+[1]PPA!T33+[1]FBT!T13+[1]TRE!T13+[1]MAE!T13+[1]TEL!T13+[1]WWP!T13+[1]OIS!T13</f>
        <v>11207.180223559759</v>
      </c>
      <c r="U31" s="26">
        <f>[1]ISI!U27+[1]NFM!U44+[1]CHI!U33+[1]NMM!U32+[1]PPA!U33+[1]FBT!U13+[1]TRE!U13+[1]MAE!U13+[1]TEL!U13+[1]WWP!U13+[1]OIS!U13</f>
        <v>10469.036543422182</v>
      </c>
      <c r="V31" s="26">
        <f>[1]ISI!V27+[1]NFM!V44+[1]CHI!V33+[1]NMM!V32+[1]PPA!V33+[1]FBT!V13+[1]TRE!V13+[1]MAE!V13+[1]TEL!V13+[1]WWP!V13+[1]OIS!V13</f>
        <v>9872.0368873602729</v>
      </c>
      <c r="W31" s="26">
        <f>[1]ISI!W27+[1]NFM!W44+[1]CHI!W33+[1]NMM!W32+[1]PPA!W33+[1]FBT!W13+[1]TRE!W13+[1]MAE!W13+[1]TEL!W13+[1]WWP!W13+[1]OIS!W13</f>
        <v>9769.7687876182281</v>
      </c>
    </row>
    <row r="32" spans="1:23" ht="12" customHeight="1" x14ac:dyDescent="0.35">
      <c r="A32" s="11" t="s">
        <v>28</v>
      </c>
      <c r="B32" s="26">
        <f>[1]ISI!B28</f>
        <v>3902.243336199484</v>
      </c>
      <c r="C32" s="26">
        <f>[1]ISI!C28</f>
        <v>3224.0046001719688</v>
      </c>
      <c r="D32" s="26">
        <f>[1]ISI!D28</f>
        <v>3577.5015477214101</v>
      </c>
      <c r="E32" s="26">
        <f>[1]ISI!E28</f>
        <v>4120.6840928632846</v>
      </c>
      <c r="F32" s="26">
        <f>[1]ISI!F28</f>
        <v>2963.544711951849</v>
      </c>
      <c r="G32" s="26">
        <f>[1]ISI!G28</f>
        <v>2903.1874462596729</v>
      </c>
      <c r="H32" s="26">
        <f>[1]ISI!H28</f>
        <v>3467.377214101461</v>
      </c>
      <c r="I32" s="26">
        <f>[1]ISI!I28</f>
        <v>2816.3981083404979</v>
      </c>
      <c r="J32" s="26">
        <f>[1]ISI!J28</f>
        <v>2320.1328460877039</v>
      </c>
      <c r="K32" s="26">
        <f>[1]ISI!K28</f>
        <v>1698.3812553740329</v>
      </c>
      <c r="L32" s="26">
        <f>[1]ISI!L28</f>
        <v>1869.157351676698</v>
      </c>
      <c r="M32" s="26">
        <f>[1]ISI!M28</f>
        <v>2238.424419604471</v>
      </c>
      <c r="N32" s="26">
        <f>[1]ISI!N28</f>
        <v>1777.763542562338</v>
      </c>
      <c r="O32" s="26">
        <f>[1]ISI!O28</f>
        <v>1645.4858125537401</v>
      </c>
      <c r="P32" s="26">
        <f>[1]ISI!P28</f>
        <v>1494.825365434222</v>
      </c>
      <c r="Q32" s="26">
        <f>[1]ISI!Q28</f>
        <v>1652.723903697334</v>
      </c>
      <c r="R32" s="26">
        <f>[1]ISI!R28</f>
        <v>1643.995528804815</v>
      </c>
      <c r="S32" s="26">
        <f>[1]ISI!S28</f>
        <v>1682.103611349957</v>
      </c>
      <c r="T32" s="26">
        <f>[1]ISI!T28</f>
        <v>1564.205503009458</v>
      </c>
      <c r="U32" s="26">
        <f>[1]ISI!U28</f>
        <v>1378.3694754944111</v>
      </c>
      <c r="V32" s="26">
        <f>[1]ISI!V28</f>
        <v>1155.40834049871</v>
      </c>
      <c r="W32" s="26">
        <f>[1]ISI!W28</f>
        <v>1213.662510748065</v>
      </c>
    </row>
    <row r="33" spans="1:23" ht="12" customHeight="1" x14ac:dyDescent="0.35">
      <c r="A33" s="12" t="s">
        <v>29</v>
      </c>
      <c r="B33" s="27">
        <f t="shared" ref="B33:W33" si="1">SUM(B34:B38)</f>
        <v>43589.913873371028</v>
      </c>
      <c r="C33" s="27">
        <f t="shared" si="1"/>
        <v>43791.521107227716</v>
      </c>
      <c r="D33" s="27">
        <f t="shared" si="1"/>
        <v>43188.051243168113</v>
      </c>
      <c r="E33" s="27">
        <f t="shared" si="1"/>
        <v>43838.796621573354</v>
      </c>
      <c r="F33" s="27">
        <f t="shared" si="1"/>
        <v>41617.817729736242</v>
      </c>
      <c r="G33" s="27">
        <f t="shared" si="1"/>
        <v>40045.484818196033</v>
      </c>
      <c r="H33" s="27">
        <f t="shared" si="1"/>
        <v>39689.498344694206</v>
      </c>
      <c r="I33" s="27">
        <f t="shared" si="1"/>
        <v>39132.054506440814</v>
      </c>
      <c r="J33" s="27">
        <f t="shared" si="1"/>
        <v>36688.676182287185</v>
      </c>
      <c r="K33" s="27">
        <f t="shared" si="1"/>
        <v>32065.335597592428</v>
      </c>
      <c r="L33" s="27">
        <f t="shared" si="1"/>
        <v>30903.236285468607</v>
      </c>
      <c r="M33" s="27">
        <f t="shared" si="1"/>
        <v>28978.725279449696</v>
      </c>
      <c r="N33" s="27">
        <f t="shared" si="1"/>
        <v>27344.126655202064</v>
      </c>
      <c r="O33" s="27">
        <f t="shared" si="1"/>
        <v>24968.568529664662</v>
      </c>
      <c r="P33" s="27">
        <f t="shared" si="1"/>
        <v>24083.418916595008</v>
      </c>
      <c r="Q33" s="27">
        <f t="shared" si="1"/>
        <v>24600.788048151331</v>
      </c>
      <c r="R33" s="27">
        <f t="shared" si="1"/>
        <v>24041.39939810834</v>
      </c>
      <c r="S33" s="27">
        <f t="shared" si="1"/>
        <v>22686.580137575238</v>
      </c>
      <c r="T33" s="27">
        <f t="shared" si="1"/>
        <v>24416.729234737744</v>
      </c>
      <c r="U33" s="27">
        <f t="shared" si="1"/>
        <v>23579.801289767842</v>
      </c>
      <c r="V33" s="27">
        <f t="shared" si="1"/>
        <v>23107.479191745482</v>
      </c>
      <c r="W33" s="27">
        <f t="shared" si="1"/>
        <v>23482.604385210663</v>
      </c>
    </row>
    <row r="34" spans="1:23" ht="12" customHeight="1" x14ac:dyDescent="0.35">
      <c r="A34" s="11" t="s">
        <v>30</v>
      </c>
      <c r="B34" s="26">
        <f>[1]ISI!B30+[1]NFM!B46+[1]CHI!B35+[1]NMM!B34+[1]PPA!B35+[1]FBT!B15+[1]TRE!B15+[1]MAE!B15+[1]TEL!B15+[1]WWP!B15+[1]OIS!B15</f>
        <v>2910.6894239036969</v>
      </c>
      <c r="C34" s="26">
        <f>[1]ISI!C30+[1]NFM!C46+[1]CHI!C35+[1]NMM!C34+[1]PPA!C35+[1]FBT!C15+[1]TRE!C15+[1]MAE!C15+[1]TEL!C15+[1]WWP!C15+[1]OIS!C15</f>
        <v>3195.0584694754939</v>
      </c>
      <c r="D34" s="26">
        <f>[1]ISI!D30+[1]NFM!D46+[1]CHI!D35+[1]NMM!D34+[1]PPA!D35+[1]FBT!D15+[1]TRE!D15+[1]MAE!D15+[1]TEL!D15+[1]WWP!D15+[1]OIS!D15</f>
        <v>3476.7460017196909</v>
      </c>
      <c r="E34" s="26">
        <f>[1]ISI!E30+[1]NFM!E46+[1]CHI!E35+[1]NMM!E34+[1]PPA!E35+[1]FBT!E15+[1]TRE!E15+[1]MAE!E15+[1]TEL!E15+[1]WWP!E15+[1]OIS!E15</f>
        <v>4164.4154772141001</v>
      </c>
      <c r="F34" s="26">
        <f>[1]ISI!F30+[1]NFM!F46+[1]CHI!F35+[1]NMM!F34+[1]PPA!F35+[1]FBT!F15+[1]TRE!F15+[1]MAE!F15+[1]TEL!F15+[1]WWP!F15+[1]OIS!F15</f>
        <v>3707.7802235597592</v>
      </c>
      <c r="G34" s="26">
        <f>[1]ISI!G30+[1]NFM!G46+[1]CHI!G35+[1]NMM!G34+[1]PPA!G35+[1]FBT!G15+[1]TRE!G15+[1]MAE!G15+[1]TEL!G15+[1]WWP!G15+[1]OIS!G15</f>
        <v>3449.2450558899386</v>
      </c>
      <c r="H34" s="26">
        <f>[1]ISI!H30+[1]NFM!H46+[1]CHI!H35+[1]NMM!H34+[1]PPA!H35+[1]FBT!H15+[1]TRE!H15+[1]MAE!H15+[1]TEL!H15+[1]WWP!H15+[1]OIS!H15</f>
        <v>3924.9325881341351</v>
      </c>
      <c r="I34" s="26">
        <f>[1]ISI!I30+[1]NFM!I46+[1]CHI!I35+[1]NMM!I34+[1]PPA!I35+[1]FBT!I15+[1]TRE!I15+[1]MAE!I15+[1]TEL!I15+[1]WWP!I15+[1]OIS!I15</f>
        <v>4682.1703353396397</v>
      </c>
      <c r="J34" s="26">
        <f>[1]ISI!J30+[1]NFM!J46+[1]CHI!J35+[1]NMM!J34+[1]PPA!J35+[1]FBT!J15+[1]TRE!J15+[1]MAE!J15+[1]TEL!J15+[1]WWP!J15+[1]OIS!J15</f>
        <v>4121.2787618228722</v>
      </c>
      <c r="K34" s="26">
        <f>[1]ISI!K30+[1]NFM!K46+[1]CHI!K35+[1]NMM!K34+[1]PPA!K35+[1]FBT!K15+[1]TRE!K15+[1]MAE!K15+[1]TEL!K15+[1]WWP!K15+[1]OIS!K15</f>
        <v>3698.2026655202067</v>
      </c>
      <c r="L34" s="26">
        <f>[1]ISI!L30+[1]NFM!L46+[1]CHI!L35+[1]NMM!L34+[1]PPA!L35+[1]FBT!L15+[1]TRE!L15+[1]MAE!L15+[1]TEL!L15+[1]WWP!L15+[1]OIS!L15</f>
        <v>3857.7894239036978</v>
      </c>
      <c r="M34" s="26">
        <f>[1]ISI!M30+[1]NFM!M46+[1]CHI!M35+[1]NMM!M34+[1]PPA!M35+[1]FBT!M15+[1]TRE!M15+[1]MAE!M15+[1]TEL!M15+[1]WWP!M15+[1]OIS!M15</f>
        <v>3397.9732588134138</v>
      </c>
      <c r="N34" s="26">
        <f>[1]ISI!N30+[1]NFM!N46+[1]CHI!N35+[1]NMM!N34+[1]PPA!N35+[1]FBT!N15+[1]TRE!N15+[1]MAE!N15+[1]TEL!N15+[1]WWP!N15+[1]OIS!N15</f>
        <v>3579.8631126397249</v>
      </c>
      <c r="O34" s="26">
        <f>[1]ISI!O30+[1]NFM!O46+[1]CHI!O35+[1]NMM!O34+[1]PPA!O35+[1]FBT!O15+[1]TRE!O15+[1]MAE!O15+[1]TEL!O15+[1]WWP!O15+[1]OIS!O15</f>
        <v>3271.8024075666376</v>
      </c>
      <c r="P34" s="26">
        <f>[1]ISI!P30+[1]NFM!P46+[1]CHI!P35+[1]NMM!P34+[1]PPA!P35+[1]FBT!P15+[1]TRE!P15+[1]MAE!P15+[1]TEL!P15+[1]WWP!P15+[1]OIS!P15</f>
        <v>3369.1484952708515</v>
      </c>
      <c r="Q34" s="26">
        <f>[1]ISI!Q30+[1]NFM!Q46+[1]CHI!Q35+[1]NMM!Q34+[1]PPA!Q35+[1]FBT!Q15+[1]TRE!Q15+[1]MAE!Q15+[1]TEL!Q15+[1]WWP!Q15+[1]OIS!Q15</f>
        <v>3454.940240756664</v>
      </c>
      <c r="R34" s="26">
        <f>[1]ISI!R30+[1]NFM!R46+[1]CHI!R35+[1]NMM!R34+[1]PPA!R35+[1]FBT!R15+[1]TRE!R15+[1]MAE!R15+[1]TEL!R15+[1]WWP!R15+[1]OIS!R15</f>
        <v>3705.3574376612205</v>
      </c>
      <c r="S34" s="26">
        <f>[1]ISI!S30+[1]NFM!S46+[1]CHI!S35+[1]NMM!S34+[1]PPA!S35+[1]FBT!S15+[1]TRE!S15+[1]MAE!S15+[1]TEL!S15+[1]WWP!S15+[1]OIS!S15</f>
        <v>3687.7312123817705</v>
      </c>
      <c r="T34" s="26">
        <f>[1]ISI!T30+[1]NFM!T46+[1]CHI!T35+[1]NMM!T34+[1]PPA!T35+[1]FBT!T15+[1]TRE!T15+[1]MAE!T15+[1]TEL!T15+[1]WWP!T15+[1]OIS!T15</f>
        <v>3778.7055030094575</v>
      </c>
      <c r="U34" s="26">
        <f>[1]ISI!U30+[1]NFM!U46+[1]CHI!U35+[1]NMM!U34+[1]PPA!U35+[1]FBT!U15+[1]TRE!U15+[1]MAE!U15+[1]TEL!U15+[1]WWP!U15+[1]OIS!U15</f>
        <v>3879.9215821152197</v>
      </c>
      <c r="V34" s="26">
        <f>[1]ISI!V30+[1]NFM!V46+[1]CHI!V35+[1]NMM!V34+[1]PPA!V35+[1]FBT!V15+[1]TRE!V15+[1]MAE!V15+[1]TEL!V15+[1]WWP!V15+[1]OIS!V15</f>
        <v>4123.3744625967311</v>
      </c>
      <c r="W34" s="26">
        <f>[1]ISI!W30+[1]NFM!W46+[1]CHI!W35+[1]NMM!W34+[1]PPA!W35+[1]FBT!W15+[1]TRE!W15+[1]MAE!W15+[1]TEL!W15+[1]WWP!W15+[1]OIS!W15</f>
        <v>3958.2577815993118</v>
      </c>
    </row>
    <row r="35" spans="1:23" ht="12" customHeight="1" x14ac:dyDescent="0.35">
      <c r="A35" s="11" t="s">
        <v>31</v>
      </c>
      <c r="B35" s="26">
        <f>[1]ISI!B31+[1]NFM!B47+[1]CHI!B36+[1]NMM!B35+[1]PPA!B36+[1]FBT!B16+[1]TRE!B16+[1]MAE!B16+[1]TEL!B16+[1]WWP!B16+[1]OIS!B16</f>
        <v>4508.7294926913155</v>
      </c>
      <c r="C35" s="26">
        <f>[1]ISI!C31+[1]NFM!C47+[1]CHI!C36+[1]NMM!C35+[1]PPA!C36+[1]FBT!C16+[1]TRE!C16+[1]MAE!C16+[1]TEL!C16+[1]WWP!C16+[1]OIS!C16</f>
        <v>4569.537059329321</v>
      </c>
      <c r="D35" s="26">
        <f>[1]ISI!D31+[1]NFM!D47+[1]CHI!D36+[1]NMM!D35+[1]PPA!D36+[1]FBT!D16+[1]TRE!D16+[1]MAE!D16+[1]TEL!D16+[1]WWP!D16+[1]OIS!D16</f>
        <v>4115.9480653482369</v>
      </c>
      <c r="E35" s="26">
        <f>[1]ISI!E31+[1]NFM!E47+[1]CHI!E36+[1]NMM!E35+[1]PPA!E36+[1]FBT!E16+[1]TRE!E16+[1]MAE!E16+[1]TEL!E16+[1]WWP!E16+[1]OIS!E16</f>
        <v>3637.2742046431636</v>
      </c>
      <c r="F35" s="26">
        <f>[1]ISI!F31+[1]NFM!F47+[1]CHI!F36+[1]NMM!F35+[1]PPA!F36+[1]FBT!F16+[1]TRE!F16+[1]MAE!F16+[1]TEL!F16+[1]WWP!F16+[1]OIS!F16</f>
        <v>3185.068701633706</v>
      </c>
      <c r="G35" s="26">
        <f>[1]ISI!G31+[1]NFM!G47+[1]CHI!G36+[1]NMM!G35+[1]PPA!G36+[1]FBT!G16+[1]TRE!G16+[1]MAE!G16+[1]TEL!G16+[1]WWP!G16+[1]OIS!G16</f>
        <v>3143.4832330180566</v>
      </c>
      <c r="H35" s="26">
        <f>[1]ISI!H31+[1]NFM!H47+[1]CHI!H36+[1]NMM!H35+[1]PPA!H36+[1]FBT!H16+[1]TRE!H16+[1]MAE!H16+[1]TEL!H16+[1]WWP!H16+[1]OIS!H16</f>
        <v>3330.8431642304386</v>
      </c>
      <c r="I35" s="26">
        <f>[1]ISI!I31+[1]NFM!I47+[1]CHI!I36+[1]NMM!I35+[1]PPA!I36+[1]FBT!I16+[1]TRE!I16+[1]MAE!I16+[1]TEL!I16+[1]WWP!I16+[1]OIS!I16</f>
        <v>3168.7832330180563</v>
      </c>
      <c r="J35" s="26">
        <f>[1]ISI!J31+[1]NFM!J47+[1]CHI!J36+[1]NMM!J35+[1]PPA!J36+[1]FBT!J16+[1]TRE!J16+[1]MAE!J16+[1]TEL!J16+[1]WWP!J16+[1]OIS!J16</f>
        <v>2999.2368873602754</v>
      </c>
      <c r="K35" s="26">
        <f>[1]ISI!K31+[1]NFM!K47+[1]CHI!K36+[1]NMM!K35+[1]PPA!K36+[1]FBT!K16+[1]TRE!K16+[1]MAE!K16+[1]TEL!K16+[1]WWP!K16+[1]OIS!K16</f>
        <v>2746.0151332760106</v>
      </c>
      <c r="L35" s="26">
        <f>[1]ISI!L31+[1]NFM!L47+[1]CHI!L36+[1]NMM!L35+[1]PPA!L36+[1]FBT!L16+[1]TRE!L16+[1]MAE!L16+[1]TEL!L16+[1]WWP!L16+[1]OIS!L16</f>
        <v>2884.9243336199479</v>
      </c>
      <c r="M35" s="26">
        <f>[1]ISI!M31+[1]NFM!M47+[1]CHI!M36+[1]NMM!M35+[1]PPA!M36+[1]FBT!M16+[1]TRE!M16+[1]MAE!M16+[1]TEL!M16+[1]WWP!M16+[1]OIS!M16</f>
        <v>2708.6683576956148</v>
      </c>
      <c r="N35" s="26">
        <f>[1]ISI!N31+[1]NFM!N47+[1]CHI!N36+[1]NMM!N35+[1]PPA!N36+[1]FBT!N16+[1]TRE!N16+[1]MAE!N16+[1]TEL!N16+[1]WWP!N16+[1]OIS!N16</f>
        <v>2658.6852966466035</v>
      </c>
      <c r="O35" s="26">
        <f>[1]ISI!O31+[1]NFM!O47+[1]CHI!O36+[1]NMM!O35+[1]PPA!O36+[1]FBT!O16+[1]TRE!O16+[1]MAE!O16+[1]TEL!O16+[1]WWP!O16+[1]OIS!O16</f>
        <v>2438.7656061908856</v>
      </c>
      <c r="P35" s="26">
        <f>[1]ISI!P31+[1]NFM!P47+[1]CHI!P36+[1]NMM!P35+[1]PPA!P36+[1]FBT!P16+[1]TRE!P16+[1]MAE!P16+[1]TEL!P16+[1]WWP!P16+[1]OIS!P16</f>
        <v>2507.7774720550296</v>
      </c>
      <c r="Q35" s="26">
        <f>[1]ISI!Q31+[1]NFM!Q47+[1]CHI!Q36+[1]NMM!Q35+[1]PPA!Q36+[1]FBT!Q16+[1]TRE!Q16+[1]MAE!Q16+[1]TEL!Q16+[1]WWP!Q16+[1]OIS!Q16</f>
        <v>2431.480739466896</v>
      </c>
      <c r="R35" s="26">
        <f>[1]ISI!R31+[1]NFM!R47+[1]CHI!R36+[1]NMM!R35+[1]PPA!R36+[1]FBT!R16+[1]TRE!R16+[1]MAE!R16+[1]TEL!R16+[1]WWP!R16+[1]OIS!R16</f>
        <v>2471.7263972484952</v>
      </c>
      <c r="S35" s="26">
        <f>[1]ISI!S31+[1]NFM!S47+[1]CHI!S36+[1]NMM!S35+[1]PPA!S36+[1]FBT!S16+[1]TRE!S16+[1]MAE!S16+[1]TEL!S16+[1]WWP!S16+[1]OIS!S16</f>
        <v>2432.2256233877902</v>
      </c>
      <c r="T35" s="26">
        <f>[1]ISI!T31+[1]NFM!T47+[1]CHI!T36+[1]NMM!T35+[1]PPA!T36+[1]FBT!T16+[1]TRE!T16+[1]MAE!T16+[1]TEL!T16+[1]WWP!T16+[1]OIS!T16</f>
        <v>2600.2696474634563</v>
      </c>
      <c r="U35" s="26">
        <f>[1]ISI!U31+[1]NFM!U47+[1]CHI!U36+[1]NMM!U35+[1]PPA!U36+[1]FBT!U16+[1]TRE!U16+[1]MAE!U16+[1]TEL!U16+[1]WWP!U16+[1]OIS!U16</f>
        <v>2500.9188306104897</v>
      </c>
      <c r="V35" s="26">
        <f>[1]ISI!V31+[1]NFM!V47+[1]CHI!V36+[1]NMM!V35+[1]PPA!V36+[1]FBT!V16+[1]TRE!V16+[1]MAE!V16+[1]TEL!V16+[1]WWP!V16+[1]OIS!V16</f>
        <v>2340.33301805675</v>
      </c>
      <c r="W35" s="26">
        <f>[1]ISI!W31+[1]NFM!W47+[1]CHI!W36+[1]NMM!W35+[1]PPA!W36+[1]FBT!W16+[1]TRE!W16+[1]MAE!W16+[1]TEL!W16+[1]WWP!W16+[1]OIS!W16</f>
        <v>2451.5366294067071</v>
      </c>
    </row>
    <row r="36" spans="1:23" ht="12" customHeight="1" x14ac:dyDescent="0.35">
      <c r="A36" s="11" t="s">
        <v>32</v>
      </c>
      <c r="B36" s="26">
        <f>[1]ISI!B32+[1]NFM!B48+[1]CHI!B37+[1]NMM!B36+[1]PPA!B37+[1]FBT!B17+[1]TRE!B17+[1]MAE!B17+[1]TEL!B17+[1]WWP!B17+[1]OIS!B17</f>
        <v>10935.737089192178</v>
      </c>
      <c r="C36" s="26">
        <f>[1]ISI!C32+[1]NFM!C48+[1]CHI!C37+[1]NMM!C36+[1]PPA!C37+[1]FBT!C17+[1]TRE!C17+[1]MAE!C17+[1]TEL!C17+[1]WWP!C17+[1]OIS!C17</f>
        <v>11606.358338526083</v>
      </c>
      <c r="D36" s="26">
        <f>[1]ISI!D32+[1]NFM!D48+[1]CHI!D37+[1]NMM!D36+[1]PPA!D37+[1]FBT!D17+[1]TRE!D17+[1]MAE!D17+[1]TEL!D17+[1]WWP!D17+[1]OIS!D17</f>
        <v>11292.644880313424</v>
      </c>
      <c r="E36" s="26">
        <f>[1]ISI!E32+[1]NFM!E48+[1]CHI!E37+[1]NMM!E36+[1]PPA!E37+[1]FBT!E17+[1]TRE!E17+[1]MAE!E17+[1]TEL!E17+[1]WWP!E17+[1]OIS!E17</f>
        <v>11030.76411942374</v>
      </c>
      <c r="F36" s="26">
        <f>[1]ISI!F32+[1]NFM!F48+[1]CHI!F37+[1]NMM!F36+[1]PPA!F37+[1]FBT!F17+[1]TRE!F17+[1]MAE!F17+[1]TEL!F17+[1]WWP!F17+[1]OIS!F17</f>
        <v>10735.900962754302</v>
      </c>
      <c r="G36" s="26">
        <f>[1]ISI!G32+[1]NFM!G48+[1]CHI!G37+[1]NMM!G36+[1]PPA!G37+[1]FBT!G17+[1]TRE!G17+[1]MAE!G17+[1]TEL!G17+[1]WWP!G17+[1]OIS!G17</f>
        <v>10922.678197387784</v>
      </c>
      <c r="H36" s="26">
        <f>[1]ISI!H32+[1]NFM!H48+[1]CHI!H37+[1]NMM!H36+[1]PPA!H37+[1]FBT!H17+[1]TRE!H17+[1]MAE!H17+[1]TEL!H17+[1]WWP!H17+[1]OIS!H17</f>
        <v>9718.1334263795034</v>
      </c>
      <c r="I36" s="26">
        <f>[1]ISI!I32+[1]NFM!I48+[1]CHI!I37+[1]NMM!I36+[1]PPA!I37+[1]FBT!I17+[1]TRE!I17+[1]MAE!I17+[1]TEL!I17+[1]WWP!I17+[1]OIS!I17</f>
        <v>9978.8717033453704</v>
      </c>
      <c r="J36" s="26">
        <f>[1]ISI!J32+[1]NFM!J48+[1]CHI!J37+[1]NMM!J36+[1]PPA!J37+[1]FBT!J17+[1]TRE!J17+[1]MAE!J17+[1]TEL!J17+[1]WWP!J17+[1]OIS!J17</f>
        <v>9554.9079105760975</v>
      </c>
      <c r="K36" s="26">
        <f>[1]ISI!K32+[1]NFM!K48+[1]CHI!K37+[1]NMM!K36+[1]PPA!K37+[1]FBT!K17+[1]TRE!K17+[1]MAE!K17+[1]TEL!K17+[1]WWP!K17+[1]OIS!K17</f>
        <v>8417.8020636285455</v>
      </c>
      <c r="L36" s="26">
        <f>[1]ISI!L32+[1]NFM!L48+[1]CHI!L37+[1]NMM!L36+[1]PPA!L37+[1]FBT!L17+[1]TRE!L17+[1]MAE!L17+[1]TEL!L17+[1]WWP!L17+[1]OIS!L17</f>
        <v>8436.1067927773001</v>
      </c>
      <c r="M36" s="26">
        <f>[1]ISI!M32+[1]NFM!M48+[1]CHI!M37+[1]NMM!M36+[1]PPA!M37+[1]FBT!M17+[1]TRE!M17+[1]MAE!M17+[1]TEL!M17+[1]WWP!M17+[1]OIS!M17</f>
        <v>8437.4694754944103</v>
      </c>
      <c r="N36" s="26">
        <f>[1]ISI!N32+[1]NFM!N48+[1]CHI!N37+[1]NMM!N36+[1]PPA!N37+[1]FBT!N17+[1]TRE!N17+[1]MAE!N17+[1]TEL!N17+[1]WWP!N17+[1]OIS!N17</f>
        <v>7892.6551160791059</v>
      </c>
      <c r="O36" s="26">
        <f>[1]ISI!O32+[1]NFM!O48+[1]CHI!O37+[1]NMM!O36+[1]PPA!O37+[1]FBT!O17+[1]TRE!O17+[1]MAE!O17+[1]TEL!O17+[1]WWP!O17+[1]OIS!O17</f>
        <v>7406.0582115219258</v>
      </c>
      <c r="P36" s="26">
        <f>[1]ISI!P32+[1]NFM!P48+[1]CHI!P37+[1]NMM!P36+[1]PPA!P37+[1]FBT!P17+[1]TRE!P17+[1]MAE!P17+[1]TEL!P17+[1]WWP!P17+[1]OIS!P17</f>
        <v>7045.4566638005153</v>
      </c>
      <c r="Q36" s="26">
        <f>[1]ISI!Q32+[1]NFM!Q48+[1]CHI!Q37+[1]NMM!Q36+[1]PPA!Q37+[1]FBT!Q17+[1]TRE!Q17+[1]MAE!Q17+[1]TEL!Q17+[1]WWP!Q17+[1]OIS!Q17</f>
        <v>7151.0326741186582</v>
      </c>
      <c r="R36" s="26">
        <f>[1]ISI!R32+[1]NFM!R48+[1]CHI!R37+[1]NMM!R36+[1]PPA!R37+[1]FBT!R17+[1]TRE!R17+[1]MAE!R17+[1]TEL!R17+[1]WWP!R17+[1]OIS!R17</f>
        <v>7084.4760103181416</v>
      </c>
      <c r="S36" s="26">
        <f>[1]ISI!S32+[1]NFM!S48+[1]CHI!S37+[1]NMM!S36+[1]PPA!S37+[1]FBT!S17+[1]TRE!S17+[1]MAE!S17+[1]TEL!S17+[1]WWP!S17+[1]OIS!S17</f>
        <v>7117.5895098882202</v>
      </c>
      <c r="T36" s="26">
        <f>[1]ISI!T32+[1]NFM!T48+[1]CHI!T37+[1]NMM!T36+[1]PPA!T37+[1]FBT!T17+[1]TRE!T17+[1]MAE!T17+[1]TEL!T17+[1]WWP!T17+[1]OIS!T17</f>
        <v>8510.1335339638863</v>
      </c>
      <c r="U36" s="26">
        <f>[1]ISI!U32+[1]NFM!U48+[1]CHI!U37+[1]NMM!U36+[1]PPA!U37+[1]FBT!U17+[1]TRE!U17+[1]MAE!U17+[1]TEL!U17+[1]WWP!U17+[1]OIS!U17</f>
        <v>8358.1420464316416</v>
      </c>
      <c r="V36" s="26">
        <f>[1]ISI!V32+[1]NFM!V48+[1]CHI!V37+[1]NMM!V36+[1]PPA!V37+[1]FBT!V17+[1]TRE!V17+[1]MAE!V17+[1]TEL!V17+[1]WWP!V17+[1]OIS!V17</f>
        <v>8221.8126397248489</v>
      </c>
      <c r="W36" s="26">
        <f>[1]ISI!W32+[1]NFM!W48+[1]CHI!W37+[1]NMM!W36+[1]PPA!W37+[1]FBT!W17+[1]TRE!W17+[1]MAE!W17+[1]TEL!W17+[1]WWP!W17+[1]OIS!W17</f>
        <v>8503.5225279449696</v>
      </c>
    </row>
    <row r="37" spans="1:23" ht="12" customHeight="1" x14ac:dyDescent="0.35">
      <c r="A37" s="11" t="s">
        <v>33</v>
      </c>
      <c r="B37" s="26">
        <f>[1]ISI!B33+[1]NFM!B49+[1]CHI!B38+[1]NMM!B37+[1]PPA!B38+[1]FBT!B18+[1]TRE!B18+[1]MAE!B18+[1]TEL!B18+[1]WWP!B18+[1]OIS!B18</f>
        <v>16604.3475494411</v>
      </c>
      <c r="C37" s="26">
        <f>[1]ISI!C33+[1]NFM!C49+[1]CHI!C38+[1]NMM!C37+[1]PPA!C38+[1]FBT!C18+[1]TRE!C18+[1]MAE!C18+[1]TEL!C18+[1]WWP!C18+[1]OIS!C18</f>
        <v>15974.118314703353</v>
      </c>
      <c r="D37" s="26">
        <f>[1]ISI!D33+[1]NFM!D49+[1]CHI!D38+[1]NMM!D37+[1]PPA!D38+[1]FBT!D18+[1]TRE!D18+[1]MAE!D18+[1]TEL!D18+[1]WWP!D18+[1]OIS!D18</f>
        <v>15314.439638865006</v>
      </c>
      <c r="E37" s="26">
        <f>[1]ISI!E33+[1]NFM!E49+[1]CHI!E38+[1]NMM!E37+[1]PPA!E38+[1]FBT!E18+[1]TRE!E18+[1]MAE!E18+[1]TEL!E18+[1]WWP!E18+[1]OIS!E18</f>
        <v>15156.003009458296</v>
      </c>
      <c r="F37" s="26">
        <f>[1]ISI!F33+[1]NFM!F49+[1]CHI!F38+[1]NMM!F37+[1]PPA!F38+[1]FBT!F18+[1]TRE!F18+[1]MAE!F18+[1]TEL!F18+[1]WWP!F18+[1]OIS!F18</f>
        <v>13190.826139294928</v>
      </c>
      <c r="G37" s="26">
        <f>[1]ISI!G33+[1]NFM!G49+[1]CHI!G38+[1]NMM!G37+[1]PPA!G38+[1]FBT!G18+[1]TRE!G18+[1]MAE!G18+[1]TEL!G18+[1]WWP!G18+[1]OIS!G18</f>
        <v>11642.844883920894</v>
      </c>
      <c r="H37" s="26">
        <f>[1]ISI!H33+[1]NFM!H49+[1]CHI!H38+[1]NMM!H37+[1]PPA!H38+[1]FBT!H18+[1]TRE!H18+[1]MAE!H18+[1]TEL!H18+[1]WWP!H18+[1]OIS!H18</f>
        <v>12223.955803955289</v>
      </c>
      <c r="I37" s="26">
        <f>[1]ISI!I33+[1]NFM!I49+[1]CHI!I38+[1]NMM!I37+[1]PPA!I38+[1]FBT!I18+[1]TRE!I18+[1]MAE!I18+[1]TEL!I18+[1]WWP!I18+[1]OIS!I18</f>
        <v>11122.222269991404</v>
      </c>
      <c r="J37" s="26">
        <f>[1]ISI!J33+[1]NFM!J49+[1]CHI!J38+[1]NMM!J37+[1]PPA!J38+[1]FBT!J18+[1]TRE!J18+[1]MAE!J18+[1]TEL!J18+[1]WWP!J18+[1]OIS!J18</f>
        <v>10274.069561478933</v>
      </c>
      <c r="K37" s="26">
        <f>[1]ISI!K33+[1]NFM!K49+[1]CHI!K38+[1]NMM!K37+[1]PPA!K38+[1]FBT!K18+[1]TRE!K18+[1]MAE!K18+[1]TEL!K18+[1]WWP!K18+[1]OIS!K18</f>
        <v>8142.5937231298367</v>
      </c>
      <c r="L37" s="26">
        <f>[1]ISI!L33+[1]NFM!L49+[1]CHI!L38+[1]NMM!L37+[1]PPA!L38+[1]FBT!L18+[1]TRE!L18+[1]MAE!L18+[1]TEL!L18+[1]WWP!L18+[1]OIS!L18</f>
        <v>6695.1589853826299</v>
      </c>
      <c r="M37" s="26">
        <f>[1]ISI!M33+[1]NFM!M49+[1]CHI!M38+[1]NMM!M37+[1]PPA!M38+[1]FBT!M18+[1]TRE!M18+[1]MAE!M18+[1]TEL!M18+[1]WWP!M18+[1]OIS!M18</f>
        <v>6065.4919174548577</v>
      </c>
      <c r="N37" s="26">
        <f>[1]ISI!N33+[1]NFM!N49+[1]CHI!N38+[1]NMM!N37+[1]PPA!N38+[1]FBT!N18+[1]TRE!N18+[1]MAE!N18+[1]TEL!N18+[1]WWP!N18+[1]OIS!N18</f>
        <v>5039.544969905417</v>
      </c>
      <c r="O37" s="26">
        <f>[1]ISI!O33+[1]NFM!O49+[1]CHI!O38+[1]NMM!O37+[1]PPA!O38+[1]FBT!O18+[1]TRE!O18+[1]MAE!O18+[1]TEL!O18+[1]WWP!O18+[1]OIS!O18</f>
        <v>4537.8158211521913</v>
      </c>
      <c r="P37" s="26">
        <f>[1]ISI!P33+[1]NFM!P49+[1]CHI!P38+[1]NMM!P37+[1]PPA!P38+[1]FBT!P18+[1]TRE!P18+[1]MAE!P18+[1]TEL!P18+[1]WWP!P18+[1]OIS!P18</f>
        <v>3987.4828890799649</v>
      </c>
      <c r="Q37" s="26">
        <f>[1]ISI!Q33+[1]NFM!Q49+[1]CHI!Q38+[1]NMM!Q37+[1]PPA!Q38+[1]FBT!Q18+[1]TRE!Q18+[1]MAE!Q18+[1]TEL!Q18+[1]WWP!Q18+[1]OIS!Q18</f>
        <v>4184.435253654342</v>
      </c>
      <c r="R37" s="26">
        <f>[1]ISI!R33+[1]NFM!R49+[1]CHI!R38+[1]NMM!R37+[1]PPA!R38+[1]FBT!R18+[1]TRE!R18+[1]MAE!R18+[1]TEL!R18+[1]WWP!R18+[1]OIS!R18</f>
        <v>3697.145485812553</v>
      </c>
      <c r="S37" s="26">
        <f>[1]ISI!S33+[1]NFM!S49+[1]CHI!S38+[1]NMM!S37+[1]PPA!S38+[1]FBT!S18+[1]TRE!S18+[1]MAE!S18+[1]TEL!S18+[1]WWP!S18+[1]OIS!S18</f>
        <v>3138.1181427343081</v>
      </c>
      <c r="T37" s="26">
        <f>[1]ISI!T33+[1]NFM!T49+[1]CHI!T38+[1]NMM!T37+[1]PPA!T38+[1]FBT!T18+[1]TRE!T18+[1]MAE!T18+[1]TEL!T18+[1]WWP!T18+[1]OIS!T18</f>
        <v>3002.1315563198623</v>
      </c>
      <c r="U37" s="26">
        <f>[1]ISI!U33+[1]NFM!U49+[1]CHI!U38+[1]NMM!U37+[1]PPA!U38+[1]FBT!U18+[1]TRE!U18+[1]MAE!U18+[1]TEL!U18+[1]WWP!U18+[1]OIS!U18</f>
        <v>2568.2644883920893</v>
      </c>
      <c r="V37" s="26">
        <f>[1]ISI!V33+[1]NFM!V49+[1]CHI!V38+[1]NMM!V37+[1]PPA!V38+[1]FBT!V18+[1]TRE!V18+[1]MAE!V18+[1]TEL!V18+[1]WWP!V18+[1]OIS!V18</f>
        <v>2446.7993121238183</v>
      </c>
      <c r="W37" s="26">
        <f>[1]ISI!W33+[1]NFM!W49+[1]CHI!W38+[1]NMM!W37+[1]PPA!W38+[1]FBT!W18+[1]TRE!W18+[1]MAE!W18+[1]TEL!W18+[1]WWP!W18+[1]OIS!W18</f>
        <v>2359.7447979363715</v>
      </c>
    </row>
    <row r="38" spans="1:23" ht="12" customHeight="1" x14ac:dyDescent="0.35">
      <c r="A38" s="11" t="s">
        <v>34</v>
      </c>
      <c r="B38" s="26">
        <f>[1]ISI!B34+[1]NFM!B50+[1]CHI!B39+[1]NMM!B38+[1]PPA!B39+[1]FBT!B19+[1]TRE!B19+[1]MAE!B19+[1]TEL!B19+[1]WWP!B19+[1]OIS!B19</f>
        <v>8630.4103181427326</v>
      </c>
      <c r="C38" s="26">
        <f>[1]ISI!C34+[1]NFM!C50+[1]CHI!C39+[1]NMM!C38+[1]PPA!C39+[1]FBT!C19+[1]TRE!C19+[1]MAE!C19+[1]TEL!C19+[1]WWP!C19+[1]OIS!C19</f>
        <v>8446.4489251934647</v>
      </c>
      <c r="D38" s="26">
        <f>[1]ISI!D34+[1]NFM!D50+[1]CHI!D39+[1]NMM!D38+[1]PPA!D39+[1]FBT!D19+[1]TRE!D19+[1]MAE!D19+[1]TEL!D19+[1]WWP!D19+[1]OIS!D19</f>
        <v>8988.2726569217521</v>
      </c>
      <c r="E38" s="26">
        <f>[1]ISI!E34+[1]NFM!E50+[1]CHI!E39+[1]NMM!E38+[1]PPA!E39+[1]FBT!E19+[1]TRE!E19+[1]MAE!E19+[1]TEL!E19+[1]WWP!E19+[1]OIS!E19</f>
        <v>9850.3398108340534</v>
      </c>
      <c r="F38" s="26">
        <f>[1]ISI!F34+[1]NFM!F50+[1]CHI!F39+[1]NMM!F38+[1]PPA!F39+[1]FBT!F19+[1]TRE!F19+[1]MAE!F19+[1]TEL!F19+[1]WWP!F19+[1]OIS!F19</f>
        <v>10798.241702493549</v>
      </c>
      <c r="G38" s="26">
        <f>[1]ISI!G34+[1]NFM!G50+[1]CHI!G39+[1]NMM!G38+[1]PPA!G39+[1]FBT!G19+[1]TRE!G19+[1]MAE!G19+[1]TEL!G19+[1]WWP!G19+[1]OIS!G19</f>
        <v>10887.233447979363</v>
      </c>
      <c r="H38" s="26">
        <f>[1]ISI!H34+[1]NFM!H50+[1]CHI!H39+[1]NMM!H38+[1]PPA!H39+[1]FBT!H19+[1]TRE!H19+[1]MAE!H19+[1]TEL!H19+[1]WWP!H19+[1]OIS!H19</f>
        <v>10491.633361994842</v>
      </c>
      <c r="I38" s="26">
        <f>[1]ISI!I34+[1]NFM!I50+[1]CHI!I39+[1]NMM!I38+[1]PPA!I39+[1]FBT!I19+[1]TRE!I19+[1]MAE!I19+[1]TEL!I19+[1]WWP!I19+[1]OIS!I19</f>
        <v>10180.006964746344</v>
      </c>
      <c r="J38" s="26">
        <f>[1]ISI!J34+[1]NFM!J50+[1]CHI!J39+[1]NMM!J38+[1]PPA!J39+[1]FBT!J19+[1]TRE!J19+[1]MAE!J19+[1]TEL!J19+[1]WWP!J19+[1]OIS!J19</f>
        <v>9739.1830610490088</v>
      </c>
      <c r="K38" s="26">
        <f>[1]ISI!K34+[1]NFM!K50+[1]CHI!K39+[1]NMM!K38+[1]PPA!K39+[1]FBT!K19+[1]TRE!K19+[1]MAE!K19+[1]TEL!K19+[1]WWP!K19+[1]OIS!K19</f>
        <v>9060.7220120378315</v>
      </c>
      <c r="L38" s="26">
        <f>[1]ISI!L34+[1]NFM!L50+[1]CHI!L39+[1]NMM!L38+[1]PPA!L39+[1]FBT!L19+[1]TRE!L19+[1]MAE!L19+[1]TEL!L19+[1]WWP!L19+[1]OIS!L19</f>
        <v>9029.2567497850341</v>
      </c>
      <c r="M38" s="26">
        <f>[1]ISI!M34+[1]NFM!M50+[1]CHI!M39+[1]NMM!M38+[1]PPA!M39+[1]FBT!M19+[1]TRE!M19+[1]MAE!M19+[1]TEL!M19+[1]WWP!M19+[1]OIS!M19</f>
        <v>8369.1222699913997</v>
      </c>
      <c r="N38" s="26">
        <f>[1]ISI!N34+[1]NFM!N50+[1]CHI!N39+[1]NMM!N38+[1]PPA!N39+[1]FBT!N19+[1]TRE!N19+[1]MAE!N19+[1]TEL!N19+[1]WWP!N19+[1]OIS!N19</f>
        <v>8173.3781599312124</v>
      </c>
      <c r="O38" s="26">
        <f>[1]ISI!O34+[1]NFM!O50+[1]CHI!O39+[1]NMM!O38+[1]PPA!O39+[1]FBT!O19+[1]TRE!O19+[1]MAE!O19+[1]TEL!O19+[1]WWP!O19+[1]OIS!O19</f>
        <v>7314.1264832330189</v>
      </c>
      <c r="P38" s="26">
        <f>[1]ISI!P34+[1]NFM!P50+[1]CHI!P39+[1]NMM!P38+[1]PPA!P39+[1]FBT!P19+[1]TRE!P19+[1]MAE!P19+[1]TEL!P19+[1]WWP!P19+[1]OIS!P19</f>
        <v>7173.5533963886501</v>
      </c>
      <c r="Q38" s="26">
        <f>[1]ISI!Q34+[1]NFM!Q50+[1]CHI!Q39+[1]NMM!Q38+[1]PPA!Q39+[1]FBT!Q19+[1]TRE!Q19+[1]MAE!Q19+[1]TEL!Q19+[1]WWP!Q19+[1]OIS!Q19</f>
        <v>7378.8991401547728</v>
      </c>
      <c r="R38" s="26">
        <f>[1]ISI!R34+[1]NFM!R50+[1]CHI!R39+[1]NMM!R38+[1]PPA!R39+[1]FBT!R19+[1]TRE!R19+[1]MAE!R19+[1]TEL!R19+[1]WWP!R19+[1]OIS!R19</f>
        <v>7082.6940670679278</v>
      </c>
      <c r="S38" s="26">
        <f>[1]ISI!S34+[1]NFM!S50+[1]CHI!S39+[1]NMM!S38+[1]PPA!S39+[1]FBT!S19+[1]TRE!S19+[1]MAE!S19+[1]TEL!S19+[1]WWP!S19+[1]OIS!S19</f>
        <v>6310.9156491831482</v>
      </c>
      <c r="T38" s="26">
        <f>[1]ISI!T34+[1]NFM!T50+[1]CHI!T39+[1]NMM!T38+[1]PPA!T39+[1]FBT!T19+[1]TRE!T19+[1]MAE!T19+[1]TEL!T19+[1]WWP!T19+[1]OIS!T19</f>
        <v>6525.4889939810828</v>
      </c>
      <c r="U38" s="26">
        <f>[1]ISI!U34+[1]NFM!U50+[1]CHI!U39+[1]NMM!U38+[1]PPA!U39+[1]FBT!U19+[1]TRE!U19+[1]MAE!U19+[1]TEL!U19+[1]WWP!U19+[1]OIS!U19</f>
        <v>6272.5543422184019</v>
      </c>
      <c r="V38" s="26">
        <f>[1]ISI!V34+[1]NFM!V50+[1]CHI!V39+[1]NMM!V38+[1]PPA!V39+[1]FBT!V19+[1]TRE!V19+[1]MAE!V19+[1]TEL!V19+[1]WWP!V19+[1]OIS!V19</f>
        <v>5975.1597592433354</v>
      </c>
      <c r="W38" s="26">
        <f>[1]ISI!W34+[1]NFM!W50+[1]CHI!W39+[1]NMM!W38+[1]PPA!W39+[1]FBT!W19+[1]TRE!W19+[1]MAE!W19+[1]TEL!W19+[1]WWP!W19+[1]OIS!W19</f>
        <v>6209.5426483233023</v>
      </c>
    </row>
    <row r="39" spans="1:23" ht="12" customHeight="1" x14ac:dyDescent="0.35">
      <c r="A39" s="12" t="s">
        <v>35</v>
      </c>
      <c r="B39" s="27">
        <f t="shared" ref="B39:W39" si="2">B40+B41</f>
        <v>95421.941616509037</v>
      </c>
      <c r="C39" s="27">
        <f t="shared" si="2"/>
        <v>95908.429750644878</v>
      </c>
      <c r="D39" s="27">
        <f t="shared" si="2"/>
        <v>96180.155889939808</v>
      </c>
      <c r="E39" s="27">
        <f t="shared" si="2"/>
        <v>97073.897850386944</v>
      </c>
      <c r="F39" s="27">
        <f t="shared" si="2"/>
        <v>94518.199914015466</v>
      </c>
      <c r="G39" s="27">
        <f t="shared" si="2"/>
        <v>96126.012553740322</v>
      </c>
      <c r="H39" s="27">
        <f t="shared" si="2"/>
        <v>89876.153224419613</v>
      </c>
      <c r="I39" s="27">
        <f t="shared" si="2"/>
        <v>91319.095958727412</v>
      </c>
      <c r="J39" s="27">
        <f t="shared" si="2"/>
        <v>88728.83422184005</v>
      </c>
      <c r="K39" s="27">
        <f t="shared" si="2"/>
        <v>73821.050128976771</v>
      </c>
      <c r="L39" s="27">
        <f t="shared" si="2"/>
        <v>82106.745227858963</v>
      </c>
      <c r="M39" s="27">
        <f t="shared" si="2"/>
        <v>81426.593293207203</v>
      </c>
      <c r="N39" s="27">
        <f t="shared" si="2"/>
        <v>80943.857437661194</v>
      </c>
      <c r="O39" s="27">
        <f t="shared" si="2"/>
        <v>81699.906362854701</v>
      </c>
      <c r="P39" s="27">
        <f t="shared" si="2"/>
        <v>79469.714359415302</v>
      </c>
      <c r="Q39" s="27">
        <f t="shared" si="2"/>
        <v>77634.661049011163</v>
      </c>
      <c r="R39" s="27">
        <f t="shared" si="2"/>
        <v>79720.019948409303</v>
      </c>
      <c r="S39" s="27">
        <f t="shared" si="2"/>
        <v>81562.742046431624</v>
      </c>
      <c r="T39" s="27">
        <f t="shared" si="2"/>
        <v>80899.948839208955</v>
      </c>
      <c r="U39" s="27">
        <f t="shared" si="2"/>
        <v>80018.104643164246</v>
      </c>
      <c r="V39" s="27">
        <f t="shared" si="2"/>
        <v>77510.661478933791</v>
      </c>
      <c r="W39" s="27">
        <f t="shared" si="2"/>
        <v>86382.515305245048</v>
      </c>
    </row>
    <row r="40" spans="1:23" ht="12" customHeight="1" x14ac:dyDescent="0.35">
      <c r="A40" s="11" t="s">
        <v>36</v>
      </c>
      <c r="B40" s="26">
        <f>[1]ISI!B36+[1]NFM!B52+[1]CHI!B41+[1]NMM!B40+[1]PPA!B41+[1]FBT!B21+[1]TRE!B21+[1]MAE!B21+[1]TEL!B21+[1]WWP!B21+[1]OIS!B21</f>
        <v>87537.773946689602</v>
      </c>
      <c r="C40" s="26">
        <f>[1]ISI!C36+[1]NFM!C52+[1]CHI!C41+[1]NMM!C40+[1]PPA!C41+[1]FBT!C21+[1]TRE!C21+[1]MAE!C21+[1]TEL!C21+[1]WWP!C21+[1]OIS!C21</f>
        <v>88680.819002579534</v>
      </c>
      <c r="D40" s="26">
        <f>[1]ISI!D36+[1]NFM!D52+[1]CHI!D41+[1]NMM!D40+[1]PPA!D41+[1]FBT!D21+[1]TRE!D21+[1]MAE!D21+[1]TEL!D21+[1]WWP!D21+[1]OIS!D21</f>
        <v>89248.662682717113</v>
      </c>
      <c r="E40" s="26">
        <f>[1]ISI!E36+[1]NFM!E52+[1]CHI!E41+[1]NMM!E40+[1]PPA!E41+[1]FBT!E21+[1]TRE!E21+[1]MAE!E21+[1]TEL!E21+[1]WWP!E21+[1]OIS!E21</f>
        <v>90430.873086844382</v>
      </c>
      <c r="F40" s="26">
        <f>[1]ISI!F36+[1]NFM!F52+[1]CHI!F41+[1]NMM!F40+[1]PPA!F41+[1]FBT!F21+[1]TRE!F21+[1]MAE!F21+[1]TEL!F21+[1]WWP!F21+[1]OIS!F21</f>
        <v>87685.5094582975</v>
      </c>
      <c r="G40" s="26">
        <f>[1]ISI!G36+[1]NFM!G52+[1]CHI!G41+[1]NMM!G40+[1]PPA!G41+[1]FBT!G21+[1]TRE!G21+[1]MAE!G21+[1]TEL!G21+[1]WWP!G21+[1]OIS!G21</f>
        <v>89767.744711951847</v>
      </c>
      <c r="H40" s="26">
        <f>[1]ISI!H36+[1]NFM!H52+[1]CHI!H41+[1]NMM!H40+[1]PPA!H41+[1]FBT!H21+[1]TRE!H21+[1]MAE!H21+[1]TEL!H21+[1]WWP!H21+[1]OIS!H21</f>
        <v>83431.612553740328</v>
      </c>
      <c r="I40" s="26">
        <f>[1]ISI!I36+[1]NFM!I52+[1]CHI!I41+[1]NMM!I40+[1]PPA!I41+[1]FBT!I21+[1]TRE!I21+[1]MAE!I21+[1]TEL!I21+[1]WWP!I21+[1]OIS!I21</f>
        <v>85163.836285468598</v>
      </c>
      <c r="J40" s="26">
        <f>[1]ISI!J36+[1]NFM!J52+[1]CHI!J41+[1]NMM!J40+[1]PPA!J41+[1]FBT!J21+[1]TRE!J21+[1]MAE!J21+[1]TEL!J21+[1]WWP!J21+[1]OIS!J21</f>
        <v>82916.557179707641</v>
      </c>
      <c r="K40" s="26">
        <f>[1]ISI!K36+[1]NFM!K52+[1]CHI!K41+[1]NMM!K40+[1]PPA!K41+[1]FBT!K21+[1]TRE!K21+[1]MAE!K21+[1]TEL!K21+[1]WWP!K21+[1]OIS!K21</f>
        <v>69706.439208942378</v>
      </c>
      <c r="L40" s="26">
        <f>[1]ISI!L36+[1]NFM!L52+[1]CHI!L41+[1]NMM!L40+[1]PPA!L41+[1]FBT!L21+[1]TRE!L21+[1]MAE!L21+[1]TEL!L21+[1]WWP!L21+[1]OIS!L21</f>
        <v>77032.682287188291</v>
      </c>
      <c r="M40" s="26">
        <f>[1]ISI!M36+[1]NFM!M52+[1]CHI!M41+[1]NMM!M40+[1]PPA!M41+[1]FBT!M21+[1]TRE!M21+[1]MAE!M21+[1]TEL!M21+[1]WWP!M21+[1]OIS!M21</f>
        <v>76316.047033533949</v>
      </c>
      <c r="N40" s="26">
        <f>[1]ISI!N36+[1]NFM!N52+[1]CHI!N41+[1]NMM!N40+[1]PPA!N41+[1]FBT!N21+[1]TRE!N21+[1]MAE!N21+[1]TEL!N21+[1]WWP!N21+[1]OIS!N21</f>
        <v>75721.963456577796</v>
      </c>
      <c r="O40" s="26">
        <f>[1]ISI!O36+[1]NFM!O52+[1]CHI!O41+[1]NMM!O40+[1]PPA!O41+[1]FBT!O21+[1]TRE!O21+[1]MAE!O21+[1]TEL!O21+[1]WWP!O21+[1]OIS!O21</f>
        <v>76762.447033533972</v>
      </c>
      <c r="P40" s="26">
        <f>[1]ISI!P36+[1]NFM!P52+[1]CHI!P41+[1]NMM!P40+[1]PPA!P41+[1]FBT!P21+[1]TRE!P21+[1]MAE!P21+[1]TEL!P21+[1]WWP!P21+[1]OIS!P21</f>
        <v>74467.244368013751</v>
      </c>
      <c r="Q40" s="26">
        <f>[1]ISI!Q36+[1]NFM!Q52+[1]CHI!Q41+[1]NMM!Q40+[1]PPA!Q41+[1]FBT!Q21+[1]TRE!Q21+[1]MAE!Q21+[1]TEL!Q21+[1]WWP!Q21+[1]OIS!Q21</f>
        <v>72691.490283748906</v>
      </c>
      <c r="R40" s="26">
        <f>[1]ISI!R36+[1]NFM!R52+[1]CHI!R41+[1]NMM!R40+[1]PPA!R41+[1]FBT!R21+[1]TRE!R21+[1]MAE!R21+[1]TEL!R21+[1]WWP!R21+[1]OIS!R21</f>
        <v>74958.407394668975</v>
      </c>
      <c r="S40" s="26">
        <f>[1]ISI!S36+[1]NFM!S52+[1]CHI!S41+[1]NMM!S40+[1]PPA!S41+[1]FBT!S21+[1]TRE!S21+[1]MAE!S21+[1]TEL!S21+[1]WWP!S21+[1]OIS!S21</f>
        <v>76896.650988821988</v>
      </c>
      <c r="T40" s="26">
        <f>[1]ISI!T36+[1]NFM!T52+[1]CHI!T41+[1]NMM!T40+[1]PPA!T41+[1]FBT!T21+[1]TRE!T21+[1]MAE!T21+[1]TEL!T21+[1]WWP!T21+[1]OIS!T21</f>
        <v>76000.651332760113</v>
      </c>
      <c r="U40" s="26">
        <f>[1]ISI!U36+[1]NFM!U52+[1]CHI!U41+[1]NMM!U40+[1]PPA!U41+[1]FBT!U21+[1]TRE!U21+[1]MAE!U21+[1]TEL!U21+[1]WWP!U21+[1]OIS!U21</f>
        <v>75534.064918314718</v>
      </c>
      <c r="V40" s="26">
        <f>[1]ISI!V36+[1]NFM!V52+[1]CHI!V41+[1]NMM!V40+[1]PPA!V41+[1]FBT!V21+[1]TRE!V21+[1]MAE!V21+[1]TEL!V21+[1]WWP!V21+[1]OIS!V21</f>
        <v>73408.328116938952</v>
      </c>
      <c r="W40" s="26">
        <f>[1]ISI!W36+[1]NFM!W52+[1]CHI!W41+[1]NMM!W40+[1]PPA!W41+[1]FBT!W21+[1]TRE!W21+[1]MAE!W21+[1]TEL!W21+[1]WWP!W21+[1]OIS!W21</f>
        <v>81920.758297506443</v>
      </c>
    </row>
    <row r="41" spans="1:23" ht="12" customHeight="1" x14ac:dyDescent="0.35">
      <c r="A41" s="11" t="s">
        <v>37</v>
      </c>
      <c r="B41" s="26">
        <f>[1]ISI!B37+[1]NFM!B53+[1]CHI!B42+[1]NMM!B41+[1]PPA!B42+[1]FBT!B22+[1]TRE!B22+[1]MAE!B22+[1]TEL!B22+[1]WWP!B22+[1]OIS!B22</f>
        <v>7884.1676698194324</v>
      </c>
      <c r="C41" s="26">
        <f>[1]ISI!C37+[1]NFM!C53+[1]CHI!C42+[1]NMM!C41+[1]PPA!C42+[1]FBT!C22+[1]TRE!C22+[1]MAE!C22+[1]TEL!C22+[1]WWP!C22+[1]OIS!C22</f>
        <v>7227.6107480653473</v>
      </c>
      <c r="D41" s="26">
        <f>[1]ISI!D37+[1]NFM!D53+[1]CHI!D42+[1]NMM!D41+[1]PPA!D42+[1]FBT!D22+[1]TRE!D22+[1]MAE!D22+[1]TEL!D22+[1]WWP!D22+[1]OIS!D22</f>
        <v>6931.4932072226993</v>
      </c>
      <c r="E41" s="26">
        <f>[1]ISI!E37+[1]NFM!E53+[1]CHI!E42+[1]NMM!E41+[1]PPA!E42+[1]FBT!E22+[1]TRE!E22+[1]MAE!E22+[1]TEL!E22+[1]WWP!E22+[1]OIS!E22</f>
        <v>6643.0247635425621</v>
      </c>
      <c r="F41" s="26">
        <f>[1]ISI!F37+[1]NFM!F53+[1]CHI!F42+[1]NMM!F41+[1]PPA!F42+[1]FBT!F22+[1]TRE!F22+[1]MAE!F22+[1]TEL!F22+[1]WWP!F22+[1]OIS!F22</f>
        <v>6832.6904557179705</v>
      </c>
      <c r="G41" s="26">
        <f>[1]ISI!G37+[1]NFM!G53+[1]CHI!G42+[1]NMM!G41+[1]PPA!G42+[1]FBT!G22+[1]TRE!G22+[1]MAE!G22+[1]TEL!G22+[1]WWP!G22+[1]OIS!G22</f>
        <v>6358.2678417884781</v>
      </c>
      <c r="H41" s="26">
        <f>[1]ISI!H37+[1]NFM!H53+[1]CHI!H42+[1]NMM!H41+[1]PPA!H42+[1]FBT!H22+[1]TRE!H22+[1]MAE!H22+[1]TEL!H22+[1]WWP!H22+[1]OIS!H22</f>
        <v>6444.5406706792792</v>
      </c>
      <c r="I41" s="26">
        <f>[1]ISI!I37+[1]NFM!I53+[1]CHI!I42+[1]NMM!I41+[1]PPA!I42+[1]FBT!I22+[1]TRE!I22+[1]MAE!I22+[1]TEL!I22+[1]WWP!I22+[1]OIS!I22</f>
        <v>6155.2596732588145</v>
      </c>
      <c r="J41" s="26">
        <f>[1]ISI!J37+[1]NFM!J53+[1]CHI!J42+[1]NMM!J41+[1]PPA!J42+[1]FBT!J22+[1]TRE!J22+[1]MAE!J22+[1]TEL!J22+[1]WWP!J22+[1]OIS!J22</f>
        <v>5812.2770421324167</v>
      </c>
      <c r="K41" s="26">
        <f>[1]ISI!K37+[1]NFM!K53+[1]CHI!K42+[1]NMM!K41+[1]PPA!K42+[1]FBT!K22+[1]TRE!K22+[1]MAE!K22+[1]TEL!K22+[1]WWP!K22+[1]OIS!K22</f>
        <v>4114.6109200343935</v>
      </c>
      <c r="L41" s="26">
        <f>[1]ISI!L37+[1]NFM!L53+[1]CHI!L42+[1]NMM!L41+[1]PPA!L42+[1]FBT!L22+[1]TRE!L22+[1]MAE!L22+[1]TEL!L22+[1]WWP!L22+[1]OIS!L22</f>
        <v>5074.0629406706785</v>
      </c>
      <c r="M41" s="26">
        <f>[1]ISI!M37+[1]NFM!M53+[1]CHI!M42+[1]NMM!M41+[1]PPA!M42+[1]FBT!M22+[1]TRE!M22+[1]MAE!M22+[1]TEL!M22+[1]WWP!M22+[1]OIS!M22</f>
        <v>5110.5462596732586</v>
      </c>
      <c r="N41" s="26">
        <f>[1]ISI!N37+[1]NFM!N53+[1]CHI!N42+[1]NMM!N41+[1]PPA!N42+[1]FBT!N22+[1]TRE!N22+[1]MAE!N22+[1]TEL!N22+[1]WWP!N22+[1]OIS!N22</f>
        <v>5221.8939810834045</v>
      </c>
      <c r="O41" s="26">
        <f>[1]ISI!O37+[1]NFM!O53+[1]CHI!O42+[1]NMM!O41+[1]PPA!O42+[1]FBT!O22+[1]TRE!O22+[1]MAE!O22+[1]TEL!O22+[1]WWP!O22+[1]OIS!O22</f>
        <v>4937.4593293207226</v>
      </c>
      <c r="P41" s="26">
        <f>[1]ISI!P37+[1]NFM!P53+[1]CHI!P42+[1]NMM!P41+[1]PPA!P42+[1]FBT!P22+[1]TRE!P22+[1]MAE!P22+[1]TEL!P22+[1]WWP!P22+[1]OIS!P22</f>
        <v>5002.4699914015464</v>
      </c>
      <c r="Q41" s="26">
        <f>[1]ISI!Q37+[1]NFM!Q53+[1]CHI!Q42+[1]NMM!Q41+[1]PPA!Q42+[1]FBT!Q22+[1]TRE!Q22+[1]MAE!Q22+[1]TEL!Q22+[1]WWP!Q22+[1]OIS!Q22</f>
        <v>4943.1707652622508</v>
      </c>
      <c r="R41" s="26">
        <f>[1]ISI!R37+[1]NFM!R53+[1]CHI!R42+[1]NMM!R41+[1]PPA!R42+[1]FBT!R22+[1]TRE!R22+[1]MAE!R22+[1]TEL!R22+[1]WWP!R22+[1]OIS!R22</f>
        <v>4761.6125537403259</v>
      </c>
      <c r="S41" s="26">
        <f>[1]ISI!S37+[1]NFM!S53+[1]CHI!S42+[1]NMM!S41+[1]PPA!S42+[1]FBT!S22+[1]TRE!S22+[1]MAE!S22+[1]TEL!S22+[1]WWP!S22+[1]OIS!S22</f>
        <v>4666.0910576096294</v>
      </c>
      <c r="T41" s="26">
        <f>[1]ISI!T37+[1]NFM!T53+[1]CHI!T42+[1]NMM!T41+[1]PPA!T42+[1]FBT!T22+[1]TRE!T22+[1]MAE!T22+[1]TEL!T22+[1]WWP!T22+[1]OIS!T22</f>
        <v>4899.2975064488392</v>
      </c>
      <c r="U41" s="26">
        <f>[1]ISI!U37+[1]NFM!U53+[1]CHI!U42+[1]NMM!U41+[1]PPA!U42+[1]FBT!U22+[1]TRE!U22+[1]MAE!U22+[1]TEL!U22+[1]WWP!U22+[1]OIS!U22</f>
        <v>4484.0397248495274</v>
      </c>
      <c r="V41" s="26">
        <f>[1]ISI!V37+[1]NFM!V53+[1]CHI!V42+[1]NMM!V41+[1]PPA!V42+[1]FBT!V22+[1]TRE!V22+[1]MAE!V22+[1]TEL!V22+[1]WWP!V22+[1]OIS!V22</f>
        <v>4102.3333619948398</v>
      </c>
      <c r="W41" s="26">
        <f>[1]ISI!W37+[1]NFM!W53+[1]CHI!W42+[1]NMM!W41+[1]PPA!W42+[1]FBT!W22+[1]TRE!W22+[1]MAE!W22+[1]TEL!W22+[1]WWP!W22+[1]OIS!W22</f>
        <v>4461.7570077386072</v>
      </c>
    </row>
    <row r="42" spans="1:23" ht="12" customHeight="1" x14ac:dyDescent="0.35">
      <c r="A42" s="12" t="s">
        <v>38</v>
      </c>
      <c r="B42" s="27">
        <f t="shared" ref="B42:W42" si="3">SUM(B43:B48)</f>
        <v>16267.287016337063</v>
      </c>
      <c r="C42" s="27">
        <f t="shared" si="3"/>
        <v>15608.251848667234</v>
      </c>
      <c r="D42" s="27">
        <f t="shared" si="3"/>
        <v>16229.137747205505</v>
      </c>
      <c r="E42" s="27">
        <f t="shared" si="3"/>
        <v>17321.735511607905</v>
      </c>
      <c r="F42" s="27">
        <f t="shared" si="3"/>
        <v>18111.496646603613</v>
      </c>
      <c r="G42" s="27">
        <f t="shared" si="3"/>
        <v>18742.128976784177</v>
      </c>
      <c r="H42" s="27">
        <f t="shared" si="3"/>
        <v>19686.957007738605</v>
      </c>
      <c r="I42" s="27">
        <f t="shared" si="3"/>
        <v>20726.467325881338</v>
      </c>
      <c r="J42" s="27">
        <f t="shared" si="3"/>
        <v>20084.033361994836</v>
      </c>
      <c r="K42" s="27">
        <f t="shared" si="3"/>
        <v>20149.998624247637</v>
      </c>
      <c r="L42" s="27">
        <f t="shared" si="3"/>
        <v>22051.288220120379</v>
      </c>
      <c r="M42" s="27">
        <f t="shared" si="3"/>
        <v>22658.36552020636</v>
      </c>
      <c r="N42" s="27">
        <f t="shared" si="3"/>
        <v>21999.659759243335</v>
      </c>
      <c r="O42" s="27">
        <f t="shared" si="3"/>
        <v>22840.706534823737</v>
      </c>
      <c r="P42" s="27">
        <f t="shared" si="3"/>
        <v>23426.247721410145</v>
      </c>
      <c r="Q42" s="27">
        <f t="shared" si="3"/>
        <v>24330.233104041272</v>
      </c>
      <c r="R42" s="27">
        <f t="shared" si="3"/>
        <v>25678.463886500431</v>
      </c>
      <c r="S42" s="27">
        <f t="shared" si="3"/>
        <v>25941.473086844366</v>
      </c>
      <c r="T42" s="27">
        <f t="shared" si="3"/>
        <v>27022.001977644013</v>
      </c>
      <c r="U42" s="27">
        <f t="shared" si="3"/>
        <v>27659.626483233013</v>
      </c>
      <c r="V42" s="27">
        <f t="shared" si="3"/>
        <v>27915.004041272565</v>
      </c>
      <c r="W42" s="27">
        <f t="shared" si="3"/>
        <v>28018.533276010316</v>
      </c>
    </row>
    <row r="43" spans="1:23" ht="12" customHeight="1" x14ac:dyDescent="0.35">
      <c r="A43" s="11" t="s">
        <v>39</v>
      </c>
      <c r="B43" s="26">
        <f>[1]ISI!B39+[1]NFM!B55+[1]CHI!B44+[1]NMM!B43+[1]PPA!B44+[1]FBT!B24+[1]TRE!B24+[1]MAE!B24+[1]TEL!B24+[1]WWP!B24+[1]OIS!B24</f>
        <v>16049.127343078248</v>
      </c>
      <c r="C43" s="26">
        <f>[1]ISI!C39+[1]NFM!C55+[1]CHI!C44+[1]NMM!C43+[1]PPA!C44+[1]FBT!C24+[1]TRE!C24+[1]MAE!C24+[1]TEL!C24+[1]WWP!C24+[1]OIS!C24</f>
        <v>15204.507480653478</v>
      </c>
      <c r="D43" s="26">
        <f>[1]ISI!D39+[1]NFM!D55+[1]CHI!D44+[1]NMM!D43+[1]PPA!D44+[1]FBT!D24+[1]TRE!D24+[1]MAE!D24+[1]TEL!D24+[1]WWP!D24+[1]OIS!D24</f>
        <v>15702.001891659502</v>
      </c>
      <c r="E43" s="26">
        <f>[1]ISI!E39+[1]NFM!E55+[1]CHI!E44+[1]NMM!E43+[1]PPA!E44+[1]FBT!E24+[1]TRE!E24+[1]MAE!E24+[1]TEL!E24+[1]WWP!E24+[1]OIS!E24</f>
        <v>17181.053740326737</v>
      </c>
      <c r="F43" s="26">
        <f>[1]ISI!F39+[1]NFM!F55+[1]CHI!F44+[1]NMM!F43+[1]PPA!F44+[1]FBT!F24+[1]TRE!F24+[1]MAE!F24+[1]TEL!F24+[1]WWP!F24+[1]OIS!F24</f>
        <v>17962.864746345658</v>
      </c>
      <c r="G43" s="26">
        <f>[1]ISI!G39+[1]NFM!G55+[1]CHI!G44+[1]NMM!G43+[1]PPA!G44+[1]FBT!G24+[1]TRE!G24+[1]MAE!G24+[1]TEL!G24+[1]WWP!G24+[1]OIS!G24</f>
        <v>18554.37248495271</v>
      </c>
      <c r="H43" s="26">
        <f>[1]ISI!H39+[1]NFM!H55+[1]CHI!H44+[1]NMM!H43+[1]PPA!H44+[1]FBT!H24+[1]TRE!H24+[1]MAE!H24+[1]TEL!H24+[1]WWP!H24+[1]OIS!H24</f>
        <v>19475.439810834047</v>
      </c>
      <c r="I43" s="26">
        <f>[1]ISI!I39+[1]NFM!I55+[1]CHI!I44+[1]NMM!I43+[1]PPA!I44+[1]FBT!I24+[1]TRE!I24+[1]MAE!I24+[1]TEL!I24+[1]WWP!I24+[1]OIS!I24</f>
        <v>20455.483147033534</v>
      </c>
      <c r="J43" s="26">
        <f>[1]ISI!J39+[1]NFM!J55+[1]CHI!J44+[1]NMM!J43+[1]PPA!J44+[1]FBT!J24+[1]TRE!J24+[1]MAE!J24+[1]TEL!J24+[1]WWP!J24+[1]OIS!J24</f>
        <v>19777.147635425623</v>
      </c>
      <c r="K43" s="26">
        <f>[1]ISI!K39+[1]NFM!K55+[1]CHI!K44+[1]NMM!K43+[1]PPA!K44+[1]FBT!K24+[1]TRE!K24+[1]MAE!K24+[1]TEL!K24+[1]WWP!K24+[1]OIS!K24</f>
        <v>19822.563198624252</v>
      </c>
      <c r="L43" s="26">
        <f>[1]ISI!L39+[1]NFM!L55+[1]CHI!L44+[1]NMM!L43+[1]PPA!L44+[1]FBT!L24+[1]TRE!L24+[1]MAE!L24+[1]TEL!L24+[1]WWP!L24+[1]OIS!L24</f>
        <v>21565.441530524506</v>
      </c>
      <c r="M43" s="26">
        <f>[1]ISI!M39+[1]NFM!M55+[1]CHI!M44+[1]NMM!M43+[1]PPA!M44+[1]FBT!M24+[1]TRE!M24+[1]MAE!M24+[1]TEL!M24+[1]WWP!M24+[1]OIS!M24</f>
        <v>22170.841788478068</v>
      </c>
      <c r="N43" s="26">
        <f>[1]ISI!N39+[1]NFM!N55+[1]CHI!N44+[1]NMM!N43+[1]PPA!N44+[1]FBT!N24+[1]TRE!N24+[1]MAE!N24+[1]TEL!N24+[1]WWP!N24+[1]OIS!N24</f>
        <v>21625.596818572652</v>
      </c>
      <c r="O43" s="26">
        <f>[1]ISI!O39+[1]NFM!O55+[1]CHI!O44+[1]NMM!O43+[1]PPA!O44+[1]FBT!O24+[1]TRE!O24+[1]MAE!O24+[1]TEL!O24+[1]WWP!O24+[1]OIS!O24</f>
        <v>22390.861736887367</v>
      </c>
      <c r="P43" s="26">
        <f>[1]ISI!P39+[1]NFM!P55+[1]CHI!P44+[1]NMM!P43+[1]PPA!P44+[1]FBT!P24+[1]TRE!P24+[1]MAE!P24+[1]TEL!P24+[1]WWP!P24+[1]OIS!P24</f>
        <v>22796.072570937231</v>
      </c>
      <c r="Q43" s="26">
        <f>[1]ISI!Q39+[1]NFM!Q55+[1]CHI!Q44+[1]NMM!Q43+[1]PPA!Q44+[1]FBT!Q24+[1]TRE!Q24+[1]MAE!Q24+[1]TEL!Q24+[1]WWP!Q24+[1]OIS!Q24</f>
        <v>23676.121066208085</v>
      </c>
      <c r="R43" s="26">
        <f>[1]ISI!R39+[1]NFM!R55+[1]CHI!R44+[1]NMM!R43+[1]PPA!R44+[1]FBT!R24+[1]TRE!R24+[1]MAE!R24+[1]TEL!R24+[1]WWP!R24+[1]OIS!R24</f>
        <v>24909.707136715391</v>
      </c>
      <c r="S43" s="26">
        <f>[1]ISI!S39+[1]NFM!S55+[1]CHI!S44+[1]NMM!S43+[1]PPA!S44+[1]FBT!S24+[1]TRE!S24+[1]MAE!S24+[1]TEL!S24+[1]WWP!S24+[1]OIS!S24</f>
        <v>25063.403525365433</v>
      </c>
      <c r="T43" s="26">
        <f>[1]ISI!T39+[1]NFM!T55+[1]CHI!T44+[1]NMM!T43+[1]PPA!T44+[1]FBT!T24+[1]TRE!T24+[1]MAE!T24+[1]TEL!T24+[1]WWP!T24+[1]OIS!T24</f>
        <v>25927.337231298356</v>
      </c>
      <c r="U43" s="26">
        <f>[1]ISI!U39+[1]NFM!U55+[1]CHI!U44+[1]NMM!U43+[1]PPA!U44+[1]FBT!U24+[1]TRE!U24+[1]MAE!U24+[1]TEL!U24+[1]WWP!U24+[1]OIS!U24</f>
        <v>26458.545313843504</v>
      </c>
      <c r="V43" s="26">
        <f>[1]ISI!V39+[1]NFM!V55+[1]CHI!V44+[1]NMM!V43+[1]PPA!V44+[1]FBT!V24+[1]TRE!V24+[1]MAE!V24+[1]TEL!V24+[1]WWP!V24+[1]OIS!V24</f>
        <v>26595.900687876179</v>
      </c>
      <c r="W43" s="26">
        <f>[1]ISI!W39+[1]NFM!W55+[1]CHI!W44+[1]NMM!W43+[1]PPA!W44+[1]FBT!W24+[1]TRE!W24+[1]MAE!W24+[1]TEL!W24+[1]WWP!W24+[1]OIS!W24</f>
        <v>26664.02347377472</v>
      </c>
    </row>
    <row r="44" spans="1:23" ht="12" customHeight="1" x14ac:dyDescent="0.35">
      <c r="A44" s="11" t="s">
        <v>40</v>
      </c>
      <c r="B44" s="26">
        <f>[1]ISI!B40+[1]NFM!B56+[1]CHI!B45+[1]NMM!B44+[1]PPA!B45+[1]FBT!B25+[1]TRE!B25+[1]MAE!B25+[1]TEL!B25+[1]WWP!B25+[1]OIS!B25</f>
        <v>195.30404127257091</v>
      </c>
      <c r="C44" s="26">
        <f>[1]ISI!C40+[1]NFM!C56+[1]CHI!C45+[1]NMM!C44+[1]PPA!C45+[1]FBT!C25+[1]TRE!C25+[1]MAE!C25+[1]TEL!C25+[1]WWP!C25+[1]OIS!C25</f>
        <v>379.62175408426475</v>
      </c>
      <c r="D44" s="26">
        <f>[1]ISI!D40+[1]NFM!D56+[1]CHI!D45+[1]NMM!D44+[1]PPA!D45+[1]FBT!D25+[1]TRE!D25+[1]MAE!D25+[1]TEL!D25+[1]WWP!D25+[1]OIS!D25</f>
        <v>502.53181427343077</v>
      </c>
      <c r="E44" s="26">
        <f>[1]ISI!E40+[1]NFM!E56+[1]CHI!E45+[1]NMM!E44+[1]PPA!E45+[1]FBT!E25+[1]TRE!E25+[1]MAE!E25+[1]TEL!E25+[1]WWP!E25+[1]OIS!E25</f>
        <v>96.422098022355982</v>
      </c>
      <c r="F44" s="26">
        <f>[1]ISI!F40+[1]NFM!F56+[1]CHI!F45+[1]NMM!F44+[1]PPA!F45+[1]FBT!F25+[1]TRE!F25+[1]MAE!F25+[1]TEL!F25+[1]WWP!F25+[1]OIS!F25</f>
        <v>107.00300945829753</v>
      </c>
      <c r="G44" s="26">
        <f>[1]ISI!G40+[1]NFM!G56+[1]CHI!G45+[1]NMM!G44+[1]PPA!G45+[1]FBT!G25+[1]TRE!G25+[1]MAE!G25+[1]TEL!G25+[1]WWP!G25+[1]OIS!G25</f>
        <v>131.56044711951844</v>
      </c>
      <c r="H44" s="26">
        <f>[1]ISI!H40+[1]NFM!H56+[1]CHI!H45+[1]NMM!H44+[1]PPA!H45+[1]FBT!H25+[1]TRE!H25+[1]MAE!H25+[1]TEL!H25+[1]WWP!H25+[1]OIS!H25</f>
        <v>116.17067927773002</v>
      </c>
      <c r="I44" s="26">
        <f>[1]ISI!I40+[1]NFM!I56+[1]CHI!I45+[1]NMM!I44+[1]PPA!I45+[1]FBT!I25+[1]TRE!I25+[1]MAE!I25+[1]TEL!I25+[1]WWP!I25+[1]OIS!I25</f>
        <v>153.94178847807393</v>
      </c>
      <c r="J44" s="26">
        <f>[1]ISI!J40+[1]NFM!J56+[1]CHI!J45+[1]NMM!J44+[1]PPA!J45+[1]FBT!J25+[1]TRE!J25+[1]MAE!J25+[1]TEL!J25+[1]WWP!J25+[1]OIS!J25</f>
        <v>133.46182287188304</v>
      </c>
      <c r="K44" s="26">
        <f>[1]ISI!K40+[1]NFM!K56+[1]CHI!K45+[1]NMM!K44+[1]PPA!K45+[1]FBT!K25+[1]TRE!K25+[1]MAE!K25+[1]TEL!K25+[1]WWP!K25+[1]OIS!K25</f>
        <v>163.71212381771281</v>
      </c>
      <c r="L44" s="26">
        <f>[1]ISI!L40+[1]NFM!L56+[1]CHI!L45+[1]NMM!L44+[1]PPA!L45+[1]FBT!L25+[1]TRE!L25+[1]MAE!L25+[1]TEL!L25+[1]WWP!L25+[1]OIS!L25</f>
        <v>307.34479793637149</v>
      </c>
      <c r="M44" s="26">
        <f>[1]ISI!M40+[1]NFM!M56+[1]CHI!M45+[1]NMM!M44+[1]PPA!M45+[1]FBT!M25+[1]TRE!M25+[1]MAE!M25+[1]TEL!M25+[1]WWP!M25+[1]OIS!M25</f>
        <v>339.63353396388646</v>
      </c>
      <c r="N44" s="26">
        <f>[1]ISI!N40+[1]NFM!N56+[1]CHI!N45+[1]NMM!N44+[1]PPA!N45+[1]FBT!N25+[1]TRE!N25+[1]MAE!N25+[1]TEL!N25+[1]WWP!N25+[1]OIS!N25</f>
        <v>226.56311263972481</v>
      </c>
      <c r="O44" s="26">
        <f>[1]ISI!O40+[1]NFM!O56+[1]CHI!O45+[1]NMM!O44+[1]PPA!O45+[1]FBT!O25+[1]TRE!O25+[1]MAE!O25+[1]TEL!O25+[1]WWP!O25+[1]OIS!O25</f>
        <v>288.77644024075676</v>
      </c>
      <c r="P44" s="26">
        <f>[1]ISI!P40+[1]NFM!P56+[1]CHI!P45+[1]NMM!P44+[1]PPA!P45+[1]FBT!P25+[1]TRE!P25+[1]MAE!P25+[1]TEL!P25+[1]WWP!P25+[1]OIS!P25</f>
        <v>312.06509028374887</v>
      </c>
      <c r="Q44" s="26">
        <f>[1]ISI!Q40+[1]NFM!Q56+[1]CHI!Q45+[1]NMM!Q44+[1]PPA!Q45+[1]FBT!Q25+[1]TRE!Q25+[1]MAE!Q25+[1]TEL!Q25+[1]WWP!Q25+[1]OIS!Q25</f>
        <v>308.7930352536543</v>
      </c>
      <c r="R44" s="26">
        <f>[1]ISI!R40+[1]NFM!R56+[1]CHI!R45+[1]NMM!R44+[1]PPA!R45+[1]FBT!R25+[1]TRE!R25+[1]MAE!R25+[1]TEL!R25+[1]WWP!R25+[1]OIS!R25</f>
        <v>331.84539982803102</v>
      </c>
      <c r="S44" s="26">
        <f>[1]ISI!S40+[1]NFM!S56+[1]CHI!S45+[1]NMM!S44+[1]PPA!S45+[1]FBT!S25+[1]TRE!S25+[1]MAE!S25+[1]TEL!S25+[1]WWP!S25+[1]OIS!S25</f>
        <v>383.01272570937226</v>
      </c>
      <c r="T44" s="26">
        <f>[1]ISI!T40+[1]NFM!T56+[1]CHI!T45+[1]NMM!T44+[1]PPA!T45+[1]FBT!T25+[1]TRE!T25+[1]MAE!T25+[1]TEL!T25+[1]WWP!T25+[1]OIS!T25</f>
        <v>405.47042132416175</v>
      </c>
      <c r="U44" s="26">
        <f>[1]ISI!U40+[1]NFM!U56+[1]CHI!U45+[1]NMM!U44+[1]PPA!U45+[1]FBT!U25+[1]TRE!U25+[1]MAE!U25+[1]TEL!U25+[1]WWP!U25+[1]OIS!U25</f>
        <v>468.84084264832325</v>
      </c>
      <c r="V44" s="26">
        <f>[1]ISI!V40+[1]NFM!V56+[1]CHI!V45+[1]NMM!V44+[1]PPA!V45+[1]FBT!V25+[1]TRE!V25+[1]MAE!V25+[1]TEL!V25+[1]WWP!V25+[1]OIS!V25</f>
        <v>521.90455717970758</v>
      </c>
      <c r="W44" s="26">
        <f>[1]ISI!W40+[1]NFM!W56+[1]CHI!W45+[1]NMM!W44+[1]PPA!W45+[1]FBT!W25+[1]TRE!W25+[1]MAE!W25+[1]TEL!W25+[1]WWP!W25+[1]OIS!W25</f>
        <v>505.6577815993121</v>
      </c>
    </row>
    <row r="45" spans="1:23" ht="12" customHeight="1" x14ac:dyDescent="0.35">
      <c r="A45" s="11" t="s">
        <v>41</v>
      </c>
      <c r="B45" s="26">
        <f>[1]ISI!B41+[1]NFM!B57+[1]CHI!B46+[1]NMM!B45+[1]PPA!B46+[1]FBT!B26+[1]TRE!B26+[1]MAE!B26+[1]TEL!B26+[1]WWP!B26+[1]OIS!B26</f>
        <v>0</v>
      </c>
      <c r="C45" s="26">
        <f>[1]ISI!C41+[1]NFM!C57+[1]CHI!C46+[1]NMM!C45+[1]PPA!C46+[1]FBT!C26+[1]TRE!C26+[1]MAE!C26+[1]TEL!C26+[1]WWP!C26+[1]OIS!C26</f>
        <v>0</v>
      </c>
      <c r="D45" s="26">
        <f>[1]ISI!D41+[1]NFM!D57+[1]CHI!D46+[1]NMM!D45+[1]PPA!D46+[1]FBT!D26+[1]TRE!D26+[1]MAE!D26+[1]TEL!D26+[1]WWP!D26+[1]OIS!D26</f>
        <v>0</v>
      </c>
      <c r="E45" s="26">
        <f>[1]ISI!E41+[1]NFM!E57+[1]CHI!E46+[1]NMM!E45+[1]PPA!E46+[1]FBT!E26+[1]TRE!E26+[1]MAE!E26+[1]TEL!E26+[1]WWP!E26+[1]OIS!E26</f>
        <v>16.671195184866725</v>
      </c>
      <c r="F45" s="26">
        <f>[1]ISI!F41+[1]NFM!F57+[1]CHI!F46+[1]NMM!F45+[1]PPA!F46+[1]FBT!F26+[1]TRE!F26+[1]MAE!F26+[1]TEL!F26+[1]WWP!F26+[1]OIS!F26</f>
        <v>14.184952708512466</v>
      </c>
      <c r="G45" s="26">
        <f>[1]ISI!G41+[1]NFM!G57+[1]CHI!G46+[1]NMM!G45+[1]PPA!G46+[1]FBT!G26+[1]TRE!G26+[1]MAE!G26+[1]TEL!G26+[1]WWP!G26+[1]OIS!G26</f>
        <v>23.680653482373177</v>
      </c>
      <c r="H45" s="26">
        <f>[1]ISI!H41+[1]NFM!H57+[1]CHI!H46+[1]NMM!H45+[1]PPA!H46+[1]FBT!H26+[1]TRE!H26+[1]MAE!H26+[1]TEL!H26+[1]WWP!H26+[1]OIS!H26</f>
        <v>59.456233877901973</v>
      </c>
      <c r="I45" s="26">
        <f>[1]ISI!I41+[1]NFM!I57+[1]CHI!I46+[1]NMM!I45+[1]PPA!I46+[1]FBT!I26+[1]TRE!I26+[1]MAE!I26+[1]TEL!I26+[1]WWP!I26+[1]OIS!I26</f>
        <v>81.176612209802229</v>
      </c>
      <c r="J45" s="26">
        <f>[1]ISI!J41+[1]NFM!J57+[1]CHI!J46+[1]NMM!J45+[1]PPA!J46+[1]FBT!J26+[1]TRE!J26+[1]MAE!J26+[1]TEL!J26+[1]WWP!J26+[1]OIS!J26</f>
        <v>136.37007738607051</v>
      </c>
      <c r="K45" s="26">
        <f>[1]ISI!K41+[1]NFM!K57+[1]CHI!K46+[1]NMM!K45+[1]PPA!K46+[1]FBT!K26+[1]TRE!K26+[1]MAE!K26+[1]TEL!K26+[1]WWP!K26+[1]OIS!K26</f>
        <v>123.3040412725709</v>
      </c>
      <c r="L45" s="26">
        <f>[1]ISI!L41+[1]NFM!L57+[1]CHI!L46+[1]NMM!L45+[1]PPA!L46+[1]FBT!L26+[1]TRE!L26+[1]MAE!L26+[1]TEL!L26+[1]WWP!L26+[1]OIS!L26</f>
        <v>121.11848667239896</v>
      </c>
      <c r="M45" s="26">
        <f>[1]ISI!M41+[1]NFM!M57+[1]CHI!M46+[1]NMM!M45+[1]PPA!M46+[1]FBT!M26+[1]TRE!M26+[1]MAE!M26+[1]TEL!M26+[1]WWP!M26+[1]OIS!M26</f>
        <v>86.525795356835744</v>
      </c>
      <c r="N45" s="26">
        <f>[1]ISI!N41+[1]NFM!N57+[1]CHI!N46+[1]NMM!N45+[1]PPA!N46+[1]FBT!N26+[1]TRE!N26+[1]MAE!N26+[1]TEL!N26+[1]WWP!N26+[1]OIS!N26</f>
        <v>82.427773000859844</v>
      </c>
      <c r="O45" s="26">
        <f>[1]ISI!O41+[1]NFM!O57+[1]CHI!O46+[1]NMM!O45+[1]PPA!O46+[1]FBT!O26+[1]TRE!O26+[1]MAE!O26+[1]TEL!O26+[1]WWP!O26+[1]OIS!O26</f>
        <v>90.554514187446259</v>
      </c>
      <c r="P45" s="26">
        <f>[1]ISI!P41+[1]NFM!P57+[1]CHI!P46+[1]NMM!P45+[1]PPA!P46+[1]FBT!P26+[1]TRE!P26+[1]MAE!P26+[1]TEL!P26+[1]WWP!P26+[1]OIS!P26</f>
        <v>121.438950988822</v>
      </c>
      <c r="Q45" s="26">
        <f>[1]ISI!Q41+[1]NFM!Q57+[1]CHI!Q46+[1]NMM!Q45+[1]PPA!Q46+[1]FBT!Q26+[1]TRE!Q26+[1]MAE!Q26+[1]TEL!Q26+[1]WWP!Q26+[1]OIS!Q26</f>
        <v>127.71435941530524</v>
      </c>
      <c r="R45" s="26">
        <f>[1]ISI!R41+[1]NFM!R57+[1]CHI!R46+[1]NMM!R45+[1]PPA!R46+[1]FBT!R26+[1]TRE!R26+[1]MAE!R26+[1]TEL!R26+[1]WWP!R26+[1]OIS!R26</f>
        <v>191.36483233018055</v>
      </c>
      <c r="S45" s="26">
        <f>[1]ISI!S41+[1]NFM!S57+[1]CHI!S46+[1]NMM!S45+[1]PPA!S46+[1]FBT!S26+[1]TRE!S26+[1]MAE!S26+[1]TEL!S26+[1]WWP!S26+[1]OIS!S26</f>
        <v>225.93757523645735</v>
      </c>
      <c r="T45" s="26">
        <f>[1]ISI!T41+[1]NFM!T57+[1]CHI!T46+[1]NMM!T45+[1]PPA!T46+[1]FBT!T26+[1]TRE!T26+[1]MAE!T26+[1]TEL!T26+[1]WWP!T26+[1]OIS!T26</f>
        <v>381.22080825451422</v>
      </c>
      <c r="U45" s="26">
        <f>[1]ISI!U41+[1]NFM!U57+[1]CHI!U46+[1]NMM!U45+[1]PPA!U46+[1]FBT!U26+[1]TRE!U26+[1]MAE!U26+[1]TEL!U26+[1]WWP!U26+[1]OIS!U26</f>
        <v>393.92854686156494</v>
      </c>
      <c r="V45" s="26">
        <f>[1]ISI!V41+[1]NFM!V57+[1]CHI!V46+[1]NMM!V45+[1]PPA!V46+[1]FBT!V26+[1]TRE!V26+[1]MAE!V26+[1]TEL!V26+[1]WWP!V26+[1]OIS!V26</f>
        <v>429.64591573516759</v>
      </c>
      <c r="W45" s="26">
        <f>[1]ISI!W41+[1]NFM!W57+[1]CHI!W46+[1]NMM!W45+[1]PPA!W46+[1]FBT!W26+[1]TRE!W26+[1]MAE!W26+[1]TEL!W26+[1]WWP!W26+[1]OIS!W26</f>
        <v>446.25735167669814</v>
      </c>
    </row>
    <row r="46" spans="1:23" ht="12" customHeight="1" x14ac:dyDescent="0.35">
      <c r="A46" s="11" t="s">
        <v>42</v>
      </c>
      <c r="B46" s="26">
        <f>[1]ISI!B42+[1]NFM!B58+[1]CHI!B47+[1]NMM!B46+[1]PPA!B47+[1]FBT!B27+[1]TRE!B27+[1]MAE!B27+[1]TEL!B27+[1]WWP!B27+[1]OIS!B27</f>
        <v>0.93396388650042983</v>
      </c>
      <c r="C46" s="26">
        <f>[1]ISI!C42+[1]NFM!C58+[1]CHI!C47+[1]NMM!C46+[1]PPA!C47+[1]FBT!C27+[1]TRE!C27+[1]MAE!C27+[1]TEL!C27+[1]WWP!C27+[1]OIS!C27</f>
        <v>1.0401547721410145</v>
      </c>
      <c r="D46" s="26">
        <f>[1]ISI!D42+[1]NFM!D58+[1]CHI!D47+[1]NMM!D46+[1]PPA!D47+[1]FBT!D27+[1]TRE!D27+[1]MAE!D27+[1]TEL!D27+[1]WWP!D27+[1]OIS!D27</f>
        <v>1.0904557179707652</v>
      </c>
      <c r="E46" s="26">
        <f>[1]ISI!E42+[1]NFM!E58+[1]CHI!E47+[1]NMM!E46+[1]PPA!E47+[1]FBT!E27+[1]TRE!E27+[1]MAE!E27+[1]TEL!E27+[1]WWP!E27+[1]OIS!E27</f>
        <v>1.2411865864144453</v>
      </c>
      <c r="F46" s="26">
        <f>[1]ISI!F42+[1]NFM!F58+[1]CHI!F47+[1]NMM!F46+[1]PPA!F47+[1]FBT!F27+[1]TRE!F27+[1]MAE!F27+[1]TEL!F27+[1]WWP!F27+[1]OIS!F27</f>
        <v>1.4477214101461737</v>
      </c>
      <c r="G46" s="26">
        <f>[1]ISI!G42+[1]NFM!G58+[1]CHI!G47+[1]NMM!G46+[1]PPA!G47+[1]FBT!G27+[1]TRE!G27+[1]MAE!G27+[1]TEL!G27+[1]WWP!G27+[1]OIS!G27</f>
        <v>1.776182287188306</v>
      </c>
      <c r="H46" s="26">
        <f>[1]ISI!H42+[1]NFM!H58+[1]CHI!H47+[1]NMM!H46+[1]PPA!H47+[1]FBT!H27+[1]TRE!H27+[1]MAE!H27+[1]TEL!H27+[1]WWP!H27+[1]OIS!H27</f>
        <v>1.9749785038693031</v>
      </c>
      <c r="I46" s="26">
        <f>[1]ISI!I42+[1]NFM!I58+[1]CHI!I47+[1]NMM!I46+[1]PPA!I47+[1]FBT!I27+[1]TRE!I27+[1]MAE!I27+[1]TEL!I27+[1]WWP!I27+[1]OIS!I27</f>
        <v>2.1621668099742051</v>
      </c>
      <c r="J46" s="26">
        <f>[1]ISI!J42+[1]NFM!J58+[1]CHI!J47+[1]NMM!J46+[1]PPA!J47+[1]FBT!J27+[1]TRE!J27+[1]MAE!J27+[1]TEL!J27+[1]WWP!J27+[1]OIS!J27</f>
        <v>2.6191745485812556</v>
      </c>
      <c r="K46" s="26">
        <f>[1]ISI!K42+[1]NFM!K58+[1]CHI!K47+[1]NMM!K46+[1]PPA!K47+[1]FBT!K27+[1]TRE!K27+[1]MAE!K27+[1]TEL!K27+[1]WWP!K27+[1]OIS!K27</f>
        <v>2.9577815993121233</v>
      </c>
      <c r="L46" s="26">
        <f>[1]ISI!L42+[1]NFM!L58+[1]CHI!L47+[1]NMM!L46+[1]PPA!L47+[1]FBT!L27+[1]TRE!L27+[1]MAE!L27+[1]TEL!L27+[1]WWP!L27+[1]OIS!L27</f>
        <v>9.9671539122957871</v>
      </c>
      <c r="M46" s="26">
        <f>[1]ISI!M42+[1]NFM!M58+[1]CHI!M47+[1]NMM!M46+[1]PPA!M47+[1]FBT!M27+[1]TRE!M27+[1]MAE!M27+[1]TEL!M27+[1]WWP!M27+[1]OIS!M27</f>
        <v>10.515477214101461</v>
      </c>
      <c r="N46" s="26">
        <f>[1]ISI!N42+[1]NFM!N58+[1]CHI!N47+[1]NMM!N46+[1]PPA!N47+[1]FBT!N27+[1]TRE!N27+[1]MAE!N27+[1]TEL!N27+[1]WWP!N27+[1]OIS!N27</f>
        <v>11.611349957007738</v>
      </c>
      <c r="O46" s="26">
        <f>[1]ISI!O42+[1]NFM!O58+[1]CHI!O47+[1]NMM!O46+[1]PPA!O47+[1]FBT!O27+[1]TRE!O27+[1]MAE!O27+[1]TEL!O27+[1]WWP!O27+[1]OIS!O27</f>
        <v>12.676010318142733</v>
      </c>
      <c r="P46" s="26">
        <f>[1]ISI!P42+[1]NFM!P58+[1]CHI!P47+[1]NMM!P46+[1]PPA!P47+[1]FBT!P27+[1]TRE!P27+[1]MAE!P27+[1]TEL!P27+[1]WWP!P27+[1]OIS!P27</f>
        <v>13.851848667239896</v>
      </c>
      <c r="Q46" s="26">
        <f>[1]ISI!Q42+[1]NFM!Q58+[1]CHI!Q47+[1]NMM!Q46+[1]PPA!Q47+[1]FBT!Q27+[1]TRE!Q27+[1]MAE!Q27+[1]TEL!Q27+[1]WWP!Q27+[1]OIS!Q27</f>
        <v>14.639380911435943</v>
      </c>
      <c r="R46" s="26">
        <f>[1]ISI!R42+[1]NFM!R58+[1]CHI!R47+[1]NMM!R46+[1]PPA!R47+[1]FBT!R27+[1]TRE!R27+[1]MAE!R27+[1]TEL!R27+[1]WWP!R27+[1]OIS!R27</f>
        <v>15.248495270851244</v>
      </c>
      <c r="S46" s="26">
        <f>[1]ISI!S42+[1]NFM!S58+[1]CHI!S47+[1]NMM!S46+[1]PPA!S47+[1]FBT!S27+[1]TRE!S27+[1]MAE!S27+[1]TEL!S27+[1]WWP!S27+[1]OIS!S27</f>
        <v>16.216852966466032</v>
      </c>
      <c r="T46" s="26">
        <f>[1]ISI!T42+[1]NFM!T58+[1]CHI!T47+[1]NMM!T46+[1]PPA!T47+[1]FBT!T27+[1]TRE!T27+[1]MAE!T27+[1]TEL!T27+[1]WWP!T27+[1]OIS!T27</f>
        <v>17.590111779879617</v>
      </c>
      <c r="U46" s="26">
        <f>[1]ISI!U42+[1]NFM!U58+[1]CHI!U47+[1]NMM!U46+[1]PPA!U47+[1]FBT!U27+[1]TRE!U27+[1]MAE!U27+[1]TEL!U27+[1]WWP!U27+[1]OIS!U27</f>
        <v>18.341702493551157</v>
      </c>
      <c r="V46" s="26">
        <f>[1]ISI!V42+[1]NFM!V58+[1]CHI!V47+[1]NMM!V46+[1]PPA!V47+[1]FBT!V27+[1]TRE!V27+[1]MAE!V27+[1]TEL!V27+[1]WWP!V27+[1]OIS!V27</f>
        <v>17.271539122957872</v>
      </c>
      <c r="W46" s="26">
        <f>[1]ISI!W42+[1]NFM!W58+[1]CHI!W47+[1]NMM!W46+[1]PPA!W47+[1]FBT!W27+[1]TRE!W27+[1]MAE!W27+[1]TEL!W27+[1]WWP!W27+[1]OIS!W27</f>
        <v>18.375666380051584</v>
      </c>
    </row>
    <row r="47" spans="1:23" ht="12" customHeight="1" x14ac:dyDescent="0.35">
      <c r="A47" s="11" t="s">
        <v>43</v>
      </c>
      <c r="B47" s="26">
        <f>[1]ISI!B43+[1]NFM!B59+[1]CHI!B48+[1]NMM!B47+[1]PPA!B48+[1]FBT!B28+[1]TRE!B28+[1]MAE!B28+[1]TEL!B28+[1]WWP!B28+[1]OIS!B28</f>
        <v>0.28658641444539984</v>
      </c>
      <c r="C47" s="26">
        <f>[1]ISI!C43+[1]NFM!C59+[1]CHI!C48+[1]NMM!C47+[1]PPA!C48+[1]FBT!C28+[1]TRE!C28+[1]MAE!C28+[1]TEL!C28+[1]WWP!C28+[1]OIS!C28</f>
        <v>0.74041272570937222</v>
      </c>
      <c r="D47" s="26">
        <f>[1]ISI!D43+[1]NFM!D59+[1]CHI!D48+[1]NMM!D47+[1]PPA!D48+[1]FBT!D28+[1]TRE!D28+[1]MAE!D28+[1]TEL!D28+[1]WWP!D28+[1]OIS!D28</f>
        <v>0.45382631126397249</v>
      </c>
      <c r="E47" s="26">
        <f>[1]ISI!E43+[1]NFM!E59+[1]CHI!E48+[1]NMM!E47+[1]PPA!E48+[1]FBT!E28+[1]TRE!E28+[1]MAE!E28+[1]TEL!E28+[1]WWP!E28+[1]OIS!E28</f>
        <v>2.937833190025795</v>
      </c>
      <c r="F47" s="26">
        <f>[1]ISI!F43+[1]NFM!F59+[1]CHI!F48+[1]NMM!F47+[1]PPA!F48+[1]FBT!F28+[1]TRE!F28+[1]MAE!F28+[1]TEL!F28+[1]WWP!F28+[1]OIS!F28</f>
        <v>2.1974204643164232</v>
      </c>
      <c r="G47" s="26">
        <f>[1]ISI!G43+[1]NFM!G59+[1]CHI!G48+[1]NMM!G47+[1]PPA!G48+[1]FBT!G28+[1]TRE!G28+[1]MAE!G28+[1]TEL!G28+[1]WWP!G28+[1]OIS!G28</f>
        <v>2.2690455717970766</v>
      </c>
      <c r="H47" s="26">
        <f>[1]ISI!H43+[1]NFM!H59+[1]CHI!H48+[1]NMM!H47+[1]PPA!H48+[1]FBT!H28+[1]TRE!H28+[1]MAE!H28+[1]TEL!H28+[1]WWP!H28+[1]OIS!H28</f>
        <v>2.0063628546861567</v>
      </c>
      <c r="I47" s="26">
        <f>[1]ISI!I43+[1]NFM!I59+[1]CHI!I48+[1]NMM!I47+[1]PPA!I48+[1]FBT!I28+[1]TRE!I28+[1]MAE!I28+[1]TEL!I28+[1]WWP!I28+[1]OIS!I28</f>
        <v>1.8869303525365435</v>
      </c>
      <c r="J47" s="26">
        <f>[1]ISI!J43+[1]NFM!J59+[1]CHI!J48+[1]NMM!J47+[1]PPA!J48+[1]FBT!J28+[1]TRE!J28+[1]MAE!J28+[1]TEL!J28+[1]WWP!J28+[1]OIS!J28</f>
        <v>1.6002579535683576</v>
      </c>
      <c r="K47" s="26">
        <f>[1]ISI!K43+[1]NFM!K59+[1]CHI!K48+[1]NMM!K47+[1]PPA!K48+[1]FBT!K28+[1]TRE!K28+[1]MAE!K28+[1]TEL!K28+[1]WWP!K28+[1]OIS!K28</f>
        <v>1.3136715391229576</v>
      </c>
      <c r="L47" s="26">
        <f>[1]ISI!L43+[1]NFM!L59+[1]CHI!L48+[1]NMM!L47+[1]PPA!L48+[1]FBT!L28+[1]TRE!L28+[1]MAE!L28+[1]TEL!L28+[1]WWP!L28+[1]OIS!L28</f>
        <v>6.5443680137575235</v>
      </c>
      <c r="M47" s="26">
        <f>[1]ISI!M43+[1]NFM!M59+[1]CHI!M48+[1]NMM!M47+[1]PPA!M48+[1]FBT!M28+[1]TRE!M28+[1]MAE!M28+[1]TEL!M28+[1]WWP!M28+[1]OIS!M28</f>
        <v>5.4933791917454853</v>
      </c>
      <c r="N47" s="26">
        <f>[1]ISI!N43+[1]NFM!N59+[1]CHI!N48+[1]NMM!N47+[1]PPA!N48+[1]FBT!N28+[1]TRE!N28+[1]MAE!N28+[1]TEL!N28+[1]WWP!N28+[1]OIS!N28</f>
        <v>4.0604471195184857</v>
      </c>
      <c r="O47" s="26">
        <f>[1]ISI!O43+[1]NFM!O59+[1]CHI!O48+[1]NMM!O47+[1]PPA!O48+[1]FBT!O28+[1]TRE!O28+[1]MAE!O28+[1]TEL!O28+[1]WWP!O28+[1]OIS!O28</f>
        <v>3.8931212381771276</v>
      </c>
      <c r="P47" s="26">
        <f>[1]ISI!P43+[1]NFM!P59+[1]CHI!P48+[1]NMM!P47+[1]PPA!P48+[1]FBT!P28+[1]TRE!P28+[1]MAE!P28+[1]TEL!P28+[1]WWP!P28+[1]OIS!P28</f>
        <v>3.391745485812554</v>
      </c>
      <c r="Q47" s="26">
        <f>[1]ISI!Q43+[1]NFM!Q59+[1]CHI!Q48+[1]NMM!Q47+[1]PPA!Q48+[1]FBT!Q28+[1]TRE!Q28+[1]MAE!Q28+[1]TEL!Q28+[1]WWP!Q28+[1]OIS!Q28</f>
        <v>3.5827171109200346</v>
      </c>
      <c r="R47" s="26">
        <f>[1]ISI!R43+[1]NFM!R59+[1]CHI!R48+[1]NMM!R47+[1]PPA!R48+[1]FBT!R28+[1]TRE!R28+[1]MAE!R28+[1]TEL!R28+[1]WWP!R28+[1]OIS!R28</f>
        <v>6.974290627687016</v>
      </c>
      <c r="S47" s="26">
        <f>[1]ISI!S43+[1]NFM!S59+[1]CHI!S48+[1]NMM!S47+[1]PPA!S48+[1]FBT!S28+[1]TRE!S28+[1]MAE!S28+[1]TEL!S28+[1]WWP!S28+[1]OIS!S28</f>
        <v>4.9993981083404986</v>
      </c>
      <c r="T47" s="26">
        <f>[1]ISI!T43+[1]NFM!T59+[1]CHI!T48+[1]NMM!T47+[1]PPA!T48+[1]FBT!T28+[1]TRE!T28+[1]MAE!T28+[1]TEL!T28+[1]WWP!T28+[1]OIS!T28</f>
        <v>3.1549441100601889</v>
      </c>
      <c r="U47" s="26">
        <f>[1]ISI!U43+[1]NFM!U59+[1]CHI!U48+[1]NMM!U47+[1]PPA!U48+[1]FBT!U28+[1]TRE!U28+[1]MAE!U28+[1]TEL!U28+[1]WWP!U28+[1]OIS!U28</f>
        <v>3.1478933791917445</v>
      </c>
      <c r="V47" s="26">
        <f>[1]ISI!V43+[1]NFM!V59+[1]CHI!V48+[1]NMM!V47+[1]PPA!V48+[1]FBT!V28+[1]TRE!V28+[1]MAE!V28+[1]TEL!V28+[1]WWP!V28+[1]OIS!V28</f>
        <v>3.4454858125537413</v>
      </c>
      <c r="W47" s="26">
        <f>[1]ISI!W43+[1]NFM!W59+[1]CHI!W48+[1]NMM!W47+[1]PPA!W48+[1]FBT!W28+[1]TRE!W28+[1]MAE!W28+[1]TEL!W28+[1]WWP!W28+[1]OIS!W28</f>
        <v>3.5442820292347368</v>
      </c>
    </row>
    <row r="48" spans="1:23" ht="12" customHeight="1" x14ac:dyDescent="0.35">
      <c r="A48" s="11" t="s">
        <v>44</v>
      </c>
      <c r="B48" s="26">
        <f>[1]ISI!B44+[1]NFM!B60+[1]CHI!B49+[1]NMM!B48+[1]PPA!B49+[1]FBT!B29+[1]TRE!B29+[1]MAE!B29+[1]TEL!B29+[1]WWP!B29+[1]OIS!B29</f>
        <v>21.63508168529664</v>
      </c>
      <c r="C48" s="26">
        <f>[1]ISI!C44+[1]NFM!C60+[1]CHI!C49+[1]NMM!C48+[1]PPA!C49+[1]FBT!C29+[1]TRE!C29+[1]MAE!C29+[1]TEL!C29+[1]WWP!C29+[1]OIS!C29</f>
        <v>22.342046431642302</v>
      </c>
      <c r="D48" s="26">
        <f>[1]ISI!D44+[1]NFM!D60+[1]CHI!D49+[1]NMM!D48+[1]PPA!D49+[1]FBT!D29+[1]TRE!D29+[1]MAE!D29+[1]TEL!D29+[1]WWP!D29+[1]OIS!D29</f>
        <v>23.059759243336192</v>
      </c>
      <c r="E48" s="26">
        <f>[1]ISI!E44+[1]NFM!E60+[1]CHI!E49+[1]NMM!E48+[1]PPA!E49+[1]FBT!E29+[1]TRE!E29+[1]MAE!E29+[1]TEL!E29+[1]WWP!E29+[1]OIS!E29</f>
        <v>23.40945829750645</v>
      </c>
      <c r="F48" s="26">
        <f>[1]ISI!F44+[1]NFM!F60+[1]CHI!F49+[1]NMM!F48+[1]PPA!F49+[1]FBT!F29+[1]TRE!F29+[1]MAE!F29+[1]TEL!F29+[1]WWP!F29+[1]OIS!F29</f>
        <v>23.798796216680994</v>
      </c>
      <c r="G48" s="26">
        <f>[1]ISI!G44+[1]NFM!G60+[1]CHI!G49+[1]NMM!G48+[1]PPA!G49+[1]FBT!G29+[1]TRE!G29+[1]MAE!G29+[1]TEL!G29+[1]WWP!G29+[1]OIS!G29</f>
        <v>28.470163370593291</v>
      </c>
      <c r="H48" s="26">
        <f>[1]ISI!H44+[1]NFM!H60+[1]CHI!H49+[1]NMM!H48+[1]PPA!H49+[1]FBT!H29+[1]TRE!H29+[1]MAE!H29+[1]TEL!H29+[1]WWP!H29+[1]OIS!H29</f>
        <v>31.908942390369734</v>
      </c>
      <c r="I48" s="26">
        <f>[1]ISI!I44+[1]NFM!I60+[1]CHI!I49+[1]NMM!I48+[1]PPA!I49+[1]FBT!I29+[1]TRE!I29+[1]MAE!I29+[1]TEL!I29+[1]WWP!I29+[1]OIS!I29</f>
        <v>31.816680997420463</v>
      </c>
      <c r="J48" s="26">
        <f>[1]ISI!J44+[1]NFM!J60+[1]CHI!J49+[1]NMM!J48+[1]PPA!J49+[1]FBT!J29+[1]TRE!J29+[1]MAE!J29+[1]TEL!J29+[1]WWP!J29+[1]OIS!J29</f>
        <v>32.834393809114353</v>
      </c>
      <c r="K48" s="26">
        <f>[1]ISI!K44+[1]NFM!K60+[1]CHI!K49+[1]NMM!K48+[1]PPA!K49+[1]FBT!K29+[1]TRE!K29+[1]MAE!K29+[1]TEL!K29+[1]WWP!K29+[1]OIS!K29</f>
        <v>36.147807394668959</v>
      </c>
      <c r="L48" s="26">
        <f>[1]ISI!L44+[1]NFM!L60+[1]CHI!L49+[1]NMM!L48+[1]PPA!L49+[1]FBT!L29+[1]TRE!L29+[1]MAE!L29+[1]TEL!L29+[1]WWP!L29+[1]OIS!L29</f>
        <v>40.871883061049004</v>
      </c>
      <c r="M48" s="26">
        <f>[1]ISI!M44+[1]NFM!M60+[1]CHI!M49+[1]NMM!M48+[1]PPA!M49+[1]FBT!M29+[1]TRE!M29+[1]MAE!M29+[1]TEL!M29+[1]WWP!M29+[1]OIS!M29</f>
        <v>45.355546001719695</v>
      </c>
      <c r="N48" s="26">
        <f>[1]ISI!N44+[1]NFM!N60+[1]CHI!N49+[1]NMM!N48+[1]PPA!N49+[1]FBT!N29+[1]TRE!N29+[1]MAE!N29+[1]TEL!N29+[1]WWP!N29+[1]OIS!N29</f>
        <v>49.400257953568378</v>
      </c>
      <c r="O48" s="26">
        <f>[1]ISI!O44+[1]NFM!O60+[1]CHI!O49+[1]NMM!O48+[1]PPA!O49+[1]FBT!O29+[1]TRE!O29+[1]MAE!O29+[1]TEL!O29+[1]WWP!O29+[1]OIS!O29</f>
        <v>53.94471195184866</v>
      </c>
      <c r="P48" s="26">
        <f>[1]ISI!P44+[1]NFM!P60+[1]CHI!P49+[1]NMM!P48+[1]PPA!P49+[1]FBT!P29+[1]TRE!P29+[1]MAE!P29+[1]TEL!P29+[1]WWP!P29+[1]OIS!P29</f>
        <v>179.42751504729148</v>
      </c>
      <c r="Q48" s="26">
        <f>[1]ISI!Q44+[1]NFM!Q60+[1]CHI!Q49+[1]NMM!Q48+[1]PPA!Q49+[1]FBT!Q29+[1]TRE!Q29+[1]MAE!Q29+[1]TEL!Q29+[1]WWP!Q29+[1]OIS!Q29</f>
        <v>199.38254514187449</v>
      </c>
      <c r="R48" s="26">
        <f>[1]ISI!R44+[1]NFM!R60+[1]CHI!R49+[1]NMM!R48+[1]PPA!R49+[1]FBT!R29+[1]TRE!R29+[1]MAE!R29+[1]TEL!R29+[1]WWP!R29+[1]OIS!R29</f>
        <v>223.32373172828892</v>
      </c>
      <c r="S48" s="26">
        <f>[1]ISI!S44+[1]NFM!S60+[1]CHI!S49+[1]NMM!S48+[1]PPA!S49+[1]FBT!S29+[1]TRE!S29+[1]MAE!S29+[1]TEL!S29+[1]WWP!S29+[1]OIS!S29</f>
        <v>247.90300945829748</v>
      </c>
      <c r="T48" s="26">
        <f>[1]ISI!T44+[1]NFM!T60+[1]CHI!T49+[1]NMM!T48+[1]PPA!T49+[1]FBT!T29+[1]TRE!T29+[1]MAE!T29+[1]TEL!T29+[1]WWP!T29+[1]OIS!T29</f>
        <v>287.2284608770421</v>
      </c>
      <c r="U48" s="26">
        <f>[1]ISI!U44+[1]NFM!U60+[1]CHI!U49+[1]NMM!U48+[1]PPA!U49+[1]FBT!U29+[1]TRE!U29+[1]MAE!U29+[1]TEL!U29+[1]WWP!U29+[1]OIS!U29</f>
        <v>316.82218400687867</v>
      </c>
      <c r="V48" s="26">
        <f>[1]ISI!V44+[1]NFM!V60+[1]CHI!V49+[1]NMM!V48+[1]PPA!V49+[1]FBT!V29+[1]TRE!V29+[1]MAE!V29+[1]TEL!V29+[1]WWP!V29+[1]OIS!V29</f>
        <v>346.83585554600177</v>
      </c>
      <c r="W48" s="26">
        <f>[1]ISI!W44+[1]NFM!W60+[1]CHI!W49+[1]NMM!W48+[1]PPA!W49+[1]FBT!W29+[1]TRE!W29+[1]MAE!W29+[1]TEL!W29+[1]WWP!W29+[1]OIS!W29</f>
        <v>380.67472055030089</v>
      </c>
    </row>
    <row r="49" spans="1:23" ht="12" customHeight="1" x14ac:dyDescent="0.35">
      <c r="A49" s="13" t="s">
        <v>45</v>
      </c>
      <c r="B49" s="28">
        <f>[1]ISI!B45+[1]NFM!B61+[1]CHI!B50+[1]NMM!B49+[1]PPA!B50+[1]FBT!B30+[1]TRE!B30+[1]MAE!B30+[1]TEL!B30+[1]WWP!B30+[1]OIS!B30</f>
        <v>9982.4245915735155</v>
      </c>
      <c r="C49" s="28">
        <f>[1]ISI!C45+[1]NFM!C61+[1]CHI!C50+[1]NMM!C49+[1]PPA!C50+[1]FBT!C30+[1]TRE!C30+[1]MAE!C30+[1]TEL!C30+[1]WWP!C30+[1]OIS!C30</f>
        <v>10023.800515907136</v>
      </c>
      <c r="D49" s="28">
        <f>[1]ISI!D45+[1]NFM!D61+[1]CHI!D50+[1]NMM!D49+[1]PPA!D50+[1]FBT!D30+[1]TRE!D30+[1]MAE!D30+[1]TEL!D30+[1]WWP!D30+[1]OIS!D30</f>
        <v>10395.448065348239</v>
      </c>
      <c r="E49" s="28">
        <f>[1]ISI!E45+[1]NFM!E61+[1]CHI!E50+[1]NMM!E49+[1]PPA!E50+[1]FBT!E30+[1]TRE!E30+[1]MAE!E30+[1]TEL!E30+[1]WWP!E30+[1]OIS!E30</f>
        <v>12898.304127257095</v>
      </c>
      <c r="F49" s="28">
        <f>[1]ISI!F45+[1]NFM!F61+[1]CHI!F50+[1]NMM!F49+[1]PPA!F50+[1]FBT!F30+[1]TRE!F30+[1]MAE!F30+[1]TEL!F30+[1]WWP!F30+[1]OIS!F30</f>
        <v>15034.64729148753</v>
      </c>
      <c r="G49" s="28">
        <f>[1]ISI!G45+[1]NFM!G61+[1]CHI!G50+[1]NMM!G49+[1]PPA!G50+[1]FBT!G30+[1]TRE!G30+[1]MAE!G30+[1]TEL!G30+[1]WWP!G30+[1]OIS!G30</f>
        <v>15089.882287188306</v>
      </c>
      <c r="H49" s="28">
        <f>[1]ISI!H45+[1]NFM!H61+[1]CHI!H50+[1]NMM!H49+[1]PPA!H50+[1]FBT!H30+[1]TRE!H30+[1]MAE!H30+[1]TEL!H30+[1]WWP!H30+[1]OIS!H30</f>
        <v>15464.34385210662</v>
      </c>
      <c r="I49" s="28">
        <f>[1]ISI!I45+[1]NFM!I61+[1]CHI!I50+[1]NMM!I49+[1]PPA!I50+[1]FBT!I30+[1]TRE!I30+[1]MAE!I30+[1]TEL!I30+[1]WWP!I30+[1]OIS!I30</f>
        <v>16477.373774720552</v>
      </c>
      <c r="J49" s="28">
        <f>[1]ISI!J45+[1]NFM!J61+[1]CHI!J50+[1]NMM!J49+[1]PPA!J50+[1]FBT!J30+[1]TRE!J30+[1]MAE!J30+[1]TEL!J30+[1]WWP!J30+[1]OIS!J30</f>
        <v>16469.032244196042</v>
      </c>
      <c r="K49" s="28">
        <f>[1]ISI!K45+[1]NFM!K61+[1]CHI!K50+[1]NMM!K49+[1]PPA!K50+[1]FBT!K30+[1]TRE!K30+[1]MAE!K30+[1]TEL!K30+[1]WWP!K30+[1]OIS!K30</f>
        <v>15491.035597592432</v>
      </c>
      <c r="L49" s="28">
        <f>[1]ISI!L45+[1]NFM!L61+[1]CHI!L50+[1]NMM!L49+[1]PPA!L50+[1]FBT!L30+[1]TRE!L30+[1]MAE!L30+[1]TEL!L30+[1]WWP!L30+[1]OIS!L30</f>
        <v>15732.324161650902</v>
      </c>
      <c r="M49" s="28">
        <f>[1]ISI!M45+[1]NFM!M61+[1]CHI!M50+[1]NMM!M49+[1]PPA!M50+[1]FBT!M30+[1]TRE!M30+[1]MAE!M30+[1]TEL!M30+[1]WWP!M30+[1]OIS!M30</f>
        <v>15780.89819432502</v>
      </c>
      <c r="N49" s="28">
        <f>[1]ISI!N45+[1]NFM!N61+[1]CHI!N50+[1]NMM!N49+[1]PPA!N50+[1]FBT!N30+[1]TRE!N30+[1]MAE!N30+[1]TEL!N30+[1]WWP!N30+[1]OIS!N30</f>
        <v>16489.318744625965</v>
      </c>
      <c r="O49" s="28">
        <f>[1]ISI!O45+[1]NFM!O61+[1]CHI!O50+[1]NMM!O49+[1]PPA!O50+[1]FBT!O30+[1]TRE!O30+[1]MAE!O30+[1]TEL!O30+[1]WWP!O30+[1]OIS!O30</f>
        <v>16312.625193465174</v>
      </c>
      <c r="P49" s="28">
        <f>[1]ISI!P45+[1]NFM!P61+[1]CHI!P50+[1]NMM!P49+[1]PPA!P50+[1]FBT!P30+[1]TRE!P30+[1]MAE!P30+[1]TEL!P30+[1]WWP!P30+[1]OIS!P30</f>
        <v>15370.136801375751</v>
      </c>
      <c r="Q49" s="28">
        <f>[1]ISI!Q45+[1]NFM!Q61+[1]CHI!Q50+[1]NMM!Q49+[1]PPA!Q50+[1]FBT!Q30+[1]TRE!Q30+[1]MAE!Q30+[1]TEL!Q30+[1]WWP!Q30+[1]OIS!Q30</f>
        <v>15174.203095442816</v>
      </c>
      <c r="R49" s="28">
        <f>[1]ISI!R45+[1]NFM!R61+[1]CHI!R50+[1]NMM!R49+[1]PPA!R50+[1]FBT!R30+[1]TRE!R30+[1]MAE!R30+[1]TEL!R30+[1]WWP!R30+[1]OIS!R30</f>
        <v>15546.628030954427</v>
      </c>
      <c r="S49" s="28">
        <f>[1]ISI!S45+[1]NFM!S61+[1]CHI!S50+[1]NMM!S49+[1]PPA!S50+[1]FBT!S30+[1]TRE!S30+[1]MAE!S30+[1]TEL!S30+[1]WWP!S30+[1]OIS!S30</f>
        <v>15386.432932072228</v>
      </c>
      <c r="T49" s="28">
        <f>[1]ISI!T45+[1]NFM!T61+[1]CHI!T50+[1]NMM!T49+[1]PPA!T50+[1]FBT!T30+[1]TRE!T30+[1]MAE!T30+[1]TEL!T30+[1]WWP!T30+[1]OIS!T30</f>
        <v>15369.623731728287</v>
      </c>
      <c r="U49" s="28">
        <f>[1]ISI!U45+[1]NFM!U61+[1]CHI!U50+[1]NMM!U49+[1]PPA!U50+[1]FBT!U30+[1]TRE!U30+[1]MAE!U30+[1]TEL!U30+[1]WWP!U30+[1]OIS!U30</f>
        <v>15649.52072226999</v>
      </c>
      <c r="V49" s="28">
        <f>[1]ISI!V45+[1]NFM!V61+[1]CHI!V50+[1]NMM!V49+[1]PPA!V50+[1]FBT!V30+[1]TRE!V30+[1]MAE!V30+[1]TEL!V30+[1]WWP!V30+[1]OIS!V30</f>
        <v>14641.405846947549</v>
      </c>
      <c r="W49" s="28">
        <f>[1]ISI!W45+[1]NFM!W61+[1]CHI!W50+[1]NMM!W49+[1]PPA!W50+[1]FBT!W30+[1]TRE!W30+[1]MAE!W30+[1]TEL!W30+[1]WWP!W30+[1]OIS!W30</f>
        <v>14830.842734307824</v>
      </c>
    </row>
    <row r="50" spans="1:23" ht="12" customHeight="1" x14ac:dyDescent="0.35">
      <c r="A50" s="14" t="s">
        <v>46</v>
      </c>
      <c r="B50" s="29">
        <f>[1]ISI!B46+[1]NFM!B62+[1]CHI!B51+[1]NMM!B50+[1]PPA!B51+[1]FBT!B31+[1]TRE!B31+[1]MAE!B31+[1]TEL!B31+[1]WWP!B31+[1]OIS!B31</f>
        <v>81312.085640584672</v>
      </c>
      <c r="C50" s="29">
        <f>[1]ISI!C46+[1]NFM!C62+[1]CHI!C51+[1]NMM!C50+[1]PPA!C51+[1]FBT!C31+[1]TRE!C31+[1]MAE!C31+[1]TEL!C31+[1]WWP!C31+[1]OIS!C31</f>
        <v>82730.06362854685</v>
      </c>
      <c r="D50" s="29">
        <f>[1]ISI!D46+[1]NFM!D62+[1]CHI!D51+[1]NMM!D50+[1]PPA!D51+[1]FBT!D31+[1]TRE!D31+[1]MAE!D31+[1]TEL!D31+[1]WWP!D31+[1]OIS!D31</f>
        <v>83203.438263112635</v>
      </c>
      <c r="E50" s="29">
        <f>[1]ISI!E46+[1]NFM!E62+[1]CHI!E51+[1]NMM!E50+[1]PPA!E51+[1]FBT!E31+[1]TRE!E31+[1]MAE!E31+[1]TEL!E31+[1]WWP!E31+[1]OIS!E31</f>
        <v>84194.588650042992</v>
      </c>
      <c r="F50" s="29">
        <f>[1]ISI!F46+[1]NFM!F62+[1]CHI!F51+[1]NMM!F50+[1]PPA!F51+[1]FBT!F31+[1]TRE!F31+[1]MAE!F31+[1]TEL!F31+[1]WWP!F31+[1]OIS!F31</f>
        <v>86627.694496990531</v>
      </c>
      <c r="G50" s="29">
        <f>[1]ISI!G46+[1]NFM!G62+[1]CHI!G51+[1]NMM!G50+[1]PPA!G51+[1]FBT!G31+[1]TRE!G31+[1]MAE!G31+[1]TEL!G31+[1]WWP!G31+[1]OIS!G31</f>
        <v>87253.342906276856</v>
      </c>
      <c r="H50" s="29">
        <f>[1]ISI!H46+[1]NFM!H62+[1]CHI!H51+[1]NMM!H50+[1]PPA!H51+[1]FBT!H31+[1]TRE!H31+[1]MAE!H31+[1]TEL!H31+[1]WWP!H31+[1]OIS!H31</f>
        <v>87203.110060189152</v>
      </c>
      <c r="I50" s="29">
        <f>[1]ISI!I46+[1]NFM!I62+[1]CHI!I51+[1]NMM!I50+[1]PPA!I51+[1]FBT!I31+[1]TRE!I31+[1]MAE!I31+[1]TEL!I31+[1]WWP!I31+[1]OIS!I31</f>
        <v>88359.497248495274</v>
      </c>
      <c r="J50" s="29">
        <f>[1]ISI!J46+[1]NFM!J62+[1]CHI!J51+[1]NMM!J50+[1]PPA!J51+[1]FBT!J31+[1]TRE!J31+[1]MAE!J31+[1]TEL!J31+[1]WWP!J31+[1]OIS!J31</f>
        <v>86266.45528804815</v>
      </c>
      <c r="K50" s="29">
        <f>[1]ISI!K46+[1]NFM!K62+[1]CHI!K51+[1]NMM!K50+[1]PPA!K51+[1]FBT!K31+[1]TRE!K31+[1]MAE!K31+[1]TEL!K31+[1]WWP!K31+[1]OIS!K31</f>
        <v>74302.215305245059</v>
      </c>
      <c r="L50" s="29">
        <f>[1]ISI!L46+[1]NFM!L62+[1]CHI!L51+[1]NMM!L50+[1]PPA!L51+[1]FBT!L31+[1]TRE!L31+[1]MAE!L31+[1]TEL!L31+[1]WWP!L31+[1]OIS!L31</f>
        <v>79594.505846947548</v>
      </c>
      <c r="M50" s="29">
        <f>[1]ISI!M46+[1]NFM!M62+[1]CHI!M51+[1]NMM!M50+[1]PPA!M51+[1]FBT!M31+[1]TRE!M31+[1]MAE!M31+[1]TEL!M31+[1]WWP!M31+[1]OIS!M31</f>
        <v>80530.474118658633</v>
      </c>
      <c r="N50" s="29">
        <f>[1]ISI!N46+[1]NFM!N62+[1]CHI!N51+[1]NMM!N50+[1]PPA!N51+[1]FBT!N31+[1]TRE!N31+[1]MAE!N31+[1]TEL!N31+[1]WWP!N31+[1]OIS!N31</f>
        <v>79127.837489251935</v>
      </c>
      <c r="O50" s="29">
        <f>[1]ISI!O46+[1]NFM!O62+[1]CHI!O51+[1]NMM!O50+[1]PPA!O51+[1]FBT!O31+[1]TRE!O31+[1]MAE!O31+[1]TEL!O31+[1]WWP!O31+[1]OIS!O31</f>
        <v>77938.719174548591</v>
      </c>
      <c r="P50" s="29">
        <f>[1]ISI!P46+[1]NFM!P62+[1]CHI!P51+[1]NMM!P50+[1]PPA!P51+[1]FBT!P31+[1]TRE!P31+[1]MAE!P31+[1]TEL!P31+[1]WWP!P31+[1]OIS!P31</f>
        <v>78254.787704213246</v>
      </c>
      <c r="Q50" s="29">
        <f>[1]ISI!Q46+[1]NFM!Q62+[1]CHI!Q51+[1]NMM!Q50+[1]PPA!Q51+[1]FBT!Q31+[1]TRE!Q31+[1]MAE!Q31+[1]TEL!Q31+[1]WWP!Q31+[1]OIS!Q31</f>
        <v>78578.38916595011</v>
      </c>
      <c r="R50" s="29">
        <f>[1]ISI!R46+[1]NFM!R62+[1]CHI!R51+[1]NMM!R50+[1]PPA!R51+[1]FBT!R31+[1]TRE!R31+[1]MAE!R31+[1]TEL!R31+[1]WWP!R31+[1]OIS!R31</f>
        <v>79612.492261392967</v>
      </c>
      <c r="S50" s="29">
        <f>[1]ISI!S46+[1]NFM!S62+[1]CHI!S51+[1]NMM!S50+[1]PPA!S51+[1]FBT!S31+[1]TRE!S31+[1]MAE!S31+[1]TEL!S31+[1]WWP!S31+[1]OIS!S31</f>
        <v>81030.635769561486</v>
      </c>
      <c r="T50" s="29">
        <f>[1]ISI!T46+[1]NFM!T62+[1]CHI!T51+[1]NMM!T50+[1]PPA!T51+[1]FBT!T31+[1]TRE!T31+[1]MAE!T31+[1]TEL!T31+[1]WWP!T31+[1]OIS!T31</f>
        <v>81292.929406706782</v>
      </c>
      <c r="U50" s="29">
        <f>[1]ISI!U46+[1]NFM!U62+[1]CHI!U51+[1]NMM!U50+[1]PPA!U51+[1]FBT!U31+[1]TRE!U31+[1]MAE!U31+[1]TEL!U31+[1]WWP!U31+[1]OIS!U31</f>
        <v>80216.927429062765</v>
      </c>
      <c r="V50" s="29">
        <f>[1]ISI!V46+[1]NFM!V62+[1]CHI!V51+[1]NMM!V50+[1]PPA!V51+[1]FBT!V31+[1]TRE!V31+[1]MAE!V31+[1]TEL!V31+[1]WWP!V31+[1]OIS!V31</f>
        <v>76101.275838349102</v>
      </c>
      <c r="W50" s="29">
        <f>[1]ISI!W46+[1]NFM!W62+[1]CHI!W51+[1]NMM!W50+[1]PPA!W51+[1]FBT!W31+[1]TRE!W31+[1]MAE!W31+[1]TEL!W31+[1]WWP!W31+[1]OIS!W31</f>
        <v>79933.897592433379</v>
      </c>
    </row>
    <row r="51" spans="1:23" ht="12" customHeight="1" x14ac:dyDescent="0.35">
      <c r="A51" s="24" t="s">
        <v>47</v>
      </c>
      <c r="B51" s="32">
        <f t="shared" ref="B51:W51" si="4">SUM(B52,B55,B61,B65,B69,B73:B78)</f>
        <v>269384.1220419007</v>
      </c>
      <c r="C51" s="32">
        <f t="shared" si="4"/>
        <v>268427.73490774364</v>
      </c>
      <c r="D51" s="32">
        <f t="shared" si="4"/>
        <v>268305.00206002104</v>
      </c>
      <c r="E51" s="32">
        <f t="shared" si="4"/>
        <v>275070.63350893365</v>
      </c>
      <c r="F51" s="32">
        <f t="shared" si="4"/>
        <v>274409.77516739746</v>
      </c>
      <c r="G51" s="32">
        <f t="shared" si="4"/>
        <v>274930.28112086153</v>
      </c>
      <c r="H51" s="32">
        <f t="shared" si="4"/>
        <v>269540.865584591</v>
      </c>
      <c r="I51" s="32">
        <f t="shared" si="4"/>
        <v>274240.64951933856</v>
      </c>
      <c r="J51" s="32">
        <f t="shared" si="4"/>
        <v>265072.24574376608</v>
      </c>
      <c r="K51" s="32">
        <f t="shared" si="4"/>
        <v>229181.37420464316</v>
      </c>
      <c r="L51" s="32">
        <f t="shared" si="4"/>
        <v>243878.36844368014</v>
      </c>
      <c r="M51" s="32">
        <f t="shared" si="4"/>
        <v>244386.22132416166</v>
      </c>
      <c r="N51" s="32">
        <f t="shared" si="4"/>
        <v>239836.10679277728</v>
      </c>
      <c r="O51" s="32">
        <f t="shared" si="4"/>
        <v>236914.08761822869</v>
      </c>
      <c r="P51" s="32">
        <f t="shared" si="4"/>
        <v>233441.63912295786</v>
      </c>
      <c r="Q51" s="32">
        <f t="shared" si="4"/>
        <v>233475.93740326737</v>
      </c>
      <c r="R51" s="32">
        <f t="shared" si="4"/>
        <v>237760.30068787615</v>
      </c>
      <c r="S51" s="32">
        <f t="shared" si="4"/>
        <v>239973.73955288046</v>
      </c>
      <c r="T51" s="32">
        <f t="shared" si="4"/>
        <v>241772.61891659498</v>
      </c>
      <c r="U51" s="32">
        <f t="shared" si="4"/>
        <v>238971.38658641442</v>
      </c>
      <c r="V51" s="32">
        <f t="shared" si="4"/>
        <v>230303.2716251075</v>
      </c>
      <c r="W51" s="32">
        <f t="shared" si="4"/>
        <v>243631.8245915735</v>
      </c>
    </row>
    <row r="52" spans="1:23" ht="12" customHeight="1" x14ac:dyDescent="0.35">
      <c r="A52" s="10" t="s">
        <v>1</v>
      </c>
      <c r="B52" s="31">
        <f>[1]ISI!B$47</f>
        <v>34962.264098184787</v>
      </c>
      <c r="C52" s="31">
        <f>[1]ISI!C$47</f>
        <v>33652.877643078064</v>
      </c>
      <c r="D52" s="31">
        <f>[1]ISI!D$47</f>
        <v>33212.353056093525</v>
      </c>
      <c r="E52" s="31">
        <f>[1]ISI!E$47</f>
        <v>34789.524364637553</v>
      </c>
      <c r="F52" s="31">
        <f>[1]ISI!F$47</f>
        <v>35078.789582569894</v>
      </c>
      <c r="G52" s="31">
        <f>[1]ISI!G$47</f>
        <v>33523.186013506114</v>
      </c>
      <c r="H52" s="31">
        <f>[1]ISI!H$47</f>
        <v>34387.137753815987</v>
      </c>
      <c r="I52" s="31">
        <f>[1]ISI!I$47</f>
        <v>33041.719737974279</v>
      </c>
      <c r="J52" s="31">
        <f>[1]ISI!J$47</f>
        <v>30966.52337702033</v>
      </c>
      <c r="K52" s="31">
        <f>[1]ISI!K$47</f>
        <v>23100.011326961103</v>
      </c>
      <c r="L52" s="31">
        <f>[1]ISI!L$47</f>
        <v>26441.361501312786</v>
      </c>
      <c r="M52" s="31">
        <f>[1]ISI!M$47</f>
        <v>27812.683710965866</v>
      </c>
      <c r="N52" s="31">
        <f>[1]ISI!N$47</f>
        <v>26665.897282985832</v>
      </c>
      <c r="O52" s="31">
        <f>[1]ISI!O$47</f>
        <v>25519.467655170691</v>
      </c>
      <c r="P52" s="31">
        <f>[1]ISI!P$47</f>
        <v>25235.147851638674</v>
      </c>
      <c r="Q52" s="31">
        <f>[1]ISI!Q$47</f>
        <v>25786.541193339261</v>
      </c>
      <c r="R52" s="31">
        <f>[1]ISI!R$47</f>
        <v>25840.484054477129</v>
      </c>
      <c r="S52" s="31">
        <f>[1]ISI!S$47</f>
        <v>26251.879819118643</v>
      </c>
      <c r="T52" s="31">
        <f>[1]ISI!T$47</f>
        <v>26180.738296116127</v>
      </c>
      <c r="U52" s="31">
        <f>[1]ISI!U$47</f>
        <v>24586.48961865668</v>
      </c>
      <c r="V52" s="31">
        <f>[1]ISI!V$47</f>
        <v>22361.425337517456</v>
      </c>
      <c r="W52" s="31">
        <f>[1]ISI!W$47</f>
        <v>24254.125065189088</v>
      </c>
    </row>
    <row r="53" spans="1:23" ht="12" customHeight="1" x14ac:dyDescent="0.35">
      <c r="A53" s="11" t="s">
        <v>48</v>
      </c>
      <c r="B53" s="26">
        <f>[1]ISI!B$48</f>
        <v>26202.16866086343</v>
      </c>
      <c r="C53" s="26">
        <f>[1]ISI!C$48</f>
        <v>24768.911051159372</v>
      </c>
      <c r="D53" s="26">
        <f>[1]ISI!D$48</f>
        <v>24553.494458050529</v>
      </c>
      <c r="E53" s="26">
        <f>[1]ISI!E$48</f>
        <v>25724.244758257249</v>
      </c>
      <c r="F53" s="26">
        <f>[1]ISI!F$48</f>
        <v>25703.50755222109</v>
      </c>
      <c r="G53" s="26">
        <f>[1]ISI!G$48</f>
        <v>24470.214407690841</v>
      </c>
      <c r="H53" s="26">
        <f>[1]ISI!H$48</f>
        <v>24803.043508241331</v>
      </c>
      <c r="I53" s="26">
        <f>[1]ISI!I$48</f>
        <v>23652.606699539901</v>
      </c>
      <c r="J53" s="26">
        <f>[1]ISI!J$48</f>
        <v>21774.052545313669</v>
      </c>
      <c r="K53" s="26">
        <f>[1]ISI!K$48</f>
        <v>15873.52828091403</v>
      </c>
      <c r="L53" s="26">
        <f>[1]ISI!L$48</f>
        <v>18701.27085781801</v>
      </c>
      <c r="M53" s="26">
        <f>[1]ISI!M$48</f>
        <v>19676.640032110019</v>
      </c>
      <c r="N53" s="26">
        <f>[1]ISI!N$48</f>
        <v>18812.09005750747</v>
      </c>
      <c r="O53" s="26">
        <f>[1]ISI!O$48</f>
        <v>18277.990026701162</v>
      </c>
      <c r="P53" s="26">
        <f>[1]ISI!P$48</f>
        <v>18085.02732126417</v>
      </c>
      <c r="Q53" s="26">
        <f>[1]ISI!Q$48</f>
        <v>18424.39544016746</v>
      </c>
      <c r="R53" s="26">
        <f>[1]ISI!R$48</f>
        <v>18558.41986408853</v>
      </c>
      <c r="S53" s="26">
        <f>[1]ISI!S$48</f>
        <v>18634.942917662662</v>
      </c>
      <c r="T53" s="26">
        <f>[1]ISI!T$48</f>
        <v>18311.688058822499</v>
      </c>
      <c r="U53" s="26">
        <f>[1]ISI!U$48</f>
        <v>17100.231708107491</v>
      </c>
      <c r="V53" s="26">
        <f>[1]ISI!V$48</f>
        <v>15346.921489489599</v>
      </c>
      <c r="W53" s="26">
        <f>[1]ISI!W$48</f>
        <v>16627.144498676509</v>
      </c>
    </row>
    <row r="54" spans="1:23" ht="12" customHeight="1" x14ac:dyDescent="0.35">
      <c r="A54" s="11" t="s">
        <v>49</v>
      </c>
      <c r="B54" s="26">
        <f>[1]ISI!B$49</f>
        <v>8760.0954373213553</v>
      </c>
      <c r="C54" s="26">
        <f>[1]ISI!C$49</f>
        <v>8883.9665919186937</v>
      </c>
      <c r="D54" s="26">
        <f>[1]ISI!D$49</f>
        <v>8658.8585980429943</v>
      </c>
      <c r="E54" s="26">
        <f>[1]ISI!E$49</f>
        <v>9065.2796063803016</v>
      </c>
      <c r="F54" s="26">
        <f>[1]ISI!F$49</f>
        <v>9375.2820303488024</v>
      </c>
      <c r="G54" s="26">
        <f>[1]ISI!G$49</f>
        <v>9052.9716058152699</v>
      </c>
      <c r="H54" s="26">
        <f>[1]ISI!H$49</f>
        <v>9584.0942455746535</v>
      </c>
      <c r="I54" s="26">
        <f>[1]ISI!I$49</f>
        <v>9389.1130384343778</v>
      </c>
      <c r="J54" s="26">
        <f>[1]ISI!J$49</f>
        <v>9192.4708317066616</v>
      </c>
      <c r="K54" s="26">
        <f>[1]ISI!K$49</f>
        <v>7226.4830460470748</v>
      </c>
      <c r="L54" s="26">
        <f>[1]ISI!L$49</f>
        <v>7740.0906434947756</v>
      </c>
      <c r="M54" s="26">
        <f>[1]ISI!M$49</f>
        <v>8136.0436788558463</v>
      </c>
      <c r="N54" s="26">
        <f>[1]ISI!N$49</f>
        <v>7853.807225478361</v>
      </c>
      <c r="O54" s="26">
        <f>[1]ISI!O$49</f>
        <v>7241.4776284695281</v>
      </c>
      <c r="P54" s="26">
        <f>[1]ISI!P$49</f>
        <v>7150.1205303745037</v>
      </c>
      <c r="Q54" s="26">
        <f>[1]ISI!Q$49</f>
        <v>7362.1457531718024</v>
      </c>
      <c r="R54" s="26">
        <f>[1]ISI!R$49</f>
        <v>7282.0641903886008</v>
      </c>
      <c r="S54" s="26">
        <f>[1]ISI!S$49</f>
        <v>7616.9369014559807</v>
      </c>
      <c r="T54" s="26">
        <f>[1]ISI!T$49</f>
        <v>7869.0502372936271</v>
      </c>
      <c r="U54" s="26">
        <f>[1]ISI!U$49</f>
        <v>7486.2579105491895</v>
      </c>
      <c r="V54" s="26">
        <f>[1]ISI!V$49</f>
        <v>7014.5038480278563</v>
      </c>
      <c r="W54" s="26">
        <f>[1]ISI!W$49</f>
        <v>7626.9805665125796</v>
      </c>
    </row>
    <row r="55" spans="1:23" ht="12" customHeight="1" x14ac:dyDescent="0.35">
      <c r="A55" s="12" t="s">
        <v>2</v>
      </c>
      <c r="B55" s="27">
        <f>[1]NFM!B$63</f>
        <v>11105.870302876563</v>
      </c>
      <c r="C55" s="27">
        <f>[1]NFM!C$63</f>
        <v>11130.396272180147</v>
      </c>
      <c r="D55" s="27">
        <f>[1]NFM!D$63</f>
        <v>11288.319766475644</v>
      </c>
      <c r="E55" s="27">
        <f>[1]NFM!E$63</f>
        <v>11083.68097761364</v>
      </c>
      <c r="F55" s="27">
        <f>[1]NFM!F$63</f>
        <v>11541.523376264042</v>
      </c>
      <c r="G55" s="27">
        <f>[1]NFM!G$63</f>
        <v>11272.434606931631</v>
      </c>
      <c r="H55" s="27">
        <f>[1]NFM!H$63</f>
        <v>10805.985759324183</v>
      </c>
      <c r="I55" s="27">
        <f>[1]NFM!I$63</f>
        <v>10876.383432142233</v>
      </c>
      <c r="J55" s="27">
        <f>[1]NFM!J$63</f>
        <v>10447.052114252663</v>
      </c>
      <c r="K55" s="27">
        <f>[1]NFM!K$63</f>
        <v>8619.8743556194095</v>
      </c>
      <c r="L55" s="27">
        <f>[1]NFM!L$63</f>
        <v>9441.7221252830113</v>
      </c>
      <c r="M55" s="27">
        <f>[1]NFM!M$63</f>
        <v>9816.5569498236</v>
      </c>
      <c r="N55" s="27">
        <f>[1]NFM!N$63</f>
        <v>9025.0935388435428</v>
      </c>
      <c r="O55" s="27">
        <f>[1]NFM!O$63</f>
        <v>8860.37638635025</v>
      </c>
      <c r="P55" s="27">
        <f>[1]NFM!P$63</f>
        <v>8730.4657211224712</v>
      </c>
      <c r="Q55" s="27">
        <f>[1]NFM!Q$63</f>
        <v>9247.0413873623802</v>
      </c>
      <c r="R55" s="27">
        <f>[1]NFM!R$63</f>
        <v>9414.6104572423574</v>
      </c>
      <c r="S55" s="27">
        <f>[1]NFM!S$63</f>
        <v>9511.2345680311537</v>
      </c>
      <c r="T55" s="27">
        <f>[1]NFM!T$63</f>
        <v>9710.8916211729975</v>
      </c>
      <c r="U55" s="27">
        <f>[1]NFM!U$63</f>
        <v>9440.8298287057059</v>
      </c>
      <c r="V55" s="27">
        <f>[1]NFM!V$63</f>
        <v>9042.2427071057737</v>
      </c>
      <c r="W55" s="27">
        <f>[1]NFM!W$63</f>
        <v>9497.2515663914673</v>
      </c>
    </row>
    <row r="56" spans="1:23" ht="12" customHeight="1" x14ac:dyDescent="0.35">
      <c r="A56" s="11" t="s">
        <v>3</v>
      </c>
      <c r="B56" s="26">
        <f>[1]NFM!B$64</f>
        <v>2096.8087617897331</v>
      </c>
      <c r="C56" s="26">
        <f>[1]NFM!C$64</f>
        <v>1865.7610703477931</v>
      </c>
      <c r="D56" s="26">
        <f>[1]NFM!D$64</f>
        <v>2186.8933276796802</v>
      </c>
      <c r="E56" s="26">
        <f>[1]NFM!E$64</f>
        <v>2244.3132319062329</v>
      </c>
      <c r="F56" s="26">
        <f>[1]NFM!F$64</f>
        <v>2441.3270845567831</v>
      </c>
      <c r="G56" s="26">
        <f>[1]NFM!G$64</f>
        <v>2327.7644789246792</v>
      </c>
      <c r="H56" s="26">
        <f>[1]NFM!H$64</f>
        <v>2394.5086250941131</v>
      </c>
      <c r="I56" s="26">
        <f>[1]NFM!I$64</f>
        <v>2170.0964898249149</v>
      </c>
      <c r="J56" s="26">
        <f>[1]NFM!J$64</f>
        <v>2112.7068844813411</v>
      </c>
      <c r="K56" s="26">
        <f>[1]NFM!K$64</f>
        <v>1631.1027716288991</v>
      </c>
      <c r="L56" s="26">
        <f>[1]NFM!L$64</f>
        <v>1983.323479457131</v>
      </c>
      <c r="M56" s="26">
        <f>[1]NFM!M$64</f>
        <v>2111.7717261541079</v>
      </c>
      <c r="N56" s="26">
        <f>[1]NFM!N$64</f>
        <v>1902.3250051865971</v>
      </c>
      <c r="O56" s="26">
        <f>[1]NFM!O$64</f>
        <v>1982.9434566547379</v>
      </c>
      <c r="P56" s="26">
        <f>[1]NFM!P$64</f>
        <v>1887.2809909901709</v>
      </c>
      <c r="Q56" s="26">
        <f>[1]NFM!Q$64</f>
        <v>1984.1873469239349</v>
      </c>
      <c r="R56" s="26">
        <f>[1]NFM!R$64</f>
        <v>1975.8061820152529</v>
      </c>
      <c r="S56" s="26">
        <f>[1]NFM!S$64</f>
        <v>1945.2773188408221</v>
      </c>
      <c r="T56" s="26">
        <f>[1]NFM!T$64</f>
        <v>2090.219450578064</v>
      </c>
      <c r="U56" s="26">
        <f>[1]NFM!U$64</f>
        <v>2053.7991241953991</v>
      </c>
      <c r="V56" s="26">
        <f>[1]NFM!V$64</f>
        <v>1952.5073657914329</v>
      </c>
      <c r="W56" s="26">
        <f>[1]NFM!W$64</f>
        <v>2038.608167666652</v>
      </c>
    </row>
    <row r="57" spans="1:23" ht="12" customHeight="1" x14ac:dyDescent="0.35">
      <c r="A57" s="11" t="s">
        <v>4</v>
      </c>
      <c r="B57" s="26">
        <f>[1]NFM!B$65</f>
        <v>4069.9499704778445</v>
      </c>
      <c r="C57" s="26">
        <f>[1]NFM!C$65</f>
        <v>4151.2972873232884</v>
      </c>
      <c r="D57" s="26">
        <f>[1]NFM!D$65</f>
        <v>4158.13196928054</v>
      </c>
      <c r="E57" s="26">
        <f>[1]NFM!E$65</f>
        <v>4135.7527311775184</v>
      </c>
      <c r="F57" s="26">
        <f>[1]NFM!F$65</f>
        <v>4305.9417109600954</v>
      </c>
      <c r="G57" s="26">
        <f>[1]NFM!G$65</f>
        <v>4313.473850823324</v>
      </c>
      <c r="H57" s="26">
        <f>[1]NFM!H$65</f>
        <v>4032.1733756065187</v>
      </c>
      <c r="I57" s="26">
        <f>[1]NFM!I$65</f>
        <v>4209.7439503248852</v>
      </c>
      <c r="J57" s="26">
        <f>[1]NFM!J$65</f>
        <v>4138.6511001061745</v>
      </c>
      <c r="K57" s="26">
        <f>[1]NFM!K$65</f>
        <v>3064.960890421949</v>
      </c>
      <c r="L57" s="26">
        <f>[1]NFM!L$65</f>
        <v>3332.8190473854811</v>
      </c>
      <c r="M57" s="26">
        <f>[1]NFM!M$65</f>
        <v>3573.0229781682597</v>
      </c>
      <c r="N57" s="26">
        <f>[1]NFM!N$65</f>
        <v>3101.2307864935688</v>
      </c>
      <c r="O57" s="26">
        <f>[1]NFM!O$65</f>
        <v>2866.8417123816171</v>
      </c>
      <c r="P57" s="26">
        <f>[1]NFM!P$65</f>
        <v>2721.5017657986455</v>
      </c>
      <c r="Q57" s="26">
        <f>[1]NFM!Q$65</f>
        <v>2915.6498208585376</v>
      </c>
      <c r="R57" s="26">
        <f>[1]NFM!R$65</f>
        <v>2959.4451330811767</v>
      </c>
      <c r="S57" s="26">
        <f>[1]NFM!S$65</f>
        <v>3240.028084202007</v>
      </c>
      <c r="T57" s="26">
        <f>[1]NFM!T$65</f>
        <v>3277.2425179745455</v>
      </c>
      <c r="U57" s="26">
        <f>[1]NFM!U$65</f>
        <v>3093.5788687811628</v>
      </c>
      <c r="V57" s="26">
        <f>[1]NFM!V$65</f>
        <v>2918.3459404938417</v>
      </c>
      <c r="W57" s="26">
        <f>[1]NFM!W$65</f>
        <v>2998.8014013515285</v>
      </c>
    </row>
    <row r="58" spans="1:23" ht="12" customHeight="1" x14ac:dyDescent="0.35">
      <c r="A58" s="15" t="s">
        <v>50</v>
      </c>
      <c r="B58" s="33">
        <f>[1]NFM!B$66</f>
        <v>3650.2451818409472</v>
      </c>
      <c r="C58" s="33">
        <f>[1]NFM!C$66</f>
        <v>3728.0313704324749</v>
      </c>
      <c r="D58" s="33">
        <f>[1]NFM!D$66</f>
        <v>3722.2949623018881</v>
      </c>
      <c r="E58" s="33">
        <f>[1]NFM!E$66</f>
        <v>3726.938165766006</v>
      </c>
      <c r="F58" s="33">
        <f>[1]NFM!F$66</f>
        <v>3884.499367883127</v>
      </c>
      <c r="G58" s="33">
        <f>[1]NFM!G$66</f>
        <v>3850.5063446888048</v>
      </c>
      <c r="H58" s="33">
        <f>[1]NFM!H$66</f>
        <v>3530.804679415025</v>
      </c>
      <c r="I58" s="33">
        <f>[1]NFM!I$66</f>
        <v>3685.4669226128349</v>
      </c>
      <c r="J58" s="33">
        <f>[1]NFM!J$66</f>
        <v>3648.2210848411842</v>
      </c>
      <c r="K58" s="33">
        <f>[1]NFM!K$66</f>
        <v>2679.0053636819998</v>
      </c>
      <c r="L58" s="33">
        <f>[1]NFM!L$66</f>
        <v>2855.436195941084</v>
      </c>
      <c r="M58" s="33">
        <f>[1]NFM!M$66</f>
        <v>3111.876943270941</v>
      </c>
      <c r="N58" s="33">
        <f>[1]NFM!N$66</f>
        <v>2636.2585436301429</v>
      </c>
      <c r="O58" s="33">
        <f>[1]NFM!O$66</f>
        <v>2410.9881818308131</v>
      </c>
      <c r="P58" s="33">
        <f>[1]NFM!P$66</f>
        <v>2315.2157619958771</v>
      </c>
      <c r="Q58" s="33">
        <f>[1]NFM!Q$66</f>
        <v>2513.0540182116488</v>
      </c>
      <c r="R58" s="33">
        <f>[1]NFM!R$66</f>
        <v>2529.7023875213431</v>
      </c>
      <c r="S58" s="33">
        <f>[1]NFM!S$66</f>
        <v>2777.7821048270798</v>
      </c>
      <c r="T58" s="33">
        <f>[1]NFM!T$66</f>
        <v>2796.5048943972929</v>
      </c>
      <c r="U58" s="33">
        <f>[1]NFM!U$66</f>
        <v>2638.1758994258162</v>
      </c>
      <c r="V58" s="33">
        <f>[1]NFM!V$66</f>
        <v>2530.9960379665731</v>
      </c>
      <c r="W58" s="33">
        <f>[1]NFM!W$66</f>
        <v>2572.7921147009029</v>
      </c>
    </row>
    <row r="59" spans="1:23" ht="12" customHeight="1" x14ac:dyDescent="0.35">
      <c r="A59" s="16" t="s">
        <v>51</v>
      </c>
      <c r="B59" s="34">
        <f>[1]NFM!B$67</f>
        <v>419.70478863689749</v>
      </c>
      <c r="C59" s="34">
        <f>[1]NFM!C$67</f>
        <v>423.26591689081391</v>
      </c>
      <c r="D59" s="34">
        <f>[1]NFM!D$67</f>
        <v>435.83700697865208</v>
      </c>
      <c r="E59" s="34">
        <f>[1]NFM!E$67</f>
        <v>408.81456541151238</v>
      </c>
      <c r="F59" s="34">
        <f>[1]NFM!F$67</f>
        <v>421.44234307696843</v>
      </c>
      <c r="G59" s="34">
        <f>[1]NFM!G$67</f>
        <v>462.96750613451911</v>
      </c>
      <c r="H59" s="34">
        <f>[1]NFM!H$67</f>
        <v>501.36869619149343</v>
      </c>
      <c r="I59" s="34">
        <f>[1]NFM!I$67</f>
        <v>524.27702771205009</v>
      </c>
      <c r="J59" s="34">
        <f>[1]NFM!J$67</f>
        <v>490.43001526498989</v>
      </c>
      <c r="K59" s="34">
        <f>[1]NFM!K$67</f>
        <v>385.95552673994928</v>
      </c>
      <c r="L59" s="34">
        <f>[1]NFM!L$67</f>
        <v>477.38285144439698</v>
      </c>
      <c r="M59" s="34">
        <f>[1]NFM!M$67</f>
        <v>461.14603489731888</v>
      </c>
      <c r="N59" s="34">
        <f>[1]NFM!N$67</f>
        <v>464.97224286342589</v>
      </c>
      <c r="O59" s="34">
        <f>[1]NFM!O$67</f>
        <v>455.85353055080373</v>
      </c>
      <c r="P59" s="34">
        <f>[1]NFM!P$67</f>
        <v>406.28600380276822</v>
      </c>
      <c r="Q59" s="34">
        <f>[1]NFM!Q$67</f>
        <v>402.59580264688901</v>
      </c>
      <c r="R59" s="34">
        <f>[1]NFM!R$67</f>
        <v>429.74274555983351</v>
      </c>
      <c r="S59" s="34">
        <f>[1]NFM!S$67</f>
        <v>462.245979374927</v>
      </c>
      <c r="T59" s="34">
        <f>[1]NFM!T$67</f>
        <v>480.73762357725252</v>
      </c>
      <c r="U59" s="34">
        <f>[1]NFM!U$67</f>
        <v>455.40296935534678</v>
      </c>
      <c r="V59" s="34">
        <f>[1]NFM!V$67</f>
        <v>387.34990252726863</v>
      </c>
      <c r="W59" s="34">
        <f>[1]NFM!W$67</f>
        <v>426.00928665062543</v>
      </c>
    </row>
    <row r="60" spans="1:23" ht="12" customHeight="1" x14ac:dyDescent="0.35">
      <c r="A60" s="11" t="s">
        <v>5</v>
      </c>
      <c r="B60" s="26">
        <f>[1]NFM!B$68</f>
        <v>4939.1115706089849</v>
      </c>
      <c r="C60" s="26">
        <f>[1]NFM!C$68</f>
        <v>5113.3379145090666</v>
      </c>
      <c r="D60" s="26">
        <f>[1]NFM!D$68</f>
        <v>4943.2944695154247</v>
      </c>
      <c r="E60" s="26">
        <f>[1]NFM!E$68</f>
        <v>4703.6150145298898</v>
      </c>
      <c r="F60" s="26">
        <f>[1]NFM!F$68</f>
        <v>4794.2545807471633</v>
      </c>
      <c r="G60" s="26">
        <f>[1]NFM!G$68</f>
        <v>4631.196277183627</v>
      </c>
      <c r="H60" s="26">
        <f>[1]NFM!H$68</f>
        <v>4379.3037586235514</v>
      </c>
      <c r="I60" s="26">
        <f>[1]NFM!I$68</f>
        <v>4496.5429919924327</v>
      </c>
      <c r="J60" s="26">
        <f>[1]NFM!J$68</f>
        <v>4195.6941296651476</v>
      </c>
      <c r="K60" s="26">
        <f>[1]NFM!K$68</f>
        <v>3923.810693568561</v>
      </c>
      <c r="L60" s="26">
        <f>[1]NFM!L$68</f>
        <v>4125.5795984403994</v>
      </c>
      <c r="M60" s="26">
        <f>[1]NFM!M$68</f>
        <v>4131.7622455012324</v>
      </c>
      <c r="N60" s="26">
        <f>[1]NFM!N$68</f>
        <v>4021.5377471633769</v>
      </c>
      <c r="O60" s="26">
        <f>[1]NFM!O$68</f>
        <v>4010.591217313895</v>
      </c>
      <c r="P60" s="26">
        <f>[1]NFM!P$68</f>
        <v>4121.682964333655</v>
      </c>
      <c r="Q60" s="26">
        <f>[1]NFM!Q$68</f>
        <v>4347.2042195799086</v>
      </c>
      <c r="R60" s="26">
        <f>[1]NFM!R$68</f>
        <v>4479.3591421459278</v>
      </c>
      <c r="S60" s="26">
        <f>[1]NFM!S$68</f>
        <v>4325.9291649883244</v>
      </c>
      <c r="T60" s="26">
        <f>[1]NFM!T$68</f>
        <v>4343.429652620388</v>
      </c>
      <c r="U60" s="26">
        <f>[1]NFM!U$68</f>
        <v>4293.4518357291436</v>
      </c>
      <c r="V60" s="26">
        <f>[1]NFM!V$68</f>
        <v>4171.3894008204988</v>
      </c>
      <c r="W60" s="26">
        <f>[1]NFM!W$68</f>
        <v>4459.8419973732862</v>
      </c>
    </row>
    <row r="61" spans="1:23" ht="12" customHeight="1" x14ac:dyDescent="0.35">
      <c r="A61" s="12" t="s">
        <v>6</v>
      </c>
      <c r="B61" s="27">
        <f>[1]CHI!B$52</f>
        <v>50351.464982567501</v>
      </c>
      <c r="C61" s="27">
        <f>[1]CHI!C$52</f>
        <v>50175.397940076502</v>
      </c>
      <c r="D61" s="27">
        <f>[1]CHI!D$52</f>
        <v>50513.305068779424</v>
      </c>
      <c r="E61" s="27">
        <f>[1]CHI!E$52</f>
        <v>53775.491537522401</v>
      </c>
      <c r="F61" s="27">
        <f>[1]CHI!F$52</f>
        <v>51400.298225349965</v>
      </c>
      <c r="G61" s="27">
        <f>[1]CHI!G$52</f>
        <v>52023.376103883325</v>
      </c>
      <c r="H61" s="27">
        <f>[1]CHI!H$52</f>
        <v>50492.00775212334</v>
      </c>
      <c r="I61" s="27">
        <f>[1]CHI!I$52</f>
        <v>52898.152313517348</v>
      </c>
      <c r="J61" s="27">
        <f>[1]CHI!J$52</f>
        <v>51744.697913584256</v>
      </c>
      <c r="K61" s="27">
        <f>[1]CHI!K$52</f>
        <v>47020.029020361944</v>
      </c>
      <c r="L61" s="27">
        <f>[1]CHI!L$52</f>
        <v>49156.835011272633</v>
      </c>
      <c r="M61" s="27">
        <f>[1]CHI!M$52</f>
        <v>52870.84845704231</v>
      </c>
      <c r="N61" s="27">
        <f>[1]CHI!N$52</f>
        <v>53263.356728298342</v>
      </c>
      <c r="O61" s="27">
        <f>[1]CHI!O$52</f>
        <v>53130.324112897528</v>
      </c>
      <c r="P61" s="27">
        <f>[1]CHI!P$52</f>
        <v>51856.082745756161</v>
      </c>
      <c r="Q61" s="27">
        <f>[1]CHI!Q$52</f>
        <v>50567.914384924821</v>
      </c>
      <c r="R61" s="27">
        <f>[1]CHI!R$52</f>
        <v>51336.529402842825</v>
      </c>
      <c r="S61" s="27">
        <f>[1]CHI!S$52</f>
        <v>51677.178738680261</v>
      </c>
      <c r="T61" s="27">
        <f>[1]CHI!T$52</f>
        <v>51144.796225824539</v>
      </c>
      <c r="U61" s="27">
        <f>[1]CHI!U$52</f>
        <v>50527.488678706351</v>
      </c>
      <c r="V61" s="27">
        <f>[1]CHI!V$52</f>
        <v>50318.822870054879</v>
      </c>
      <c r="W61" s="27">
        <f>[1]CHI!W$52</f>
        <v>51763.233029601681</v>
      </c>
    </row>
    <row r="62" spans="1:23" ht="12" customHeight="1" x14ac:dyDescent="0.35">
      <c r="A62" s="11" t="s">
        <v>7</v>
      </c>
      <c r="B62" s="26">
        <f>[1]CHI!B$53</f>
        <v>29023.405762797978</v>
      </c>
      <c r="C62" s="26">
        <f>[1]CHI!C$53</f>
        <v>28883.147223305161</v>
      </c>
      <c r="D62" s="26">
        <f>[1]CHI!D$53</f>
        <v>30079.248209629965</v>
      </c>
      <c r="E62" s="26">
        <f>[1]CHI!E$53</f>
        <v>32198.120431566611</v>
      </c>
      <c r="F62" s="26">
        <f>[1]CHI!F$53</f>
        <v>30879.451056857186</v>
      </c>
      <c r="G62" s="26">
        <f>[1]CHI!G$53</f>
        <v>31467.312157719556</v>
      </c>
      <c r="H62" s="26">
        <f>[1]CHI!H$53</f>
        <v>30959.746055474214</v>
      </c>
      <c r="I62" s="26">
        <f>[1]CHI!I$53</f>
        <v>32315.036282298097</v>
      </c>
      <c r="J62" s="26">
        <f>[1]CHI!J$53</f>
        <v>32668.985312398261</v>
      </c>
      <c r="K62" s="26">
        <f>[1]CHI!K$53</f>
        <v>29657.696491186929</v>
      </c>
      <c r="L62" s="26">
        <f>[1]CHI!L$53</f>
        <v>32093.249606209778</v>
      </c>
      <c r="M62" s="26">
        <f>[1]CHI!M$53</f>
        <v>34208.68675824524</v>
      </c>
      <c r="N62" s="26">
        <f>[1]CHI!N$53</f>
        <v>34481.081745703501</v>
      </c>
      <c r="O62" s="26">
        <f>[1]CHI!O$53</f>
        <v>35417.197790923892</v>
      </c>
      <c r="P62" s="26">
        <f>[1]CHI!P$53</f>
        <v>33882.948790705661</v>
      </c>
      <c r="Q62" s="26">
        <f>[1]CHI!Q$53</f>
        <v>34311.057373956937</v>
      </c>
      <c r="R62" s="26">
        <f>[1]CHI!R$53</f>
        <v>34424.464777542904</v>
      </c>
      <c r="S62" s="26">
        <f>[1]CHI!S$53</f>
        <v>35626.552938955894</v>
      </c>
      <c r="T62" s="26">
        <f>[1]CHI!T$53</f>
        <v>33913.458528150426</v>
      </c>
      <c r="U62" s="26">
        <f>[1]CHI!U$53</f>
        <v>33689.653291975759</v>
      </c>
      <c r="V62" s="26">
        <f>[1]CHI!V$53</f>
        <v>32740.038523308904</v>
      </c>
      <c r="W62" s="26">
        <f>[1]CHI!W$53</f>
        <v>33940.034230485675</v>
      </c>
    </row>
    <row r="63" spans="1:23" ht="12" customHeight="1" x14ac:dyDescent="0.35">
      <c r="A63" s="11" t="s">
        <v>8</v>
      </c>
      <c r="B63" s="26">
        <f>[1]CHI!B$54</f>
        <v>17694.74822220653</v>
      </c>
      <c r="C63" s="26">
        <f>[1]CHI!C$54</f>
        <v>17375.0078408425</v>
      </c>
      <c r="D63" s="26">
        <f>[1]CHI!D$54</f>
        <v>16371.50778155558</v>
      </c>
      <c r="E63" s="26">
        <f>[1]CHI!E$54</f>
        <v>17459.757004043789</v>
      </c>
      <c r="F63" s="26">
        <f>[1]CHI!F$54</f>
        <v>16528.289139844459</v>
      </c>
      <c r="G63" s="26">
        <f>[1]CHI!G$54</f>
        <v>16537.04319757218</v>
      </c>
      <c r="H63" s="26">
        <f>[1]CHI!H$54</f>
        <v>15456.133551197299</v>
      </c>
      <c r="I63" s="26">
        <f>[1]CHI!I$54</f>
        <v>16463.29566178051</v>
      </c>
      <c r="J63" s="26">
        <f>[1]CHI!J$54</f>
        <v>14979.294264754401</v>
      </c>
      <c r="K63" s="26">
        <f>[1]CHI!K$54</f>
        <v>13403.30829750175</v>
      </c>
      <c r="L63" s="26">
        <f>[1]CHI!L$54</f>
        <v>13133.086396578579</v>
      </c>
      <c r="M63" s="26">
        <f>[1]CHI!M$54</f>
        <v>14655.15532238211</v>
      </c>
      <c r="N63" s="26">
        <f>[1]CHI!N$54</f>
        <v>14801.767569230949</v>
      </c>
      <c r="O63" s="26">
        <f>[1]CHI!O$54</f>
        <v>13746.61802685246</v>
      </c>
      <c r="P63" s="26">
        <f>[1]CHI!P$54</f>
        <v>13124.867770675161</v>
      </c>
      <c r="Q63" s="26">
        <f>[1]CHI!Q$54</f>
        <v>11723.073608064111</v>
      </c>
      <c r="R63" s="26">
        <f>[1]CHI!R$54</f>
        <v>12110.514225957781</v>
      </c>
      <c r="S63" s="26">
        <f>[1]CHI!S$54</f>
        <v>11541.316979983279</v>
      </c>
      <c r="T63" s="26">
        <f>[1]CHI!T$54</f>
        <v>12781.55182490183</v>
      </c>
      <c r="U63" s="26">
        <f>[1]CHI!U$54</f>
        <v>12231.14653864765</v>
      </c>
      <c r="V63" s="26">
        <f>[1]CHI!V$54</f>
        <v>13089.52418502736</v>
      </c>
      <c r="W63" s="26">
        <f>[1]CHI!W$54</f>
        <v>13297.353804132579</v>
      </c>
    </row>
    <row r="64" spans="1:23" ht="12" customHeight="1" x14ac:dyDescent="0.35">
      <c r="A64" s="11" t="s">
        <v>9</v>
      </c>
      <c r="B64" s="26">
        <f>[1]CHI!B$55</f>
        <v>3633.310997562995</v>
      </c>
      <c r="C64" s="26">
        <f>[1]CHI!C$55</f>
        <v>3917.2428759288382</v>
      </c>
      <c r="D64" s="26">
        <f>[1]CHI!D$55</f>
        <v>4062.5490775938788</v>
      </c>
      <c r="E64" s="26">
        <f>[1]CHI!E$55</f>
        <v>4117.6141019120041</v>
      </c>
      <c r="F64" s="26">
        <f>[1]CHI!F$55</f>
        <v>3992.55802864832</v>
      </c>
      <c r="G64" s="26">
        <f>[1]CHI!G$55</f>
        <v>4019.0207485915871</v>
      </c>
      <c r="H64" s="26">
        <f>[1]CHI!H$55</f>
        <v>4076.1281454518248</v>
      </c>
      <c r="I64" s="26">
        <f>[1]CHI!I$55</f>
        <v>4119.8203694387448</v>
      </c>
      <c r="J64" s="26">
        <f>[1]CHI!J$55</f>
        <v>4096.4183364316013</v>
      </c>
      <c r="K64" s="26">
        <f>[1]CHI!K$55</f>
        <v>3959.024231673272</v>
      </c>
      <c r="L64" s="26">
        <f>[1]CHI!L$55</f>
        <v>3930.4990084842748</v>
      </c>
      <c r="M64" s="26">
        <f>[1]CHI!M$55</f>
        <v>4007.0063764149631</v>
      </c>
      <c r="N64" s="26">
        <f>[1]CHI!N$55</f>
        <v>3980.50741336389</v>
      </c>
      <c r="O64" s="26">
        <f>[1]CHI!O$55</f>
        <v>3966.5082951211712</v>
      </c>
      <c r="P64" s="26">
        <f>[1]CHI!P$55</f>
        <v>4848.2661843753394</v>
      </c>
      <c r="Q64" s="26">
        <f>[1]CHI!Q$55</f>
        <v>4533.7834029037776</v>
      </c>
      <c r="R64" s="26">
        <f>[1]CHI!R$55</f>
        <v>4801.5503993421389</v>
      </c>
      <c r="S64" s="26">
        <f>[1]CHI!S$55</f>
        <v>4509.3088197410862</v>
      </c>
      <c r="T64" s="26">
        <f>[1]CHI!T$55</f>
        <v>4449.7858727722851</v>
      </c>
      <c r="U64" s="26">
        <f>[1]CHI!U$55</f>
        <v>4606.6888480829457</v>
      </c>
      <c r="V64" s="26">
        <f>[1]CHI!V$55</f>
        <v>4489.2601617186137</v>
      </c>
      <c r="W64" s="26">
        <f>[1]CHI!W$55</f>
        <v>4525.8449949834276</v>
      </c>
    </row>
    <row r="65" spans="1:23" ht="12" customHeight="1" x14ac:dyDescent="0.35">
      <c r="A65" s="12" t="s">
        <v>10</v>
      </c>
      <c r="B65" s="27">
        <f>[1]NMM!B$51</f>
        <v>41959.502474002024</v>
      </c>
      <c r="C65" s="27">
        <f>[1]NMM!C$51</f>
        <v>42111.030462118506</v>
      </c>
      <c r="D65" s="27">
        <f>[1]NMM!D$51</f>
        <v>41155.706408796133</v>
      </c>
      <c r="E65" s="27">
        <f>[1]NMM!E$51</f>
        <v>42493.504591744488</v>
      </c>
      <c r="F65" s="27">
        <f>[1]NMM!F$51</f>
        <v>43194.176778821406</v>
      </c>
      <c r="G65" s="27">
        <f>[1]NMM!G$51</f>
        <v>43838.53020478932</v>
      </c>
      <c r="H65" s="27">
        <f>[1]NMM!H$51</f>
        <v>42620.655301879538</v>
      </c>
      <c r="I65" s="27">
        <f>[1]NMM!I$51</f>
        <v>43766.501933284591</v>
      </c>
      <c r="J65" s="27">
        <f>[1]NMM!J$51</f>
        <v>41996.346892353504</v>
      </c>
      <c r="K65" s="27">
        <f>[1]NMM!K$51</f>
        <v>34058.263878764541</v>
      </c>
      <c r="L65" s="27">
        <f>[1]NMM!L$51</f>
        <v>34876.794389534982</v>
      </c>
      <c r="M65" s="27">
        <f>[1]NMM!M$51</f>
        <v>35615.234520916492</v>
      </c>
      <c r="N65" s="27">
        <f>[1]NMM!N$51</f>
        <v>32962.389674786886</v>
      </c>
      <c r="O65" s="27">
        <f>[1]NMM!O$51</f>
        <v>31836.45604138021</v>
      </c>
      <c r="P65" s="27">
        <f>[1]NMM!P$51</f>
        <v>31742.600594679978</v>
      </c>
      <c r="Q65" s="27">
        <f>[1]NMM!Q$51</f>
        <v>32393.328423947183</v>
      </c>
      <c r="R65" s="27">
        <f>[1]NMM!R$51</f>
        <v>33011.531422778091</v>
      </c>
      <c r="S65" s="27">
        <f>[1]NMM!S$51</f>
        <v>32904.709170734102</v>
      </c>
      <c r="T65" s="27">
        <f>[1]NMM!T$51</f>
        <v>33886.727212036421</v>
      </c>
      <c r="U65" s="27">
        <f>[1]NMM!U$51</f>
        <v>33547.032616801996</v>
      </c>
      <c r="V65" s="27">
        <f>[1]NMM!V$51</f>
        <v>33047.62640518471</v>
      </c>
      <c r="W65" s="27">
        <f>[1]NMM!W$51</f>
        <v>34360.789600544609</v>
      </c>
    </row>
    <row r="66" spans="1:23" ht="12" customHeight="1" x14ac:dyDescent="0.35">
      <c r="A66" s="11" t="s">
        <v>11</v>
      </c>
      <c r="B66" s="26">
        <f>[1]NMM!B$52</f>
        <v>18262.727712895081</v>
      </c>
      <c r="C66" s="26">
        <f>[1]NMM!C$52</f>
        <v>17905.35445934704</v>
      </c>
      <c r="D66" s="26">
        <f>[1]NMM!D$52</f>
        <v>17666.65748366556</v>
      </c>
      <c r="E66" s="26">
        <f>[1]NMM!E$52</f>
        <v>18042.231732801341</v>
      </c>
      <c r="F66" s="26">
        <f>[1]NMM!F$52</f>
        <v>18543.96269743449</v>
      </c>
      <c r="G66" s="26">
        <f>[1]NMM!G$52</f>
        <v>18439.647741826251</v>
      </c>
      <c r="H66" s="26">
        <f>[1]NMM!H$52</f>
        <v>19831.911971093079</v>
      </c>
      <c r="I66" s="26">
        <f>[1]NMM!I$52</f>
        <v>20042.656615896809</v>
      </c>
      <c r="J66" s="26">
        <f>[1]NMM!J$52</f>
        <v>18283.06601727198</v>
      </c>
      <c r="K66" s="26">
        <f>[1]NMM!K$52</f>
        <v>14682.918152036231</v>
      </c>
      <c r="L66" s="26">
        <f>[1]NMM!L$52</f>
        <v>14199.48441249644</v>
      </c>
      <c r="M66" s="26">
        <f>[1]NMM!M$52</f>
        <v>14251.064213821021</v>
      </c>
      <c r="N66" s="26">
        <f>[1]NMM!N$52</f>
        <v>12813.058428221861</v>
      </c>
      <c r="O66" s="26">
        <f>[1]NMM!O$52</f>
        <v>12109.80684175044</v>
      </c>
      <c r="P66" s="26">
        <f>[1]NMM!P$52</f>
        <v>12316.185034026001</v>
      </c>
      <c r="Q66" s="26">
        <f>[1]NMM!Q$52</f>
        <v>12245.90845880316</v>
      </c>
      <c r="R66" s="26">
        <f>[1]NMM!R$52</f>
        <v>12238.148039164071</v>
      </c>
      <c r="S66" s="26">
        <f>[1]NMM!S$52</f>
        <v>12722.28188865113</v>
      </c>
      <c r="T66" s="26">
        <f>[1]NMM!T$52</f>
        <v>13056.547545507599</v>
      </c>
      <c r="U66" s="26">
        <f>[1]NMM!U$52</f>
        <v>12944.308438231141</v>
      </c>
      <c r="V66" s="26">
        <f>[1]NMM!V$52</f>
        <v>12824.896242264571</v>
      </c>
      <c r="W66" s="26">
        <f>[1]NMM!W$52</f>
        <v>12931.980560278769</v>
      </c>
    </row>
    <row r="67" spans="1:23" ht="12" customHeight="1" x14ac:dyDescent="0.35">
      <c r="A67" s="11" t="s">
        <v>12</v>
      </c>
      <c r="B67" s="26">
        <f>[1]NMM!B$53</f>
        <v>17090.49317185285</v>
      </c>
      <c r="C67" s="26">
        <f>[1]NMM!C$53</f>
        <v>17556.200216104291</v>
      </c>
      <c r="D67" s="26">
        <f>[1]NMM!D$53</f>
        <v>16882.71500640492</v>
      </c>
      <c r="E67" s="26">
        <f>[1]NMM!E$53</f>
        <v>17889.111857796499</v>
      </c>
      <c r="F67" s="26">
        <f>[1]NMM!F$53</f>
        <v>18019.256406226199</v>
      </c>
      <c r="G67" s="26">
        <f>[1]NMM!G$53</f>
        <v>18967.1535421349</v>
      </c>
      <c r="H67" s="26">
        <f>[1]NMM!H$53</f>
        <v>16157.99244641467</v>
      </c>
      <c r="I67" s="26">
        <f>[1]NMM!I$53</f>
        <v>17150.997373491529</v>
      </c>
      <c r="J67" s="26">
        <f>[1]NMM!J$53</f>
        <v>17285.439545973459</v>
      </c>
      <c r="K67" s="26">
        <f>[1]NMM!K$53</f>
        <v>13688.55272737112</v>
      </c>
      <c r="L67" s="26">
        <f>[1]NMM!L$53</f>
        <v>14824.217761409551</v>
      </c>
      <c r="M67" s="26">
        <f>[1]NMM!M$53</f>
        <v>15514.208808397239</v>
      </c>
      <c r="N67" s="26">
        <f>[1]NMM!N$53</f>
        <v>14535.307361912481</v>
      </c>
      <c r="O67" s="26">
        <f>[1]NMM!O$53</f>
        <v>14354.96891498994</v>
      </c>
      <c r="P67" s="26">
        <f>[1]NMM!P$53</f>
        <v>13995.054097267581</v>
      </c>
      <c r="Q67" s="26">
        <f>[1]NMM!Q$53</f>
        <v>14707.517245550011</v>
      </c>
      <c r="R67" s="26">
        <f>[1]NMM!R$53</f>
        <v>15218.039992110351</v>
      </c>
      <c r="S67" s="26">
        <f>[1]NMM!S$53</f>
        <v>14492.765449583139</v>
      </c>
      <c r="T67" s="26">
        <f>[1]NMM!T$53</f>
        <v>15122.58047876698</v>
      </c>
      <c r="U67" s="26">
        <f>[1]NMM!U$53</f>
        <v>15083.07067651193</v>
      </c>
      <c r="V67" s="26">
        <f>[1]NMM!V$53</f>
        <v>14935.413495451099</v>
      </c>
      <c r="W67" s="26">
        <f>[1]NMM!W$53</f>
        <v>16143.53202895373</v>
      </c>
    </row>
    <row r="68" spans="1:23" ht="12" customHeight="1" x14ac:dyDescent="0.35">
      <c r="A68" s="11" t="s">
        <v>13</v>
      </c>
      <c r="B68" s="26">
        <f>[1]NMM!B$54</f>
        <v>6606.2815892540921</v>
      </c>
      <c r="C68" s="26">
        <f>[1]NMM!C$54</f>
        <v>6649.4757866671716</v>
      </c>
      <c r="D68" s="26">
        <f>[1]NMM!D$54</f>
        <v>6606.3339187256524</v>
      </c>
      <c r="E68" s="26">
        <f>[1]NMM!E$54</f>
        <v>6562.1610011466482</v>
      </c>
      <c r="F68" s="26">
        <f>[1]NMM!F$54</f>
        <v>6630.9576751607156</v>
      </c>
      <c r="G68" s="26">
        <f>[1]NMM!G$54</f>
        <v>6431.7289208281736</v>
      </c>
      <c r="H68" s="26">
        <f>[1]NMM!H$54</f>
        <v>6630.7508843717887</v>
      </c>
      <c r="I68" s="26">
        <f>[1]NMM!I$54</f>
        <v>6572.8479438962531</v>
      </c>
      <c r="J68" s="26">
        <f>[1]NMM!J$54</f>
        <v>6427.8413291080633</v>
      </c>
      <c r="K68" s="26">
        <f>[1]NMM!K$54</f>
        <v>5686.7929993571861</v>
      </c>
      <c r="L68" s="26">
        <f>[1]NMM!L$54</f>
        <v>5853.0922156289889</v>
      </c>
      <c r="M68" s="26">
        <f>[1]NMM!M$54</f>
        <v>5849.9614986982306</v>
      </c>
      <c r="N68" s="26">
        <f>[1]NMM!N$54</f>
        <v>5614.023884652549</v>
      </c>
      <c r="O68" s="26">
        <f>[1]NMM!O$54</f>
        <v>5371.6802846398286</v>
      </c>
      <c r="P68" s="26">
        <f>[1]NMM!P$54</f>
        <v>5431.361463386399</v>
      </c>
      <c r="Q68" s="26">
        <f>[1]NMM!Q$54</f>
        <v>5439.9027195940143</v>
      </c>
      <c r="R68" s="26">
        <f>[1]NMM!R$54</f>
        <v>5555.3433915036721</v>
      </c>
      <c r="S68" s="26">
        <f>[1]NMM!S$54</f>
        <v>5689.6618324998362</v>
      </c>
      <c r="T68" s="26">
        <f>[1]NMM!T$54</f>
        <v>5707.5991877618471</v>
      </c>
      <c r="U68" s="26">
        <f>[1]NMM!U$54</f>
        <v>5519.6535020589236</v>
      </c>
      <c r="V68" s="26">
        <f>[1]NMM!V$54</f>
        <v>5287.3166674690401</v>
      </c>
      <c r="W68" s="26">
        <f>[1]NMM!W$54</f>
        <v>5285.2770113121096</v>
      </c>
    </row>
    <row r="69" spans="1:23" ht="12" customHeight="1" x14ac:dyDescent="0.35">
      <c r="A69" s="12" t="s">
        <v>14</v>
      </c>
      <c r="B69" s="27">
        <f>[1]PPA!B$52</f>
        <v>32882.449742489604</v>
      </c>
      <c r="C69" s="27">
        <f>[1]PPA!C$52</f>
        <v>32066.054632213105</v>
      </c>
      <c r="D69" s="27">
        <f>[1]PPA!D$52</f>
        <v>32526.408978914114</v>
      </c>
      <c r="E69" s="27">
        <f>[1]PPA!E$52</f>
        <v>33594.820450665888</v>
      </c>
      <c r="F69" s="27">
        <f>[1]PPA!F$52</f>
        <v>33703.983448336723</v>
      </c>
      <c r="G69" s="27">
        <f>[1]PPA!G$52</f>
        <v>34234.452109584992</v>
      </c>
      <c r="H69" s="27">
        <f>[1]PPA!H$52</f>
        <v>35078.519405896848</v>
      </c>
      <c r="I69" s="27">
        <f>[1]PPA!I$52</f>
        <v>36049.972855656721</v>
      </c>
      <c r="J69" s="27">
        <f>[1]PPA!J$52</f>
        <v>33835.767764447344</v>
      </c>
      <c r="K69" s="27">
        <f>[1]PPA!K$52</f>
        <v>31301.280728227619</v>
      </c>
      <c r="L69" s="27">
        <f>[1]PPA!L$52</f>
        <v>32964.446548669293</v>
      </c>
      <c r="M69" s="27">
        <f>[1]PPA!M$52</f>
        <v>32476.649304123624</v>
      </c>
      <c r="N69" s="27">
        <f>[1]PPA!N$52</f>
        <v>32231.274169951103</v>
      </c>
      <c r="O69" s="27">
        <f>[1]PPA!O$52</f>
        <v>32278.291351086289</v>
      </c>
      <c r="P69" s="27">
        <f>[1]PPA!P$52</f>
        <v>31932.811617104693</v>
      </c>
      <c r="Q69" s="27">
        <f>[1]PPA!Q$52</f>
        <v>31947.260783030364</v>
      </c>
      <c r="R69" s="27">
        <f>[1]PPA!R$52</f>
        <v>32180.21214517151</v>
      </c>
      <c r="S69" s="27">
        <f>[1]PPA!S$52</f>
        <v>32506.097948250968</v>
      </c>
      <c r="T69" s="27">
        <f>[1]PPA!T$52</f>
        <v>32307.222146041917</v>
      </c>
      <c r="U69" s="27">
        <f>[1]PPA!U$52</f>
        <v>32514.902793954134</v>
      </c>
      <c r="V69" s="27">
        <f>[1]PPA!V$52</f>
        <v>31397.222693106556</v>
      </c>
      <c r="W69" s="27">
        <f>[1]PPA!W$52</f>
        <v>32932.051682794758</v>
      </c>
    </row>
    <row r="70" spans="1:23" ht="12" customHeight="1" x14ac:dyDescent="0.35">
      <c r="A70" s="11" t="s">
        <v>15</v>
      </c>
      <c r="B70" s="26">
        <f>[1]PPA!B$53</f>
        <v>11402.53607444471</v>
      </c>
      <c r="C70" s="26">
        <f>[1]PPA!C$53</f>
        <v>10875.65674741964</v>
      </c>
      <c r="D70" s="26">
        <f>[1]PPA!D$53</f>
        <v>10997.329301847791</v>
      </c>
      <c r="E70" s="26">
        <f>[1]PPA!E$53</f>
        <v>11336.454684213861</v>
      </c>
      <c r="F70" s="26">
        <f>[1]PPA!F$53</f>
        <v>11180.01619848665</v>
      </c>
      <c r="G70" s="26">
        <f>[1]PPA!G$53</f>
        <v>11193.386215439299</v>
      </c>
      <c r="H70" s="26">
        <f>[1]PPA!H$53</f>
        <v>11657.38450246631</v>
      </c>
      <c r="I70" s="26">
        <f>[1]PPA!I$53</f>
        <v>12202.24631280514</v>
      </c>
      <c r="J70" s="26">
        <f>[1]PPA!J$53</f>
        <v>11581.109890084181</v>
      </c>
      <c r="K70" s="26">
        <f>[1]PPA!K$53</f>
        <v>10418.99114514159</v>
      </c>
      <c r="L70" s="26">
        <f>[1]PPA!L$53</f>
        <v>11051.951415067449</v>
      </c>
      <c r="M70" s="26">
        <f>[1]PPA!M$53</f>
        <v>10999.902158157831</v>
      </c>
      <c r="N70" s="26">
        <f>[1]PPA!N$53</f>
        <v>10954.90807099598</v>
      </c>
      <c r="O70" s="26">
        <f>[1]PPA!O$53</f>
        <v>11013.078373249131</v>
      </c>
      <c r="P70" s="26">
        <f>[1]PPA!P$53</f>
        <v>10961.103648873701</v>
      </c>
      <c r="Q70" s="26">
        <f>[1]PPA!Q$53</f>
        <v>10890.191207176609</v>
      </c>
      <c r="R70" s="26">
        <f>[1]PPA!R$53</f>
        <v>11013.455170628929</v>
      </c>
      <c r="S70" s="26">
        <f>[1]PPA!S$53</f>
        <v>11260.656354320459</v>
      </c>
      <c r="T70" s="26">
        <f>[1]PPA!T$53</f>
        <v>11360.387473772371</v>
      </c>
      <c r="U70" s="26">
        <f>[1]PPA!U$53</f>
        <v>11729.976843209841</v>
      </c>
      <c r="V70" s="26">
        <f>[1]PPA!V$53</f>
        <v>11552.307707557071</v>
      </c>
      <c r="W70" s="26">
        <f>[1]PPA!W$53</f>
        <v>11469.134497686749</v>
      </c>
    </row>
    <row r="71" spans="1:23" ht="12" customHeight="1" x14ac:dyDescent="0.35">
      <c r="A71" s="11" t="s">
        <v>16</v>
      </c>
      <c r="B71" s="26">
        <f>[1]PPA!B$54</f>
        <v>19354.060189269159</v>
      </c>
      <c r="C71" s="26">
        <f>[1]PPA!C$54</f>
        <v>19094.39825408017</v>
      </c>
      <c r="D71" s="26">
        <f>[1]PPA!D$54</f>
        <v>19381.66126344393</v>
      </c>
      <c r="E71" s="26">
        <f>[1]PPA!E$54</f>
        <v>20003.926865816578</v>
      </c>
      <c r="F71" s="26">
        <f>[1]PPA!F$54</f>
        <v>20280.713725596939</v>
      </c>
      <c r="G71" s="26">
        <f>[1]PPA!G$54</f>
        <v>20738.535509738551</v>
      </c>
      <c r="H71" s="26">
        <f>[1]PPA!H$54</f>
        <v>21153.93053319371</v>
      </c>
      <c r="I71" s="26">
        <f>[1]PPA!I$54</f>
        <v>21559.856966056261</v>
      </c>
      <c r="J71" s="26">
        <f>[1]PPA!J$54</f>
        <v>20155.18695110636</v>
      </c>
      <c r="K71" s="26">
        <f>[1]PPA!K$54</f>
        <v>18924.819506032989</v>
      </c>
      <c r="L71" s="26">
        <f>[1]PPA!L$54</f>
        <v>19888.81274507293</v>
      </c>
      <c r="M71" s="26">
        <f>[1]PPA!M$54</f>
        <v>19519.239544854041</v>
      </c>
      <c r="N71" s="26">
        <f>[1]PPA!N$54</f>
        <v>19321.318110156972</v>
      </c>
      <c r="O71" s="26">
        <f>[1]PPA!O$54</f>
        <v>19357.547057923421</v>
      </c>
      <c r="P71" s="26">
        <f>[1]PPA!P$54</f>
        <v>19138.471337042181</v>
      </c>
      <c r="Q71" s="26">
        <f>[1]PPA!Q$54</f>
        <v>19294.021427327742</v>
      </c>
      <c r="R71" s="26">
        <f>[1]PPA!R$54</f>
        <v>19334.268777224981</v>
      </c>
      <c r="S71" s="26">
        <f>[1]PPA!S$54</f>
        <v>19448.883396287791</v>
      </c>
      <c r="T71" s="26">
        <f>[1]PPA!T$54</f>
        <v>19191.17756357952</v>
      </c>
      <c r="U71" s="26">
        <f>[1]PPA!U$54</f>
        <v>19180.910626286812</v>
      </c>
      <c r="V71" s="26">
        <f>[1]PPA!V$54</f>
        <v>18330.926193788371</v>
      </c>
      <c r="W71" s="26">
        <f>[1]PPA!W$54</f>
        <v>19702.79271826784</v>
      </c>
    </row>
    <row r="72" spans="1:23" ht="12" customHeight="1" x14ac:dyDescent="0.35">
      <c r="A72" s="11" t="s">
        <v>17</v>
      </c>
      <c r="B72" s="26">
        <f>[1]PPA!B$55</f>
        <v>2125.8534787757371</v>
      </c>
      <c r="C72" s="26">
        <f>[1]PPA!C$55</f>
        <v>2095.999630713296</v>
      </c>
      <c r="D72" s="26">
        <f>[1]PPA!D$55</f>
        <v>2147.4184136223939</v>
      </c>
      <c r="E72" s="26">
        <f>[1]PPA!E$55</f>
        <v>2254.4389006354472</v>
      </c>
      <c r="F72" s="26">
        <f>[1]PPA!F$55</f>
        <v>2243.2535242531321</v>
      </c>
      <c r="G72" s="26">
        <f>[1]PPA!G$55</f>
        <v>2302.530384407145</v>
      </c>
      <c r="H72" s="26">
        <f>[1]PPA!H$55</f>
        <v>2267.2043702368251</v>
      </c>
      <c r="I72" s="26">
        <f>[1]PPA!I$55</f>
        <v>2287.8695767953168</v>
      </c>
      <c r="J72" s="26">
        <f>[1]PPA!J$55</f>
        <v>2099.470923256803</v>
      </c>
      <c r="K72" s="26">
        <f>[1]PPA!K$55</f>
        <v>1957.4700770530401</v>
      </c>
      <c r="L72" s="26">
        <f>[1]PPA!L$55</f>
        <v>2023.682388528915</v>
      </c>
      <c r="M72" s="26">
        <f>[1]PPA!M$55</f>
        <v>1957.5076011117519</v>
      </c>
      <c r="N72" s="26">
        <f>[1]PPA!N$55</f>
        <v>1955.0479887981501</v>
      </c>
      <c r="O72" s="26">
        <f>[1]PPA!O$55</f>
        <v>1907.6659199137409</v>
      </c>
      <c r="P72" s="26">
        <f>[1]PPA!P$55</f>
        <v>1833.236631188812</v>
      </c>
      <c r="Q72" s="26">
        <f>[1]PPA!Q$55</f>
        <v>1763.0481485260129</v>
      </c>
      <c r="R72" s="26">
        <f>[1]PPA!R$55</f>
        <v>1832.4881973175991</v>
      </c>
      <c r="S72" s="26">
        <f>[1]PPA!S$55</f>
        <v>1796.558197642717</v>
      </c>
      <c r="T72" s="26">
        <f>[1]PPA!T$55</f>
        <v>1755.6571086900269</v>
      </c>
      <c r="U72" s="26">
        <f>[1]PPA!U$55</f>
        <v>1604.0153244574849</v>
      </c>
      <c r="V72" s="26">
        <f>[1]PPA!V$55</f>
        <v>1513.988791761115</v>
      </c>
      <c r="W72" s="26">
        <f>[1]PPA!W$55</f>
        <v>1760.12446684017</v>
      </c>
    </row>
    <row r="73" spans="1:23" ht="12" customHeight="1" x14ac:dyDescent="0.35">
      <c r="A73" s="13" t="s">
        <v>18</v>
      </c>
      <c r="B73" s="28">
        <f>[1]FBT!B$12</f>
        <v>27523.25816929981</v>
      </c>
      <c r="C73" s="28">
        <f>[1]FBT!C$12</f>
        <v>28034.955352477238</v>
      </c>
      <c r="D73" s="28">
        <f>[1]FBT!D$12</f>
        <v>29053.04392349772</v>
      </c>
      <c r="E73" s="28">
        <f>[1]FBT!E$12</f>
        <v>29365.400563834621</v>
      </c>
      <c r="F73" s="28">
        <f>[1]FBT!F$12</f>
        <v>29139.458361590681</v>
      </c>
      <c r="G73" s="28">
        <f>[1]FBT!G$12</f>
        <v>27792.686394242239</v>
      </c>
      <c r="H73" s="28">
        <f>[1]FBT!H$12</f>
        <v>26413.492767191179</v>
      </c>
      <c r="I73" s="28">
        <f>[1]FBT!I$12</f>
        <v>26711.057493967441</v>
      </c>
      <c r="J73" s="28">
        <f>[1]FBT!J$12</f>
        <v>26302.938714967459</v>
      </c>
      <c r="K73" s="28">
        <f>[1]FBT!K$12</f>
        <v>25165.32891267577</v>
      </c>
      <c r="L73" s="28">
        <f>[1]FBT!L$12</f>
        <v>25924.70347593445</v>
      </c>
      <c r="M73" s="28">
        <f>[1]FBT!M$12</f>
        <v>26021.623806725231</v>
      </c>
      <c r="N73" s="28">
        <f>[1]FBT!N$12</f>
        <v>26285.649636682068</v>
      </c>
      <c r="O73" s="28">
        <f>[1]FBT!O$12</f>
        <v>25946.13472219032</v>
      </c>
      <c r="P73" s="28">
        <f>[1]FBT!P$12</f>
        <v>26314.230365099051</v>
      </c>
      <c r="Q73" s="28">
        <f>[1]FBT!Q$12</f>
        <v>26517.30364199225</v>
      </c>
      <c r="R73" s="28">
        <f>[1]FBT!R$12</f>
        <v>27419.80826410908</v>
      </c>
      <c r="S73" s="28">
        <f>[1]FBT!S$12</f>
        <v>27542.163707114749</v>
      </c>
      <c r="T73" s="28">
        <f>[1]FBT!T$12</f>
        <v>28005.02209125381</v>
      </c>
      <c r="U73" s="28">
        <f>[1]FBT!U$12</f>
        <v>27554.67990115867</v>
      </c>
      <c r="V73" s="28">
        <f>[1]FBT!V$12</f>
        <v>27240.01392304432</v>
      </c>
      <c r="W73" s="28">
        <f>[1]FBT!W$12</f>
        <v>28856.389928361201</v>
      </c>
    </row>
    <row r="74" spans="1:23" ht="12" customHeight="1" x14ac:dyDescent="0.35">
      <c r="A74" s="7" t="s">
        <v>19</v>
      </c>
      <c r="B74" s="26">
        <f>[1]TRE!B$12</f>
        <v>7903.1142656489919</v>
      </c>
      <c r="C74" s="26">
        <f>[1]TRE!C$12</f>
        <v>8116.6777554290175</v>
      </c>
      <c r="D74" s="26">
        <f>[1]TRE!D$12</f>
        <v>7786.9555494451361</v>
      </c>
      <c r="E74" s="26">
        <f>[1]TRE!E$12</f>
        <v>8372.7357654130192</v>
      </c>
      <c r="F74" s="26">
        <f>[1]TRE!F$12</f>
        <v>8534.5876614076078</v>
      </c>
      <c r="G74" s="26">
        <f>[1]TRE!G$12</f>
        <v>8168.2974040075924</v>
      </c>
      <c r="H74" s="26">
        <f>[1]TRE!H$12</f>
        <v>7960.6090500287301</v>
      </c>
      <c r="I74" s="26">
        <f>[1]TRE!I$12</f>
        <v>8048.9764396013661</v>
      </c>
      <c r="J74" s="26">
        <f>[1]TRE!J$12</f>
        <v>7620.316686491853</v>
      </c>
      <c r="K74" s="26">
        <f>[1]TRE!K$12</f>
        <v>6609.572050763205</v>
      </c>
      <c r="L74" s="26">
        <f>[1]TRE!L$12</f>
        <v>7209.1986953616888</v>
      </c>
      <c r="M74" s="26">
        <f>[1]TRE!M$12</f>
        <v>6970.2776744777766</v>
      </c>
      <c r="N74" s="26">
        <f>[1]TRE!N$12</f>
        <v>6990.5928031038957</v>
      </c>
      <c r="O74" s="26">
        <f>[1]TRE!O$12</f>
        <v>7157.1658580446392</v>
      </c>
      <c r="P74" s="26">
        <f>[1]TRE!P$12</f>
        <v>6819.5574207925947</v>
      </c>
      <c r="Q74" s="26">
        <f>[1]TRE!Q$12</f>
        <v>6848.1310827617854</v>
      </c>
      <c r="R74" s="26">
        <f>[1]TRE!R$12</f>
        <v>7312.2467199409084</v>
      </c>
      <c r="S74" s="26">
        <f>[1]TRE!S$12</f>
        <v>7407.4817893164327</v>
      </c>
      <c r="T74" s="26">
        <f>[1]TRE!T$12</f>
        <v>7541.5283091164956</v>
      </c>
      <c r="U74" s="26">
        <f>[1]TRE!U$12</f>
        <v>7418.4927259860069</v>
      </c>
      <c r="V74" s="26">
        <f>[1]TRE!V$12</f>
        <v>6740.0749777418832</v>
      </c>
      <c r="W74" s="26">
        <f>[1]TRE!W$12</f>
        <v>7101.3573241381127</v>
      </c>
    </row>
    <row r="75" spans="1:23" ht="12" customHeight="1" x14ac:dyDescent="0.35">
      <c r="A75" s="7" t="s">
        <v>20</v>
      </c>
      <c r="B75" s="26">
        <f>[1]MAE!B$12</f>
        <v>16979.065129156948</v>
      </c>
      <c r="C75" s="26">
        <f>[1]MAE!C$12</f>
        <v>17468.02990151526</v>
      </c>
      <c r="D75" s="26">
        <f>[1]MAE!D$12</f>
        <v>17198.763323457719</v>
      </c>
      <c r="E75" s="26">
        <f>[1]MAE!E$12</f>
        <v>18906.962616392051</v>
      </c>
      <c r="F75" s="26">
        <f>[1]MAE!F$12</f>
        <v>19102.152387673679</v>
      </c>
      <c r="G75" s="26">
        <f>[1]MAE!G$12</f>
        <v>18915.426755402841</v>
      </c>
      <c r="H75" s="26">
        <f>[1]MAE!H$12</f>
        <v>18976.04358500781</v>
      </c>
      <c r="I75" s="26">
        <f>[1]MAE!I$12</f>
        <v>18962.08405100026</v>
      </c>
      <c r="J75" s="26">
        <f>[1]MAE!J$12</f>
        <v>19855.489421689021</v>
      </c>
      <c r="K75" s="26">
        <f>[1]MAE!K$12</f>
        <v>17118.529826000671</v>
      </c>
      <c r="L75" s="26">
        <f>[1]MAE!L$12</f>
        <v>18413.480829242329</v>
      </c>
      <c r="M75" s="26">
        <f>[1]MAE!M$12</f>
        <v>17949.656679729978</v>
      </c>
      <c r="N75" s="26">
        <f>[1]MAE!N$12</f>
        <v>17477.503218557511</v>
      </c>
      <c r="O75" s="26">
        <f>[1]MAE!O$12</f>
        <v>17722.459628901881</v>
      </c>
      <c r="P75" s="26">
        <f>[1]MAE!P$12</f>
        <v>17059.180117630029</v>
      </c>
      <c r="Q75" s="26">
        <f>[1]MAE!Q$12</f>
        <v>16690.72087495833</v>
      </c>
      <c r="R75" s="26">
        <f>[1]MAE!R$12</f>
        <v>16920.817248715579</v>
      </c>
      <c r="S75" s="26">
        <f>[1]MAE!S$12</f>
        <v>17271.15273475261</v>
      </c>
      <c r="T75" s="26">
        <f>[1]MAE!T$12</f>
        <v>17197.301842514069</v>
      </c>
      <c r="U75" s="26">
        <f>[1]MAE!U$12</f>
        <v>16962.77053723787</v>
      </c>
      <c r="V75" s="26">
        <f>[1]MAE!V$12</f>
        <v>15701.61806572388</v>
      </c>
      <c r="W75" s="26">
        <f>[1]MAE!W$12</f>
        <v>17200.31978595928</v>
      </c>
    </row>
    <row r="76" spans="1:23" ht="12" customHeight="1" x14ac:dyDescent="0.35">
      <c r="A76" s="7" t="s">
        <v>21</v>
      </c>
      <c r="B76" s="26">
        <f>[1]TEL!B$12</f>
        <v>9756.8662398830947</v>
      </c>
      <c r="C76" s="26">
        <f>[1]TEL!C$12</f>
        <v>9639.1340192065236</v>
      </c>
      <c r="D76" s="26">
        <f>[1]TEL!D$12</f>
        <v>9577.9514878856571</v>
      </c>
      <c r="E76" s="26">
        <f>[1]TEL!E$12</f>
        <v>9479.1234255713989</v>
      </c>
      <c r="F76" s="26">
        <f>[1]TEL!F$12</f>
        <v>8837.7845369247043</v>
      </c>
      <c r="G76" s="26">
        <f>[1]TEL!G$12</f>
        <v>7195.1620461023522</v>
      </c>
      <c r="H76" s="26">
        <f>[1]TEL!H$12</f>
        <v>6577.9182499998969</v>
      </c>
      <c r="I76" s="26">
        <f>[1]TEL!I$12</f>
        <v>5987.7417663941942</v>
      </c>
      <c r="J76" s="26">
        <f>[1]TEL!J$12</f>
        <v>5302.7821912963354</v>
      </c>
      <c r="K76" s="26">
        <f>[1]TEL!K$12</f>
        <v>4491.0012738593696</v>
      </c>
      <c r="L76" s="26">
        <f>[1]TEL!L$12</f>
        <v>4438.2117314182751</v>
      </c>
      <c r="M76" s="26">
        <f>[1]TEL!M$12</f>
        <v>4203.9990079951294</v>
      </c>
      <c r="N76" s="26">
        <f>[1]TEL!N$12</f>
        <v>3998.9402781878398</v>
      </c>
      <c r="O76" s="26">
        <f>[1]TEL!O$12</f>
        <v>3858.8471079985638</v>
      </c>
      <c r="P76" s="26">
        <f>[1]TEL!P$12</f>
        <v>3713.952911655902</v>
      </c>
      <c r="Q76" s="26">
        <f>[1]TEL!Q$12</f>
        <v>3698.662445394973</v>
      </c>
      <c r="R76" s="26">
        <f>[1]TEL!R$12</f>
        <v>3691.6152720225869</v>
      </c>
      <c r="S76" s="26">
        <f>[1]TEL!S$12</f>
        <v>3718.8140354366369</v>
      </c>
      <c r="T76" s="26">
        <f>[1]TEL!T$12</f>
        <v>3698.3110142804039</v>
      </c>
      <c r="U76" s="26">
        <f>[1]TEL!U$12</f>
        <v>3612.7445365838248</v>
      </c>
      <c r="V76" s="26">
        <f>[1]TEL!V$12</f>
        <v>3216.7386299486652</v>
      </c>
      <c r="W76" s="26">
        <f>[1]TEL!W$12</f>
        <v>3385.3200318119311</v>
      </c>
    </row>
    <row r="77" spans="1:23" ht="12" customHeight="1" x14ac:dyDescent="0.35">
      <c r="A77" s="7" t="s">
        <v>22</v>
      </c>
      <c r="B77" s="26">
        <f>[1]WWP!B$12</f>
        <v>6474.7755301560637</v>
      </c>
      <c r="C77" s="26">
        <f>[1]WWP!C$12</f>
        <v>6176.1692112769651</v>
      </c>
      <c r="D77" s="26">
        <f>[1]WWP!D$12</f>
        <v>6287.0275884817302</v>
      </c>
      <c r="E77" s="26">
        <f>[1]WWP!E$12</f>
        <v>6877.9886103523477</v>
      </c>
      <c r="F77" s="26">
        <f>[1]WWP!F$12</f>
        <v>7619.9660389226883</v>
      </c>
      <c r="G77" s="26">
        <f>[1]WWP!G$12</f>
        <v>7275.2361060954672</v>
      </c>
      <c r="H77" s="26">
        <f>[1]WWP!H$12</f>
        <v>7003.2611046532229</v>
      </c>
      <c r="I77" s="26">
        <f>[1]WWP!I$12</f>
        <v>7567.0061565355154</v>
      </c>
      <c r="J77" s="26">
        <f>[1]WWP!J$12</f>
        <v>7440.060600195141</v>
      </c>
      <c r="K77" s="26">
        <f>[1]WWP!K$12</f>
        <v>7165.6224752455664</v>
      </c>
      <c r="L77" s="26">
        <f>[1]WWP!L$12</f>
        <v>7749.0222135149697</v>
      </c>
      <c r="M77" s="26">
        <f>[1]WWP!M$12</f>
        <v>7893.7930108544997</v>
      </c>
      <c r="N77" s="26">
        <f>[1]WWP!N$12</f>
        <v>7874.208526221385</v>
      </c>
      <c r="O77" s="26">
        <f>[1]WWP!O$12</f>
        <v>7987.5182532552271</v>
      </c>
      <c r="P77" s="26">
        <f>[1]WWP!P$12</f>
        <v>7834.008437698044</v>
      </c>
      <c r="Q77" s="26">
        <f>[1]WWP!Q$12</f>
        <v>8092.0054261134947</v>
      </c>
      <c r="R77" s="26">
        <f>[1]WWP!R$12</f>
        <v>8503.8499268441774</v>
      </c>
      <c r="S77" s="26">
        <f>[1]WWP!S$12</f>
        <v>8635.4569872914635</v>
      </c>
      <c r="T77" s="26">
        <f>[1]WWP!T$12</f>
        <v>8757.0608868728668</v>
      </c>
      <c r="U77" s="26">
        <f>[1]WWP!U$12</f>
        <v>8542.6088777990753</v>
      </c>
      <c r="V77" s="26">
        <f>[1]WWP!V$12</f>
        <v>8609.5844353380635</v>
      </c>
      <c r="W77" s="26">
        <f>[1]WWP!W$12</f>
        <v>9358.8496214730258</v>
      </c>
    </row>
    <row r="78" spans="1:23" ht="12" customHeight="1" x14ac:dyDescent="0.35">
      <c r="A78" s="14" t="s">
        <v>23</v>
      </c>
      <c r="B78" s="29">
        <f>[1]OIS!B$12</f>
        <v>29485.49110763528</v>
      </c>
      <c r="C78" s="29">
        <f>[1]OIS!C$12</f>
        <v>29857.011718172289</v>
      </c>
      <c r="D78" s="29">
        <f>[1]OIS!D$12</f>
        <v>29705.166908194271</v>
      </c>
      <c r="E78" s="29">
        <f>[1]OIS!E$12</f>
        <v>26331.400605186209</v>
      </c>
      <c r="F78" s="29">
        <f>[1]OIS!F$12</f>
        <v>26257.054769536051</v>
      </c>
      <c r="G78" s="29">
        <f>[1]OIS!G$12</f>
        <v>30691.493376315651</v>
      </c>
      <c r="H78" s="29">
        <f>[1]OIS!H$12</f>
        <v>29225.234854670289</v>
      </c>
      <c r="I78" s="29">
        <f>[1]OIS!I$12</f>
        <v>30331.053339264541</v>
      </c>
      <c r="J78" s="29">
        <f>[1]OIS!J$12</f>
        <v>29560.270067468191</v>
      </c>
      <c r="K78" s="29">
        <f>[1]OIS!K$12</f>
        <v>24531.86035616395</v>
      </c>
      <c r="L78" s="29">
        <f>[1]OIS!L$12</f>
        <v>27262.591922135711</v>
      </c>
      <c r="M78" s="29">
        <f>[1]OIS!M$12</f>
        <v>22754.898201507101</v>
      </c>
      <c r="N78" s="29">
        <f>[1]OIS!N$12</f>
        <v>23061.200935158871</v>
      </c>
      <c r="O78" s="29">
        <f>[1]OIS!O$12</f>
        <v>22617.046500953089</v>
      </c>
      <c r="P78" s="29">
        <f>[1]OIS!P$12</f>
        <v>22203.60133978026</v>
      </c>
      <c r="Q78" s="29">
        <f>[1]OIS!Q$12</f>
        <v>21687.027759442561</v>
      </c>
      <c r="R78" s="29">
        <f>[1]OIS!R$12</f>
        <v>22128.5957737319</v>
      </c>
      <c r="S78" s="29">
        <f>[1]OIS!S$12</f>
        <v>22547.57005415345</v>
      </c>
      <c r="T78" s="29">
        <f>[1]OIS!T$12</f>
        <v>23343.019271365349</v>
      </c>
      <c r="U78" s="29">
        <f>[1]OIS!U$12</f>
        <v>24263.346470824112</v>
      </c>
      <c r="V78" s="29">
        <f>[1]OIS!V$12</f>
        <v>22627.901580341291</v>
      </c>
      <c r="W78" s="29">
        <f>[1]OIS!W$12</f>
        <v>24922.136955308339</v>
      </c>
    </row>
    <row r="80" spans="1:23" ht="12" customHeight="1" x14ac:dyDescent="0.35">
      <c r="A80" s="23" t="s">
        <v>52</v>
      </c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</row>
    <row r="81" spans="1:23" ht="12" customHeight="1" x14ac:dyDescent="0.35">
      <c r="A81" s="24" t="s">
        <v>25</v>
      </c>
      <c r="B81" s="32">
        <v>99359.169647463452</v>
      </c>
      <c r="C81" s="32">
        <v>99453.771281169407</v>
      </c>
      <c r="D81" s="32">
        <v>99055.82502149613</v>
      </c>
      <c r="E81" s="32">
        <v>97790.273946689587</v>
      </c>
      <c r="F81" s="32">
        <v>99497.237317282867</v>
      </c>
      <c r="G81" s="32">
        <v>101543.07850386931</v>
      </c>
      <c r="H81" s="32">
        <v>101637.94591573515</v>
      </c>
      <c r="I81" s="32">
        <v>101551.41134995699</v>
      </c>
      <c r="J81" s="32">
        <v>99014.810146173666</v>
      </c>
      <c r="K81" s="32">
        <v>90223.144024075678</v>
      </c>
      <c r="L81" s="32">
        <v>95138.701719690449</v>
      </c>
      <c r="M81" s="32">
        <v>93368.359071367144</v>
      </c>
      <c r="N81" s="32">
        <v>89460.548323301802</v>
      </c>
      <c r="O81" s="32">
        <v>86807.68142734305</v>
      </c>
      <c r="P81" s="32">
        <v>88771.024505588983</v>
      </c>
      <c r="Q81" s="32">
        <v>86040.698194325028</v>
      </c>
      <c r="R81" s="32">
        <v>85803.26835769559</v>
      </c>
      <c r="S81" s="32">
        <v>92506.559931212381</v>
      </c>
      <c r="T81" s="32">
        <v>88954.903439380912</v>
      </c>
      <c r="U81" s="32">
        <v>88433.758555460008</v>
      </c>
      <c r="V81" s="32">
        <v>87892.306964746342</v>
      </c>
      <c r="W81" s="32">
        <v>89500.924419604475</v>
      </c>
    </row>
    <row r="82" spans="1:23" ht="12" customHeight="1" x14ac:dyDescent="0.35">
      <c r="A82" s="17" t="s">
        <v>26</v>
      </c>
      <c r="B82" s="35">
        <v>712.40034393809117</v>
      </c>
      <c r="C82" s="35">
        <v>730.59492691315552</v>
      </c>
      <c r="D82" s="35">
        <v>1009.0570937231297</v>
      </c>
      <c r="E82" s="35">
        <v>990.74875322441937</v>
      </c>
      <c r="F82" s="35">
        <v>1173.3976784178844</v>
      </c>
      <c r="G82" s="35">
        <v>1136.1649183147031</v>
      </c>
      <c r="H82" s="35">
        <v>1266.8657781599311</v>
      </c>
      <c r="I82" s="35">
        <v>1346.8134135855544</v>
      </c>
      <c r="J82" s="35">
        <v>1415.209114359415</v>
      </c>
      <c r="K82" s="35">
        <v>1059.6687876182286</v>
      </c>
      <c r="L82" s="35">
        <v>1225.073344797936</v>
      </c>
      <c r="M82" s="35">
        <v>1519.2827171109197</v>
      </c>
      <c r="N82" s="35">
        <v>1494.5539122957864</v>
      </c>
      <c r="O82" s="35">
        <v>1574.3419604471194</v>
      </c>
      <c r="P82" s="35">
        <v>1604.4864144453998</v>
      </c>
      <c r="Q82" s="35">
        <v>1637.2579535683576</v>
      </c>
      <c r="R82" s="35">
        <v>1665.4660361134997</v>
      </c>
      <c r="S82" s="35">
        <v>1733.1754084264833</v>
      </c>
      <c r="T82" s="35">
        <v>1756.4797076526227</v>
      </c>
      <c r="U82" s="35">
        <v>1634.4730868443683</v>
      </c>
      <c r="V82" s="35">
        <v>1523.0854686156492</v>
      </c>
      <c r="W82" s="35">
        <v>1590.2214961306961</v>
      </c>
    </row>
    <row r="83" spans="1:23" ht="12" customHeight="1" x14ac:dyDescent="0.35">
      <c r="A83" s="7" t="s">
        <v>29</v>
      </c>
      <c r="B83" s="26">
        <v>84147.393465176268</v>
      </c>
      <c r="C83" s="26">
        <v>84809.433533963907</v>
      </c>
      <c r="D83" s="26">
        <v>85545.239896818573</v>
      </c>
      <c r="E83" s="26">
        <v>83800.182459157353</v>
      </c>
      <c r="F83" s="26">
        <v>84709.268013757508</v>
      </c>
      <c r="G83" s="26">
        <v>86314.627343078246</v>
      </c>
      <c r="H83" s="26">
        <v>87533.252278589847</v>
      </c>
      <c r="I83" s="26">
        <v>86484.2649183147</v>
      </c>
      <c r="J83" s="26">
        <v>84294.918056749768</v>
      </c>
      <c r="K83" s="26">
        <v>77672.475666380065</v>
      </c>
      <c r="L83" s="26">
        <v>81139.918830610477</v>
      </c>
      <c r="M83" s="26">
        <v>78359.060275150463</v>
      </c>
      <c r="N83" s="26">
        <v>74762.984178847808</v>
      </c>
      <c r="O83" s="26">
        <v>71799.004729148728</v>
      </c>
      <c r="P83" s="26">
        <v>73210.921926053299</v>
      </c>
      <c r="Q83" s="26">
        <v>70694.567583834913</v>
      </c>
      <c r="R83" s="26">
        <v>70579.926483232994</v>
      </c>
      <c r="S83" s="26">
        <v>76012.770163370587</v>
      </c>
      <c r="T83" s="26">
        <v>72572.621926053311</v>
      </c>
      <c r="U83" s="26">
        <v>71582.802923473762</v>
      </c>
      <c r="V83" s="26">
        <v>71623.785124677554</v>
      </c>
      <c r="W83" s="26">
        <v>73887.83912295787</v>
      </c>
    </row>
    <row r="84" spans="1:23" ht="12" customHeight="1" x14ac:dyDescent="0.35">
      <c r="A84" s="11" t="s">
        <v>30</v>
      </c>
      <c r="B84" s="26">
        <v>612.35838349097162</v>
      </c>
      <c r="C84" s="26">
        <v>1002.8528804815131</v>
      </c>
      <c r="D84" s="26">
        <v>971.47919174548565</v>
      </c>
      <c r="E84" s="26">
        <v>387.57325881341353</v>
      </c>
      <c r="F84" s="26">
        <v>335.23215821152189</v>
      </c>
      <c r="G84" s="26">
        <v>470.5380911435941</v>
      </c>
      <c r="H84" s="26">
        <v>728.58280309544273</v>
      </c>
      <c r="I84" s="26">
        <v>908.01745485812557</v>
      </c>
      <c r="J84" s="26">
        <v>784.3516766981943</v>
      </c>
      <c r="K84" s="26">
        <v>286.66104901117797</v>
      </c>
      <c r="L84" s="26">
        <v>147.19329320722269</v>
      </c>
      <c r="M84" s="26">
        <v>394.84299226139296</v>
      </c>
      <c r="N84" s="26">
        <v>382.00627687016345</v>
      </c>
      <c r="O84" s="26">
        <v>356.07987962166806</v>
      </c>
      <c r="P84" s="26">
        <v>347.42527944969896</v>
      </c>
      <c r="Q84" s="26">
        <v>375.99914015477214</v>
      </c>
      <c r="R84" s="26">
        <v>253.20361134995699</v>
      </c>
      <c r="S84" s="26">
        <v>223.43009458297502</v>
      </c>
      <c r="T84" s="26">
        <v>234.1912295786758</v>
      </c>
      <c r="U84" s="26">
        <v>173.88847807394666</v>
      </c>
      <c r="V84" s="26">
        <v>231.0064488392089</v>
      </c>
      <c r="W84" s="26">
        <v>87.621840068787606</v>
      </c>
    </row>
    <row r="85" spans="1:23" ht="12" customHeight="1" x14ac:dyDescent="0.35">
      <c r="A85" s="11" t="s">
        <v>31</v>
      </c>
      <c r="B85" s="26">
        <v>2843.253912295786</v>
      </c>
      <c r="C85" s="26">
        <v>3403.8380911435934</v>
      </c>
      <c r="D85" s="26">
        <v>3543.6628546861566</v>
      </c>
      <c r="E85" s="26">
        <v>3229.9532244196043</v>
      </c>
      <c r="F85" s="26">
        <v>3682.7002579535683</v>
      </c>
      <c r="G85" s="26">
        <v>4076.3671539122943</v>
      </c>
      <c r="H85" s="26">
        <v>5143.2824591573517</v>
      </c>
      <c r="I85" s="26">
        <v>5590.2232158211509</v>
      </c>
      <c r="J85" s="26">
        <v>5678.1146173688721</v>
      </c>
      <c r="K85" s="26">
        <v>5767.2502149613083</v>
      </c>
      <c r="L85" s="26">
        <v>5739.4980223559751</v>
      </c>
      <c r="M85" s="26">
        <v>6297.1770421324163</v>
      </c>
      <c r="N85" s="26">
        <v>5920.1582115219253</v>
      </c>
      <c r="O85" s="26">
        <v>8622.0096302665497</v>
      </c>
      <c r="P85" s="26">
        <v>10228.633447979364</v>
      </c>
      <c r="Q85" s="26">
        <v>10657.29226139295</v>
      </c>
      <c r="R85" s="26">
        <v>10177.184522785899</v>
      </c>
      <c r="S85" s="26">
        <v>10919.019604471196</v>
      </c>
      <c r="T85" s="26">
        <v>11343.468873602755</v>
      </c>
      <c r="U85" s="26">
        <v>12030.60773860705</v>
      </c>
      <c r="V85" s="26">
        <v>10857.895958727431</v>
      </c>
      <c r="W85" s="26">
        <v>10418.533705932932</v>
      </c>
    </row>
    <row r="86" spans="1:23" ht="12" customHeight="1" x14ac:dyDescent="0.35">
      <c r="A86" s="11" t="s">
        <v>53</v>
      </c>
      <c r="B86" s="26">
        <v>3737.4300945829746</v>
      </c>
      <c r="C86" s="26">
        <v>3227.3870163370593</v>
      </c>
      <c r="D86" s="26">
        <v>3192.9123817712803</v>
      </c>
      <c r="E86" s="26">
        <v>2998.894239036973</v>
      </c>
      <c r="F86" s="26">
        <v>3153.7650902837486</v>
      </c>
      <c r="G86" s="26">
        <v>3355.7601891659497</v>
      </c>
      <c r="H86" s="26">
        <v>3164.98271711092</v>
      </c>
      <c r="I86" s="26">
        <v>3354.6840928632837</v>
      </c>
      <c r="J86" s="26">
        <v>3044.2454858125534</v>
      </c>
      <c r="K86" s="26">
        <v>2726.7597592433362</v>
      </c>
      <c r="L86" s="26">
        <v>3554.5534823731728</v>
      </c>
      <c r="M86" s="26">
        <v>2863.1252794496986</v>
      </c>
      <c r="N86" s="26">
        <v>2442.7082545141875</v>
      </c>
      <c r="O86" s="26">
        <v>2029.4097162510752</v>
      </c>
      <c r="P86" s="26">
        <v>1648.2330180567494</v>
      </c>
      <c r="Q86" s="26">
        <v>1551.2434221840069</v>
      </c>
      <c r="R86" s="26">
        <v>1731.011263972485</v>
      </c>
      <c r="S86" s="26">
        <v>1753.7104041272571</v>
      </c>
      <c r="T86" s="26">
        <v>1585.4633705932929</v>
      </c>
      <c r="U86" s="26">
        <v>1250.6461736887361</v>
      </c>
      <c r="V86" s="26">
        <v>1495.8954428202924</v>
      </c>
      <c r="W86" s="26">
        <v>1572.4337059329318</v>
      </c>
    </row>
    <row r="87" spans="1:23" ht="12" customHeight="1" x14ac:dyDescent="0.35">
      <c r="A87" s="11" t="s">
        <v>33</v>
      </c>
      <c r="B87" s="26">
        <v>3081.1670679277727</v>
      </c>
      <c r="C87" s="26">
        <v>3234.7949269131545</v>
      </c>
      <c r="D87" s="26">
        <v>3417.5885640584693</v>
      </c>
      <c r="E87" s="26">
        <v>2267.1408426483235</v>
      </c>
      <c r="F87" s="26">
        <v>1987.7706792777301</v>
      </c>
      <c r="G87" s="26">
        <v>2092.5616509028378</v>
      </c>
      <c r="H87" s="26">
        <v>2229.3297506448839</v>
      </c>
      <c r="I87" s="26">
        <v>2085.5172828890804</v>
      </c>
      <c r="J87" s="26">
        <v>2204.5430782459152</v>
      </c>
      <c r="K87" s="26">
        <v>2117.653138435081</v>
      </c>
      <c r="L87" s="26">
        <v>2008.9125537403265</v>
      </c>
      <c r="M87" s="26">
        <v>2061.5218400687872</v>
      </c>
      <c r="N87" s="26">
        <v>2096.3980223559761</v>
      </c>
      <c r="O87" s="26">
        <v>1589.0141014617366</v>
      </c>
      <c r="P87" s="26">
        <v>1565.7431642304387</v>
      </c>
      <c r="Q87" s="26">
        <v>1634.1937231298359</v>
      </c>
      <c r="R87" s="26">
        <v>1003.6564918314705</v>
      </c>
      <c r="S87" s="26">
        <v>960.19019776440234</v>
      </c>
      <c r="T87" s="26">
        <v>977.83774720550286</v>
      </c>
      <c r="U87" s="26">
        <v>828.69054170249353</v>
      </c>
      <c r="V87" s="26">
        <v>707.35683576956148</v>
      </c>
      <c r="W87" s="26">
        <v>526.20748065348232</v>
      </c>
    </row>
    <row r="88" spans="1:23" ht="12" customHeight="1" x14ac:dyDescent="0.35">
      <c r="A88" s="11" t="s">
        <v>34</v>
      </c>
      <c r="B88" s="26">
        <f t="shared" ref="B88:W88" si="5">IF(ABS(B83-B84-B85-B86-B87-B89)&lt;0.0000001,0,B83-B84-B85-B86-B87-B89)</f>
        <v>30405.524849527101</v>
      </c>
      <c r="C88" s="26">
        <f t="shared" si="5"/>
        <v>31627.139208942404</v>
      </c>
      <c r="D88" s="26">
        <f t="shared" si="5"/>
        <v>31755.348065348233</v>
      </c>
      <c r="E88" s="26">
        <f t="shared" si="5"/>
        <v>31173.842046431651</v>
      </c>
      <c r="F88" s="26">
        <f t="shared" si="5"/>
        <v>32397.1121238177</v>
      </c>
      <c r="G88" s="26">
        <f t="shared" si="5"/>
        <v>33177.518486672423</v>
      </c>
      <c r="H88" s="26">
        <f t="shared" si="5"/>
        <v>35090.376182287175</v>
      </c>
      <c r="I88" s="26">
        <f t="shared" si="5"/>
        <v>32793.93740326741</v>
      </c>
      <c r="J88" s="26">
        <f t="shared" si="5"/>
        <v>32741.806276870149</v>
      </c>
      <c r="K88" s="26">
        <f t="shared" si="5"/>
        <v>30682.047033533985</v>
      </c>
      <c r="L88" s="26">
        <f t="shared" si="5"/>
        <v>31139.757007738597</v>
      </c>
      <c r="M88" s="26">
        <f t="shared" si="5"/>
        <v>31536.786156491828</v>
      </c>
      <c r="N88" s="26">
        <f t="shared" si="5"/>
        <v>27890.527171109214</v>
      </c>
      <c r="O88" s="26">
        <f t="shared" si="5"/>
        <v>25590.620034393789</v>
      </c>
      <c r="P88" s="26">
        <f t="shared" si="5"/>
        <v>24727.007222699904</v>
      </c>
      <c r="Q88" s="26">
        <f t="shared" si="5"/>
        <v>23949.062338779018</v>
      </c>
      <c r="R88" s="26">
        <f t="shared" si="5"/>
        <v>25434.312897678392</v>
      </c>
      <c r="S88" s="26">
        <f t="shared" si="5"/>
        <v>25962.546689595867</v>
      </c>
      <c r="T88" s="26">
        <f t="shared" si="5"/>
        <v>27313.303697334486</v>
      </c>
      <c r="U88" s="26">
        <f t="shared" si="5"/>
        <v>27056.509630266548</v>
      </c>
      <c r="V88" s="26">
        <f t="shared" si="5"/>
        <v>26555.353654342216</v>
      </c>
      <c r="W88" s="26">
        <f t="shared" si="5"/>
        <v>26874.942820292352</v>
      </c>
    </row>
    <row r="89" spans="1:23" ht="12" customHeight="1" x14ac:dyDescent="0.35">
      <c r="A89" s="11" t="s">
        <v>54</v>
      </c>
      <c r="B89" s="26">
        <v>43467.659157351671</v>
      </c>
      <c r="C89" s="26">
        <v>42313.421410146184</v>
      </c>
      <c r="D89" s="26">
        <v>42664.248839208936</v>
      </c>
      <c r="E89" s="26">
        <v>43742.778847807385</v>
      </c>
      <c r="F89" s="26">
        <v>43152.68770421324</v>
      </c>
      <c r="G89" s="26">
        <v>43141.881771281165</v>
      </c>
      <c r="H89" s="26">
        <v>41176.698366294062</v>
      </c>
      <c r="I89" s="26">
        <v>41751.885468615641</v>
      </c>
      <c r="J89" s="26">
        <v>39841.856921754079</v>
      </c>
      <c r="K89" s="26">
        <v>36092.104471195176</v>
      </c>
      <c r="L89" s="26">
        <v>38550.004471195185</v>
      </c>
      <c r="M89" s="26">
        <v>35205.606964746345</v>
      </c>
      <c r="N89" s="26">
        <v>36031.186242476346</v>
      </c>
      <c r="O89" s="26">
        <v>33611.871367153908</v>
      </c>
      <c r="P89" s="26">
        <v>34693.879793637141</v>
      </c>
      <c r="Q89" s="26">
        <v>32526.776698194328</v>
      </c>
      <c r="R89" s="26">
        <v>31980.557695614785</v>
      </c>
      <c r="S89" s="26">
        <v>36193.873172828899</v>
      </c>
      <c r="T89" s="26">
        <v>31118.357007738603</v>
      </c>
      <c r="U89" s="26">
        <v>30242.460361134988</v>
      </c>
      <c r="V89" s="26">
        <v>31776.276784178845</v>
      </c>
      <c r="W89" s="26">
        <v>34408.099570077378</v>
      </c>
    </row>
    <row r="90" spans="1:23" ht="12" customHeight="1" x14ac:dyDescent="0.35">
      <c r="A90" s="7" t="s">
        <v>55</v>
      </c>
      <c r="B90" s="26">
        <v>14499.375838349095</v>
      </c>
      <c r="C90" s="26">
        <v>13913.742820292346</v>
      </c>
      <c r="D90" s="26">
        <v>12501.528030954425</v>
      </c>
      <c r="E90" s="26">
        <v>12999.342734307822</v>
      </c>
      <c r="F90" s="26">
        <v>13614.571625107477</v>
      </c>
      <c r="G90" s="26">
        <v>14092.286242476353</v>
      </c>
      <c r="H90" s="26">
        <v>12837.82785898538</v>
      </c>
      <c r="I90" s="26">
        <v>13720.33301805675</v>
      </c>
      <c r="J90" s="26">
        <v>13304.682975064488</v>
      </c>
      <c r="K90" s="26">
        <v>11490.999570077387</v>
      </c>
      <c r="L90" s="26">
        <v>12773.709544282026</v>
      </c>
      <c r="M90" s="26">
        <v>13490.016079105762</v>
      </c>
      <c r="N90" s="26">
        <v>13203.010232158211</v>
      </c>
      <c r="O90" s="26">
        <v>13434.334737747206</v>
      </c>
      <c r="P90" s="26">
        <v>13955.616165090283</v>
      </c>
      <c r="Q90" s="26">
        <v>13708.872656921754</v>
      </c>
      <c r="R90" s="26">
        <v>13557.875838349099</v>
      </c>
      <c r="S90" s="26">
        <v>14760.614359415307</v>
      </c>
      <c r="T90" s="26">
        <v>14625.801805674977</v>
      </c>
      <c r="U90" s="26">
        <v>15216.482545141871</v>
      </c>
      <c r="V90" s="26">
        <v>14745.436371453139</v>
      </c>
      <c r="W90" s="26">
        <v>14022.863800515905</v>
      </c>
    </row>
    <row r="91" spans="1:23" ht="12" customHeight="1" x14ac:dyDescent="0.35">
      <c r="A91" s="11" t="s">
        <v>36</v>
      </c>
      <c r="B91" s="26">
        <v>14499.375838349095</v>
      </c>
      <c r="C91" s="26">
        <v>13913.742820292346</v>
      </c>
      <c r="D91" s="26">
        <v>12501.528030954425</v>
      </c>
      <c r="E91" s="26">
        <v>12999.342734307822</v>
      </c>
      <c r="F91" s="26">
        <v>13614.571625107477</v>
      </c>
      <c r="G91" s="26">
        <v>14092.286242476353</v>
      </c>
      <c r="H91" s="26">
        <v>12837.82785898538</v>
      </c>
      <c r="I91" s="26">
        <v>13710.373172828891</v>
      </c>
      <c r="J91" s="26">
        <v>13304.682975064488</v>
      </c>
      <c r="K91" s="26">
        <v>11490.999570077387</v>
      </c>
      <c r="L91" s="26">
        <v>12758.542820292345</v>
      </c>
      <c r="M91" s="26">
        <v>13472.914703353397</v>
      </c>
      <c r="N91" s="26">
        <v>13188.225709372313</v>
      </c>
      <c r="O91" s="26">
        <v>13417.23336199484</v>
      </c>
      <c r="P91" s="26">
        <v>13936.699570077386</v>
      </c>
      <c r="Q91" s="26">
        <v>13691.651848667239</v>
      </c>
      <c r="R91" s="26">
        <v>13540.01014617369</v>
      </c>
      <c r="S91" s="26">
        <v>14743.12648323302</v>
      </c>
      <c r="T91" s="26">
        <v>14606.874204643163</v>
      </c>
      <c r="U91" s="26">
        <v>15192.776698194322</v>
      </c>
      <c r="V91" s="26">
        <v>14731.29845227859</v>
      </c>
      <c r="W91" s="26">
        <v>14005.556577815991</v>
      </c>
    </row>
    <row r="92" spans="1:23" ht="12" customHeight="1" x14ac:dyDescent="0.35">
      <c r="A92" s="11" t="s">
        <v>37</v>
      </c>
      <c r="B92" s="26">
        <v>0</v>
      </c>
      <c r="C92" s="26">
        <v>0</v>
      </c>
      <c r="D92" s="26">
        <v>0</v>
      </c>
      <c r="E92" s="26">
        <v>0</v>
      </c>
      <c r="F92" s="26">
        <v>0</v>
      </c>
      <c r="G92" s="26">
        <v>0</v>
      </c>
      <c r="H92" s="26">
        <v>0</v>
      </c>
      <c r="I92" s="26">
        <v>9.9598452278589846</v>
      </c>
      <c r="J92" s="26">
        <v>0</v>
      </c>
      <c r="K92" s="26">
        <v>0</v>
      </c>
      <c r="L92" s="26">
        <v>15.166723989681859</v>
      </c>
      <c r="M92" s="26">
        <v>17.101375752364579</v>
      </c>
      <c r="N92" s="26">
        <v>14.78452278589854</v>
      </c>
      <c r="O92" s="26">
        <v>17.101375752364579</v>
      </c>
      <c r="P92" s="26">
        <v>18.91659501289768</v>
      </c>
      <c r="Q92" s="26">
        <v>17.220808254514189</v>
      </c>
      <c r="R92" s="26">
        <v>17.865692175408419</v>
      </c>
      <c r="S92" s="26">
        <v>17.487876182287181</v>
      </c>
      <c r="T92" s="26">
        <v>18.92760103181427</v>
      </c>
      <c r="U92" s="26">
        <v>23.705846947549439</v>
      </c>
      <c r="V92" s="26">
        <v>14.13791917454858</v>
      </c>
      <c r="W92" s="26">
        <v>17.307222699914011</v>
      </c>
    </row>
    <row r="93" spans="1:23" ht="12" customHeight="1" x14ac:dyDescent="0.35">
      <c r="A93" s="7" t="s">
        <v>38</v>
      </c>
      <c r="B93" s="26">
        <v>0</v>
      </c>
      <c r="C93" s="26">
        <v>0</v>
      </c>
      <c r="D93" s="26">
        <v>0</v>
      </c>
      <c r="E93" s="26">
        <v>0</v>
      </c>
      <c r="F93" s="26">
        <v>0</v>
      </c>
      <c r="G93" s="26">
        <v>0</v>
      </c>
      <c r="H93" s="26">
        <v>0</v>
      </c>
      <c r="I93" s="26">
        <v>0</v>
      </c>
      <c r="J93" s="26">
        <v>0</v>
      </c>
      <c r="K93" s="26">
        <v>0</v>
      </c>
      <c r="L93" s="26">
        <v>0</v>
      </c>
      <c r="M93" s="26">
        <v>0</v>
      </c>
      <c r="N93" s="26">
        <v>0</v>
      </c>
      <c r="O93" s="26">
        <v>0</v>
      </c>
      <c r="P93" s="26">
        <v>0</v>
      </c>
      <c r="Q93" s="26">
        <v>0</v>
      </c>
      <c r="R93" s="26">
        <v>0</v>
      </c>
      <c r="S93" s="26">
        <v>0</v>
      </c>
      <c r="T93" s="26">
        <v>0</v>
      </c>
      <c r="U93" s="26">
        <v>0</v>
      </c>
      <c r="V93" s="26">
        <v>0</v>
      </c>
      <c r="W93" s="26">
        <v>0</v>
      </c>
    </row>
    <row r="94" spans="1:23" ht="12" customHeight="1" x14ac:dyDescent="0.35">
      <c r="A94" s="24" t="s">
        <v>47</v>
      </c>
      <c r="B94" s="32">
        <f t="shared" ref="B94:W94" si="6">SUM(B95:B96)</f>
        <v>99359.169647463452</v>
      </c>
      <c r="C94" s="32">
        <f t="shared" si="6"/>
        <v>99453.771281169407</v>
      </c>
      <c r="D94" s="32">
        <f t="shared" si="6"/>
        <v>99055.82502149613</v>
      </c>
      <c r="E94" s="32">
        <f t="shared" si="6"/>
        <v>97790.273946689587</v>
      </c>
      <c r="F94" s="32">
        <f t="shared" si="6"/>
        <v>99497.237317282867</v>
      </c>
      <c r="G94" s="32">
        <f t="shared" si="6"/>
        <v>101543.07850386931</v>
      </c>
      <c r="H94" s="32">
        <f t="shared" si="6"/>
        <v>101637.94591573515</v>
      </c>
      <c r="I94" s="32">
        <f t="shared" si="6"/>
        <v>101551.41134995699</v>
      </c>
      <c r="J94" s="32">
        <f t="shared" si="6"/>
        <v>99014.810146173666</v>
      </c>
      <c r="K94" s="32">
        <f t="shared" si="6"/>
        <v>90223.144024075678</v>
      </c>
      <c r="L94" s="32">
        <f t="shared" si="6"/>
        <v>95138.701719690449</v>
      </c>
      <c r="M94" s="32">
        <f t="shared" si="6"/>
        <v>93368.359071367144</v>
      </c>
      <c r="N94" s="32">
        <f t="shared" si="6"/>
        <v>89460.548323301802</v>
      </c>
      <c r="O94" s="32">
        <f t="shared" si="6"/>
        <v>86807.68142734305</v>
      </c>
      <c r="P94" s="32">
        <f t="shared" si="6"/>
        <v>88771.024505588983</v>
      </c>
      <c r="Q94" s="32">
        <f t="shared" si="6"/>
        <v>86040.698194325028</v>
      </c>
      <c r="R94" s="32">
        <f t="shared" si="6"/>
        <v>85803.26835769559</v>
      </c>
      <c r="S94" s="32">
        <f t="shared" si="6"/>
        <v>92506.559931212381</v>
      </c>
      <c r="T94" s="32">
        <f t="shared" si="6"/>
        <v>88954.903439380912</v>
      </c>
      <c r="U94" s="32">
        <f t="shared" si="6"/>
        <v>88433.758555460008</v>
      </c>
      <c r="V94" s="32">
        <f t="shared" si="6"/>
        <v>87892.306964746342</v>
      </c>
      <c r="W94" s="32">
        <f t="shared" si="6"/>
        <v>89500.924419604475</v>
      </c>
    </row>
    <row r="95" spans="1:23" ht="12" customHeight="1" x14ac:dyDescent="0.35">
      <c r="A95" s="17" t="s">
        <v>56</v>
      </c>
      <c r="B95" s="35">
        <f>[1]CHI!B58</f>
        <v>76239.28709696373</v>
      </c>
      <c r="C95" s="35">
        <f>[1]CHI!C58</f>
        <v>76594.2477513513</v>
      </c>
      <c r="D95" s="35">
        <f>[1]CHI!D58</f>
        <v>75853.251250571571</v>
      </c>
      <c r="E95" s="35">
        <f>[1]CHI!E58</f>
        <v>75729.977654837887</v>
      </c>
      <c r="F95" s="35">
        <f>[1]CHI!F58</f>
        <v>76710.206790145967</v>
      </c>
      <c r="G95" s="35">
        <f>[1]CHI!G58</f>
        <v>77972.239985124179</v>
      </c>
      <c r="H95" s="35">
        <f>[1]CHI!H58</f>
        <v>77057.807288896962</v>
      </c>
      <c r="I95" s="35">
        <f>[1]CHI!I58</f>
        <v>78083.764481033693</v>
      </c>
      <c r="J95" s="35">
        <f>[1]CHI!J58</f>
        <v>75827.561701238548</v>
      </c>
      <c r="K95" s="35">
        <f>[1]CHI!K58</f>
        <v>68132.160573993344</v>
      </c>
      <c r="L95" s="35">
        <f>[1]CHI!L58</f>
        <v>72693.256902036534</v>
      </c>
      <c r="M95" s="35">
        <f>[1]CHI!M58</f>
        <v>71202.080829141138</v>
      </c>
      <c r="N95" s="35">
        <f>[1]CHI!N58</f>
        <v>70379.176787939039</v>
      </c>
      <c r="O95" s="35">
        <f>[1]CHI!O58</f>
        <v>69197.853305542696</v>
      </c>
      <c r="P95" s="35">
        <f>[1]CHI!P58</f>
        <v>72448.882888599313</v>
      </c>
      <c r="Q95" s="35">
        <f>[1]CHI!Q58</f>
        <v>69109.574303970076</v>
      </c>
      <c r="R95" s="35">
        <f>[1]CHI!R58</f>
        <v>69167.982226182023</v>
      </c>
      <c r="S95" s="35">
        <f>[1]CHI!S58</f>
        <v>75756.250646900371</v>
      </c>
      <c r="T95" s="35">
        <f>[1]CHI!T58</f>
        <v>72319.575295113507</v>
      </c>
      <c r="U95" s="35">
        <f>[1]CHI!U58</f>
        <v>71629.818553216872</v>
      </c>
      <c r="V95" s="35">
        <f>[1]CHI!V58</f>
        <v>71097.67038634757</v>
      </c>
      <c r="W95" s="35">
        <f>[1]CHI!W58</f>
        <v>72031.899736361403</v>
      </c>
    </row>
    <row r="96" spans="1:23" ht="12" customHeight="1" x14ac:dyDescent="0.35">
      <c r="A96" s="14" t="s">
        <v>57</v>
      </c>
      <c r="B96" s="29">
        <v>23119.882550499722</v>
      </c>
      <c r="C96" s="29">
        <v>22859.523529818107</v>
      </c>
      <c r="D96" s="29">
        <v>23202.573770924559</v>
      </c>
      <c r="E96" s="29">
        <v>22060.296291851701</v>
      </c>
      <c r="F96" s="29">
        <v>22787.0305271369</v>
      </c>
      <c r="G96" s="29">
        <v>23570.838518745135</v>
      </c>
      <c r="H96" s="29">
        <v>24580.13862683819</v>
      </c>
      <c r="I96" s="29">
        <v>23467.646868923301</v>
      </c>
      <c r="J96" s="29">
        <v>23187.248444935118</v>
      </c>
      <c r="K96" s="29">
        <v>22090.983450082334</v>
      </c>
      <c r="L96" s="29">
        <v>22445.444817653915</v>
      </c>
      <c r="M96" s="29">
        <v>22166.278242226006</v>
      </c>
      <c r="N96" s="29">
        <v>19081.371535362763</v>
      </c>
      <c r="O96" s="29">
        <v>17609.828121800354</v>
      </c>
      <c r="P96" s="29">
        <v>16322.141616989669</v>
      </c>
      <c r="Q96" s="29">
        <v>16931.123890354953</v>
      </c>
      <c r="R96" s="29">
        <v>16635.286131513567</v>
      </c>
      <c r="S96" s="29">
        <v>16750.30928431201</v>
      </c>
      <c r="T96" s="29">
        <v>16635.328144267405</v>
      </c>
      <c r="U96" s="29">
        <v>16803.940002243136</v>
      </c>
      <c r="V96" s="29">
        <v>16794.636578398771</v>
      </c>
      <c r="W96" s="29">
        <v>17469.024683243071</v>
      </c>
    </row>
    <row r="98" spans="1:23" ht="12" customHeight="1" x14ac:dyDescent="0.35">
      <c r="A98" s="23" t="s">
        <v>58</v>
      </c>
      <c r="B98" s="25">
        <f t="shared" ref="B98:W98" si="7">SUM(B99,B102,B108,B112,B116,B120:B126)</f>
        <v>791136.81568332796</v>
      </c>
      <c r="C98" s="25">
        <f t="shared" si="7"/>
        <v>768684.56591611402</v>
      </c>
      <c r="D98" s="25">
        <f t="shared" si="7"/>
        <v>762228.37765241158</v>
      </c>
      <c r="E98" s="25">
        <f t="shared" si="7"/>
        <v>778397.89100404631</v>
      </c>
      <c r="F98" s="25">
        <f t="shared" si="7"/>
        <v>774095.14807669341</v>
      </c>
      <c r="G98" s="25">
        <f t="shared" si="7"/>
        <v>764987.60836007237</v>
      </c>
      <c r="H98" s="25">
        <f t="shared" si="7"/>
        <v>755522.90525867685</v>
      </c>
      <c r="I98" s="25">
        <f t="shared" si="7"/>
        <v>760504.54001138872</v>
      </c>
      <c r="J98" s="25">
        <f t="shared" si="7"/>
        <v>723368.5949221442</v>
      </c>
      <c r="K98" s="25">
        <f t="shared" si="7"/>
        <v>587560.96930545836</v>
      </c>
      <c r="L98" s="25">
        <f t="shared" si="7"/>
        <v>631806.05618638801</v>
      </c>
      <c r="M98" s="25">
        <f t="shared" si="7"/>
        <v>631670.9636643196</v>
      </c>
      <c r="N98" s="25">
        <f t="shared" si="7"/>
        <v>605442.89660816966</v>
      </c>
      <c r="O98" s="25">
        <f t="shared" si="7"/>
        <v>594869.92967302166</v>
      </c>
      <c r="P98" s="25">
        <f t="shared" si="7"/>
        <v>591921.38851560338</v>
      </c>
      <c r="Q98" s="25">
        <f t="shared" si="7"/>
        <v>590383.46918205975</v>
      </c>
      <c r="R98" s="25">
        <f t="shared" si="7"/>
        <v>595311.76064644032</v>
      </c>
      <c r="S98" s="25">
        <f t="shared" si="7"/>
        <v>605113.37464162521</v>
      </c>
      <c r="T98" s="25">
        <f t="shared" si="7"/>
        <v>609050.4277643197</v>
      </c>
      <c r="U98" s="25">
        <f t="shared" si="7"/>
        <v>591843.951977922</v>
      </c>
      <c r="V98" s="25">
        <f t="shared" si="7"/>
        <v>562132.50971179572</v>
      </c>
      <c r="W98" s="25">
        <f t="shared" si="7"/>
        <v>600538.61450959428</v>
      </c>
    </row>
    <row r="99" spans="1:23" ht="12" customHeight="1" x14ac:dyDescent="0.35">
      <c r="A99" s="18" t="s">
        <v>1</v>
      </c>
      <c r="B99" s="31">
        <f>[1]ISI!B$54</f>
        <v>198253.14049203691</v>
      </c>
      <c r="C99" s="31">
        <f>[1]ISI!C$54</f>
        <v>184175.61370219517</v>
      </c>
      <c r="D99" s="31">
        <f>[1]ISI!D$54</f>
        <v>186699.92372565568</v>
      </c>
      <c r="E99" s="31">
        <f>[1]ISI!E$54</f>
        <v>194865.66479002615</v>
      </c>
      <c r="F99" s="31">
        <f>[1]ISI!F$54</f>
        <v>197380.47067142732</v>
      </c>
      <c r="G99" s="31">
        <f>[1]ISI!G$54</f>
        <v>187468.98353737709</v>
      </c>
      <c r="H99" s="31">
        <f>[1]ISI!H$54</f>
        <v>194278.81724577601</v>
      </c>
      <c r="I99" s="31">
        <f>[1]ISI!I$54</f>
        <v>183934.91275341841</v>
      </c>
      <c r="J99" s="31">
        <f>[1]ISI!J$54</f>
        <v>168561.98986308847</v>
      </c>
      <c r="K99" s="31">
        <f>[1]ISI!K$54</f>
        <v>118000.25480074986</v>
      </c>
      <c r="L99" s="31">
        <f>[1]ISI!L$54</f>
        <v>141753.99110884569</v>
      </c>
      <c r="M99" s="31">
        <f>[1]ISI!M$54</f>
        <v>141337.52770225093</v>
      </c>
      <c r="N99" s="31">
        <f>[1]ISI!N$54</f>
        <v>133267.27307949972</v>
      </c>
      <c r="O99" s="31">
        <f>[1]ISI!O$54</f>
        <v>132822.67859320019</v>
      </c>
      <c r="P99" s="31">
        <f>[1]ISI!P$54</f>
        <v>134252.86983016238</v>
      </c>
      <c r="Q99" s="31">
        <f>[1]ISI!Q$54</f>
        <v>136945.86381820971</v>
      </c>
      <c r="R99" s="31">
        <f>[1]ISI!R$54</f>
        <v>137387.93846057518</v>
      </c>
      <c r="S99" s="31">
        <f>[1]ISI!S$54</f>
        <v>141464.52228466855</v>
      </c>
      <c r="T99" s="31">
        <f>[1]ISI!T$54</f>
        <v>140638.46337307105</v>
      </c>
      <c r="U99" s="31">
        <f>[1]ISI!U$54</f>
        <v>131404.64796454986</v>
      </c>
      <c r="V99" s="31">
        <f>[1]ISI!V$54</f>
        <v>115139.35519985994</v>
      </c>
      <c r="W99" s="31">
        <f>[1]ISI!W$54</f>
        <v>129825.40064676685</v>
      </c>
    </row>
    <row r="100" spans="1:23" ht="12" customHeight="1" x14ac:dyDescent="0.35">
      <c r="A100" s="7" t="s">
        <v>48</v>
      </c>
      <c r="B100" s="26">
        <f>[1]ISI!B$55</f>
        <v>182634.02105303592</v>
      </c>
      <c r="C100" s="26">
        <f>[1]ISI!C$55</f>
        <v>168771.41313959853</v>
      </c>
      <c r="D100" s="26">
        <f>[1]ISI!D$55</f>
        <v>171899.13880042182</v>
      </c>
      <c r="E100" s="26">
        <f>[1]ISI!E$55</f>
        <v>179615.13085425223</v>
      </c>
      <c r="F100" s="26">
        <f>[1]ISI!F$55</f>
        <v>181734.59229865484</v>
      </c>
      <c r="G100" s="26">
        <f>[1]ISI!G$55</f>
        <v>172407.13114713068</v>
      </c>
      <c r="H100" s="26">
        <f>[1]ISI!H$55</f>
        <v>178106.97282757206</v>
      </c>
      <c r="I100" s="26">
        <f>[1]ISI!I$55</f>
        <v>168390.61322966331</v>
      </c>
      <c r="J100" s="26">
        <f>[1]ISI!J$55</f>
        <v>153793.96567103712</v>
      </c>
      <c r="K100" s="26">
        <f>[1]ISI!K$55</f>
        <v>107012.50461188685</v>
      </c>
      <c r="L100" s="26">
        <f>[1]ISI!L$55</f>
        <v>129734.79386590546</v>
      </c>
      <c r="M100" s="26">
        <f>[1]ISI!M$55</f>
        <v>128894.28770486405</v>
      </c>
      <c r="N100" s="26">
        <f>[1]ISI!N$55</f>
        <v>121499.46496001723</v>
      </c>
      <c r="O100" s="26">
        <f>[1]ISI!O$55</f>
        <v>122159.7460646632</v>
      </c>
      <c r="P100" s="26">
        <f>[1]ISI!P$55</f>
        <v>123420.76810489045</v>
      </c>
      <c r="Q100" s="26">
        <f>[1]ISI!Q$55</f>
        <v>125822.33565943224</v>
      </c>
      <c r="R100" s="26">
        <f>[1]ISI!R$55</f>
        <v>126648.87399878122</v>
      </c>
      <c r="S100" s="26">
        <f>[1]ISI!S$55</f>
        <v>130391.72984265158</v>
      </c>
      <c r="T100" s="26">
        <f>[1]ISI!T$55</f>
        <v>129106.09892345199</v>
      </c>
      <c r="U100" s="26">
        <f>[1]ISI!U$55</f>
        <v>120775.32250860441</v>
      </c>
      <c r="V100" s="26">
        <f>[1]ISI!V$55</f>
        <v>105319.61353520393</v>
      </c>
      <c r="W100" s="26">
        <f>[1]ISI!W$55</f>
        <v>119180.90942825683</v>
      </c>
    </row>
    <row r="101" spans="1:23" ht="12" customHeight="1" x14ac:dyDescent="0.35">
      <c r="A101" s="7" t="s">
        <v>49</v>
      </c>
      <c r="B101" s="26">
        <f>[1]ISI!B$56</f>
        <v>15619.119439000982</v>
      </c>
      <c r="C101" s="26">
        <f>[1]ISI!C$56</f>
        <v>15404.200562596649</v>
      </c>
      <c r="D101" s="26">
        <f>[1]ISI!D$56</f>
        <v>14800.784925233866</v>
      </c>
      <c r="E101" s="26">
        <f>[1]ISI!E$56</f>
        <v>15250.533935773921</v>
      </c>
      <c r="F101" s="26">
        <f>[1]ISI!F$56</f>
        <v>15645.878372772469</v>
      </c>
      <c r="G101" s="26">
        <f>[1]ISI!G$56</f>
        <v>15061.852390246404</v>
      </c>
      <c r="H101" s="26">
        <f>[1]ISI!H$56</f>
        <v>16171.844418203951</v>
      </c>
      <c r="I101" s="26">
        <f>[1]ISI!I$56</f>
        <v>15544.2995237551</v>
      </c>
      <c r="J101" s="26">
        <f>[1]ISI!J$56</f>
        <v>14768.02419205134</v>
      </c>
      <c r="K101" s="26">
        <f>[1]ISI!K$56</f>
        <v>10987.750188863012</v>
      </c>
      <c r="L101" s="26">
        <f>[1]ISI!L$56</f>
        <v>12019.197242940227</v>
      </c>
      <c r="M101" s="26">
        <f>[1]ISI!M$56</f>
        <v>12443.239997386881</v>
      </c>
      <c r="N101" s="26">
        <f>[1]ISI!N$56</f>
        <v>11767.808119482503</v>
      </c>
      <c r="O101" s="26">
        <f>[1]ISI!O$56</f>
        <v>10662.932528537003</v>
      </c>
      <c r="P101" s="26">
        <f>[1]ISI!P$56</f>
        <v>10832.101725271947</v>
      </c>
      <c r="Q101" s="26">
        <f>[1]ISI!Q$56</f>
        <v>11123.528158777477</v>
      </c>
      <c r="R101" s="26">
        <f>[1]ISI!R$56</f>
        <v>10739.064461793962</v>
      </c>
      <c r="S101" s="26">
        <f>[1]ISI!S$56</f>
        <v>11072.792442016984</v>
      </c>
      <c r="T101" s="26">
        <f>[1]ISI!T$56</f>
        <v>11532.364449619059</v>
      </c>
      <c r="U101" s="26">
        <f>[1]ISI!U$56</f>
        <v>10629.325455945449</v>
      </c>
      <c r="V101" s="26">
        <f>[1]ISI!V$56</f>
        <v>9819.7416646560177</v>
      </c>
      <c r="W101" s="26">
        <f>[1]ISI!W$56</f>
        <v>10644.491218510033</v>
      </c>
    </row>
    <row r="102" spans="1:23" ht="12" customHeight="1" x14ac:dyDescent="0.35">
      <c r="A102" s="6" t="s">
        <v>2</v>
      </c>
      <c r="B102" s="27">
        <f>[1]NFM!B$73</f>
        <v>20611.024775386642</v>
      </c>
      <c r="C102" s="27">
        <f>[1]NFM!C$73</f>
        <v>19970.782402724926</v>
      </c>
      <c r="D102" s="27">
        <f>[1]NFM!D$73</f>
        <v>20443.21484750809</v>
      </c>
      <c r="E102" s="27">
        <f>[1]NFM!E$73</f>
        <v>19745.806166343555</v>
      </c>
      <c r="F102" s="27">
        <f>[1]NFM!F$73</f>
        <v>19856.605721693784</v>
      </c>
      <c r="G102" s="27">
        <f>[1]NFM!G$73</f>
        <v>19374.185928774608</v>
      </c>
      <c r="H102" s="27">
        <f>[1]NFM!H$73</f>
        <v>18461.435397791283</v>
      </c>
      <c r="I102" s="27">
        <f>[1]NFM!I$73</f>
        <v>18292.54733203974</v>
      </c>
      <c r="J102" s="27">
        <f>[1]NFM!J$73</f>
        <v>17879.582370992663</v>
      </c>
      <c r="K102" s="27">
        <f>[1]NFM!K$73</f>
        <v>14249.564981989895</v>
      </c>
      <c r="L102" s="27">
        <f>[1]NFM!L$73</f>
        <v>15435.962509986392</v>
      </c>
      <c r="M102" s="27">
        <f>[1]NFM!M$73</f>
        <v>15944.00094219327</v>
      </c>
      <c r="N102" s="27">
        <f>[1]NFM!N$73</f>
        <v>14432.070140831242</v>
      </c>
      <c r="O102" s="27">
        <f>[1]NFM!O$73</f>
        <v>14555.366319243389</v>
      </c>
      <c r="P102" s="27">
        <f>[1]NFM!P$73</f>
        <v>14167.453384139193</v>
      </c>
      <c r="Q102" s="27">
        <f>[1]NFM!Q$73</f>
        <v>14843.636495121867</v>
      </c>
      <c r="R102" s="27">
        <f>[1]NFM!R$73</f>
        <v>15267.911934006315</v>
      </c>
      <c r="S102" s="27">
        <f>[1]NFM!S$73</f>
        <v>14667.481421998449</v>
      </c>
      <c r="T102" s="27">
        <f>[1]NFM!T$73</f>
        <v>15398.56456538213</v>
      </c>
      <c r="U102" s="27">
        <f>[1]NFM!U$73</f>
        <v>15129.315763434874</v>
      </c>
      <c r="V102" s="27">
        <f>[1]NFM!V$73</f>
        <v>14453.915004023098</v>
      </c>
      <c r="W102" s="27">
        <f>[1]NFM!W$73</f>
        <v>15326.585699089224</v>
      </c>
    </row>
    <row r="103" spans="1:23" ht="12" customHeight="1" x14ac:dyDescent="0.35">
      <c r="A103" s="7" t="s">
        <v>3</v>
      </c>
      <c r="B103" s="26">
        <f>[1]NFM!B$74</f>
        <v>4844.4856110727706</v>
      </c>
      <c r="C103" s="26">
        <f>[1]NFM!C$74</f>
        <v>4302.4248903074522</v>
      </c>
      <c r="D103" s="26">
        <f>[1]NFM!D$74</f>
        <v>4896.2194264571499</v>
      </c>
      <c r="E103" s="26">
        <f>[1]NFM!E$74</f>
        <v>5005.1438499904152</v>
      </c>
      <c r="F103" s="26">
        <f>[1]NFM!F$74</f>
        <v>5291.4924224040224</v>
      </c>
      <c r="G103" s="26">
        <f>[1]NFM!G$74</f>
        <v>5106.9963493495379</v>
      </c>
      <c r="H103" s="26">
        <f>[1]NFM!H$74</f>
        <v>5320.1863020163964</v>
      </c>
      <c r="I103" s="26">
        <f>[1]NFM!I$74</f>
        <v>4551.3567069075816</v>
      </c>
      <c r="J103" s="26">
        <f>[1]NFM!J$74</f>
        <v>4398.49804207956</v>
      </c>
      <c r="K103" s="26">
        <f>[1]NFM!K$74</f>
        <v>3317.641390550898</v>
      </c>
      <c r="L103" s="26">
        <f>[1]NFM!L$74</f>
        <v>4031.380169554262</v>
      </c>
      <c r="M103" s="26">
        <f>[1]NFM!M$74</f>
        <v>4201.0137186628644</v>
      </c>
      <c r="N103" s="26">
        <f>[1]NFM!N$74</f>
        <v>3526.8584755607212</v>
      </c>
      <c r="O103" s="26">
        <f>[1]NFM!O$74</f>
        <v>3723.1896440866162</v>
      </c>
      <c r="P103" s="26">
        <f>[1]NFM!P$74</f>
        <v>3466.984829350105</v>
      </c>
      <c r="Q103" s="26">
        <f>[1]NFM!Q$74</f>
        <v>3669.4226698111679</v>
      </c>
      <c r="R103" s="26">
        <f>[1]NFM!R$74</f>
        <v>3731.3061943327589</v>
      </c>
      <c r="S103" s="26">
        <f>[1]NFM!S$74</f>
        <v>3400.0794958910892</v>
      </c>
      <c r="T103" s="26">
        <f>[1]NFM!T$74</f>
        <v>3733.0989753994199</v>
      </c>
      <c r="U103" s="26">
        <f>[1]NFM!U$74</f>
        <v>3735.5048539923132</v>
      </c>
      <c r="V103" s="26">
        <f>[1]NFM!V$74</f>
        <v>3648.0870124094431</v>
      </c>
      <c r="W103" s="26">
        <f>[1]NFM!W$74</f>
        <v>3848.9191349567909</v>
      </c>
    </row>
    <row r="104" spans="1:23" ht="12" customHeight="1" x14ac:dyDescent="0.35">
      <c r="A104" s="7" t="s">
        <v>4</v>
      </c>
      <c r="B104" s="26">
        <f>[1]NFM!B$75</f>
        <v>5631.0389591956991</v>
      </c>
      <c r="C104" s="26">
        <f>[1]NFM!C$75</f>
        <v>5603.4277517689789</v>
      </c>
      <c r="D104" s="26">
        <f>[1]NFM!D$75</f>
        <v>5713.6522553364539</v>
      </c>
      <c r="E104" s="26">
        <f>[1]NFM!E$75</f>
        <v>5712.6205352790166</v>
      </c>
      <c r="F104" s="26">
        <f>[1]NFM!F$75</f>
        <v>5804.6071852513332</v>
      </c>
      <c r="G104" s="26">
        <f>[1]NFM!G$75</f>
        <v>5813.8356653668488</v>
      </c>
      <c r="H104" s="26">
        <f>[1]NFM!H$75</f>
        <v>5507.2035635980528</v>
      </c>
      <c r="I104" s="26">
        <f>[1]NFM!I$75</f>
        <v>5800.8614162462809</v>
      </c>
      <c r="J104" s="26">
        <f>[1]NFM!J$75</f>
        <v>5822.6375997030655</v>
      </c>
      <c r="K104" s="26">
        <f>[1]NFM!K$75</f>
        <v>4328.8078762364648</v>
      </c>
      <c r="L104" s="26">
        <f>[1]NFM!L$75</f>
        <v>4602.3309436359023</v>
      </c>
      <c r="M104" s="26">
        <f>[1]NFM!M$75</f>
        <v>4958.4685478614765</v>
      </c>
      <c r="N104" s="26">
        <f>[1]NFM!N$75</f>
        <v>4434.7917583280851</v>
      </c>
      <c r="O104" s="26">
        <f>[1]NFM!O$75</f>
        <v>4367.4286215333914</v>
      </c>
      <c r="P104" s="26">
        <f>[1]NFM!P$75</f>
        <v>4273.5021786200787</v>
      </c>
      <c r="Q104" s="26">
        <f>[1]NFM!Q$75</f>
        <v>4474.867667286554</v>
      </c>
      <c r="R104" s="26">
        <f>[1]NFM!R$75</f>
        <v>4544.9413936481778</v>
      </c>
      <c r="S104" s="26">
        <f>[1]NFM!S$75</f>
        <v>4512.1896536754493</v>
      </c>
      <c r="T104" s="26">
        <f>[1]NFM!T$75</f>
        <v>4560.1798846335141</v>
      </c>
      <c r="U104" s="26">
        <f>[1]NFM!U$75</f>
        <v>4322.1542524587267</v>
      </c>
      <c r="V104" s="26">
        <f>[1]NFM!V$75</f>
        <v>4104.7335104012272</v>
      </c>
      <c r="W104" s="26">
        <f>[1]NFM!W$75</f>
        <v>4224.316202336262</v>
      </c>
    </row>
    <row r="105" spans="1:23" ht="12" customHeight="1" x14ac:dyDescent="0.35">
      <c r="A105" s="19" t="s">
        <v>50</v>
      </c>
      <c r="B105" s="33">
        <f>[1]NFM!B$76</f>
        <v>5022.6873301584883</v>
      </c>
      <c r="C105" s="33">
        <f>[1]NFM!C$76</f>
        <v>4986.0153134703723</v>
      </c>
      <c r="D105" s="33">
        <f>[1]NFM!D$76</f>
        <v>5098.3497583132876</v>
      </c>
      <c r="E105" s="33">
        <f>[1]NFM!E$76</f>
        <v>5139.5694809484521</v>
      </c>
      <c r="F105" s="33">
        <f>[1]NFM!F$76</f>
        <v>5228.8013541287346</v>
      </c>
      <c r="G105" s="33">
        <f>[1]NFM!G$76</f>
        <v>5197.824922700227</v>
      </c>
      <c r="H105" s="33">
        <f>[1]NFM!H$76</f>
        <v>4854.1328664188259</v>
      </c>
      <c r="I105" s="33">
        <f>[1]NFM!I$76</f>
        <v>5136.240134052121</v>
      </c>
      <c r="J105" s="33">
        <f>[1]NFM!J$76</f>
        <v>5175.1758000516938</v>
      </c>
      <c r="K105" s="33">
        <f>[1]NFM!K$76</f>
        <v>3748.8592241044817</v>
      </c>
      <c r="L105" s="33">
        <f>[1]NFM!L$76</f>
        <v>3886.8993028613831</v>
      </c>
      <c r="M105" s="33">
        <f>[1]NFM!M$76</f>
        <v>4277.8842268658673</v>
      </c>
      <c r="N105" s="33">
        <f>[1]NFM!N$76</f>
        <v>3769.726775858634</v>
      </c>
      <c r="O105" s="33">
        <f>[1]NFM!O$76</f>
        <v>3702.4747188884689</v>
      </c>
      <c r="P105" s="33">
        <f>[1]NFM!P$76</f>
        <v>3672.2695744747371</v>
      </c>
      <c r="Q105" s="33">
        <f>[1]NFM!Q$76</f>
        <v>3878.2437400661333</v>
      </c>
      <c r="R105" s="33">
        <f>[1]NFM!R$76</f>
        <v>3903.8348909512083</v>
      </c>
      <c r="S105" s="33">
        <f>[1]NFM!S$76</f>
        <v>3822.8022532890718</v>
      </c>
      <c r="T105" s="33">
        <f>[1]NFM!T$76</f>
        <v>3840.7707778389977</v>
      </c>
      <c r="U105" s="33">
        <f>[1]NFM!U$76</f>
        <v>3640.1127257683588</v>
      </c>
      <c r="V105" s="33">
        <f>[1]NFM!V$76</f>
        <v>3537.8525886962093</v>
      </c>
      <c r="W105" s="33">
        <f>[1]NFM!W$76</f>
        <v>3592.8064370567695</v>
      </c>
    </row>
    <row r="106" spans="1:23" ht="12" customHeight="1" x14ac:dyDescent="0.35">
      <c r="A106" s="20" t="s">
        <v>51</v>
      </c>
      <c r="B106" s="34">
        <f>[1]NFM!B$77</f>
        <v>608.35162903721096</v>
      </c>
      <c r="C106" s="34">
        <f>[1]NFM!C$77</f>
        <v>617.41243829860628</v>
      </c>
      <c r="D106" s="34">
        <f>[1]NFM!D$77</f>
        <v>615.3024970231661</v>
      </c>
      <c r="E106" s="34">
        <f>[1]NFM!E$77</f>
        <v>573.05105433056485</v>
      </c>
      <c r="F106" s="34">
        <f>[1]NFM!F$77</f>
        <v>575.80583112259831</v>
      </c>
      <c r="G106" s="34">
        <f>[1]NFM!G$77</f>
        <v>616.01074266662158</v>
      </c>
      <c r="H106" s="34">
        <f>[1]NFM!H$77</f>
        <v>653.07069717922684</v>
      </c>
      <c r="I106" s="34">
        <f>[1]NFM!I$77</f>
        <v>664.62128219416024</v>
      </c>
      <c r="J106" s="34">
        <f>[1]NFM!J$77</f>
        <v>647.46179965137128</v>
      </c>
      <c r="K106" s="34">
        <f>[1]NFM!K$77</f>
        <v>579.94865213198295</v>
      </c>
      <c r="L106" s="34">
        <f>[1]NFM!L$77</f>
        <v>715.43164077451911</v>
      </c>
      <c r="M106" s="34">
        <f>[1]NFM!M$77</f>
        <v>680.58432099560957</v>
      </c>
      <c r="N106" s="34">
        <f>[1]NFM!N$77</f>
        <v>665.06498246945114</v>
      </c>
      <c r="O106" s="34">
        <f>[1]NFM!O$77</f>
        <v>664.9539026449221</v>
      </c>
      <c r="P106" s="34">
        <f>[1]NFM!P$77</f>
        <v>601.23260414534161</v>
      </c>
      <c r="Q106" s="34">
        <f>[1]NFM!Q$77</f>
        <v>596.62392722042057</v>
      </c>
      <c r="R106" s="34">
        <f>[1]NFM!R$77</f>
        <v>641.10650269696976</v>
      </c>
      <c r="S106" s="34">
        <f>[1]NFM!S$77</f>
        <v>689.38740038637764</v>
      </c>
      <c r="T106" s="34">
        <f>[1]NFM!T$77</f>
        <v>719.40910679451679</v>
      </c>
      <c r="U106" s="34">
        <f>[1]NFM!U$77</f>
        <v>682.04152669036773</v>
      </c>
      <c r="V106" s="34">
        <f>[1]NFM!V$77</f>
        <v>566.88092170501841</v>
      </c>
      <c r="W106" s="34">
        <f>[1]NFM!W$77</f>
        <v>631.50976527949263</v>
      </c>
    </row>
    <row r="107" spans="1:23" ht="12" customHeight="1" x14ac:dyDescent="0.35">
      <c r="A107" s="7" t="s">
        <v>5</v>
      </c>
      <c r="B107" s="26">
        <f>[1]NFM!B$78</f>
        <v>10135.500205118173</v>
      </c>
      <c r="C107" s="26">
        <f>[1]NFM!C$78</f>
        <v>10064.929760648494</v>
      </c>
      <c r="D107" s="26">
        <f>[1]NFM!D$78</f>
        <v>9833.3431657144884</v>
      </c>
      <c r="E107" s="26">
        <f>[1]NFM!E$78</f>
        <v>9028.0417810741237</v>
      </c>
      <c r="F107" s="26">
        <f>[1]NFM!F$78</f>
        <v>8760.5061140384278</v>
      </c>
      <c r="G107" s="26">
        <f>[1]NFM!G$78</f>
        <v>8453.3539140582216</v>
      </c>
      <c r="H107" s="26">
        <f>[1]NFM!H$78</f>
        <v>7634.0455321768331</v>
      </c>
      <c r="I107" s="26">
        <f>[1]NFM!I$78</f>
        <v>7940.3292088858761</v>
      </c>
      <c r="J107" s="26">
        <f>[1]NFM!J$78</f>
        <v>7658.4467292100362</v>
      </c>
      <c r="K107" s="26">
        <f>[1]NFM!K$78</f>
        <v>6603.1157152025326</v>
      </c>
      <c r="L107" s="26">
        <f>[1]NFM!L$78</f>
        <v>6802.2513967962268</v>
      </c>
      <c r="M107" s="26">
        <f>[1]NFM!M$78</f>
        <v>6784.5186756689291</v>
      </c>
      <c r="N107" s="26">
        <f>[1]NFM!N$78</f>
        <v>6470.4199069424358</v>
      </c>
      <c r="O107" s="26">
        <f>[1]NFM!O$78</f>
        <v>6464.7480536233816</v>
      </c>
      <c r="P107" s="26">
        <f>[1]NFM!P$78</f>
        <v>6426.9663761690108</v>
      </c>
      <c r="Q107" s="26">
        <f>[1]NFM!Q$78</f>
        <v>6699.3461580241465</v>
      </c>
      <c r="R107" s="26">
        <f>[1]NFM!R$78</f>
        <v>6991.6643460253781</v>
      </c>
      <c r="S107" s="26">
        <f>[1]NFM!S$78</f>
        <v>6755.2122724319106</v>
      </c>
      <c r="T107" s="26">
        <f>[1]NFM!T$78</f>
        <v>7105.285705349198</v>
      </c>
      <c r="U107" s="26">
        <f>[1]NFM!U$78</f>
        <v>7071.6566569838342</v>
      </c>
      <c r="V107" s="26">
        <f>[1]NFM!V$78</f>
        <v>6701.0944812124271</v>
      </c>
      <c r="W107" s="26">
        <f>[1]NFM!W$78</f>
        <v>7253.3503617961724</v>
      </c>
    </row>
    <row r="108" spans="1:23" ht="12" customHeight="1" x14ac:dyDescent="0.35">
      <c r="A108" s="6" t="s">
        <v>6</v>
      </c>
      <c r="B108" s="27">
        <f>[1]CHI!B$79</f>
        <v>133286.5345107638</v>
      </c>
      <c r="C108" s="27">
        <f>[1]CHI!C$79</f>
        <v>131216.75536689672</v>
      </c>
      <c r="D108" s="27">
        <f>[1]CHI!D$79</f>
        <v>129785.35695059055</v>
      </c>
      <c r="E108" s="27">
        <f>[1]CHI!E$79</f>
        <v>137257.8574553472</v>
      </c>
      <c r="F108" s="27">
        <f>[1]CHI!F$79</f>
        <v>131454.4873425439</v>
      </c>
      <c r="G108" s="27">
        <f>[1]CHI!G$79</f>
        <v>131476.99607912629</v>
      </c>
      <c r="H108" s="27">
        <f>[1]CHI!H$79</f>
        <v>124220.40512849636</v>
      </c>
      <c r="I108" s="27">
        <f>[1]CHI!I$79</f>
        <v>131058.21329475385</v>
      </c>
      <c r="J108" s="27">
        <f>[1]CHI!J$79</f>
        <v>127936.88308954827</v>
      </c>
      <c r="K108" s="27">
        <f>[1]CHI!K$79</f>
        <v>113645.34606953115</v>
      </c>
      <c r="L108" s="27">
        <f>[1]CHI!L$79</f>
        <v>122034.03712677864</v>
      </c>
      <c r="M108" s="27">
        <f>[1]CHI!M$79</f>
        <v>131940.40629667748</v>
      </c>
      <c r="N108" s="27">
        <f>[1]CHI!N$79</f>
        <v>131037.86009615193</v>
      </c>
      <c r="O108" s="27">
        <f>[1]CHI!O$79</f>
        <v>130119.09452786291</v>
      </c>
      <c r="P108" s="27">
        <f>[1]CHI!P$79</f>
        <v>127822.90894503638</v>
      </c>
      <c r="Q108" s="27">
        <f>[1]CHI!Q$79</f>
        <v>124946.94777949741</v>
      </c>
      <c r="R108" s="27">
        <f>[1]CHI!R$79</f>
        <v>124309.38296448546</v>
      </c>
      <c r="S108" s="27">
        <f>[1]CHI!S$79</f>
        <v>127888.34320132661</v>
      </c>
      <c r="T108" s="27">
        <f>[1]CHI!T$79</f>
        <v>124789.43483786016</v>
      </c>
      <c r="U108" s="27">
        <f>[1]CHI!U$79</f>
        <v>121367.82874584946</v>
      </c>
      <c r="V108" s="27">
        <f>[1]CHI!V$79</f>
        <v>121777.48733489847</v>
      </c>
      <c r="W108" s="27">
        <f>[1]CHI!W$79</f>
        <v>123382.56601551952</v>
      </c>
    </row>
    <row r="109" spans="1:23" ht="12" customHeight="1" x14ac:dyDescent="0.35">
      <c r="A109" s="7" t="s">
        <v>7</v>
      </c>
      <c r="B109" s="26">
        <f>[1]CHI!B$80</f>
        <v>96159.73632585688</v>
      </c>
      <c r="C109" s="26">
        <f>[1]CHI!C$80</f>
        <v>93816.487344867914</v>
      </c>
      <c r="D109" s="26">
        <f>[1]CHI!D$80</f>
        <v>93969.16584612368</v>
      </c>
      <c r="E109" s="26">
        <f>[1]CHI!E$80</f>
        <v>100113.62438550228</v>
      </c>
      <c r="F109" s="26">
        <f>[1]CHI!F$80</f>
        <v>98997.559156532196</v>
      </c>
      <c r="G109" s="26">
        <f>[1]CHI!G$80</f>
        <v>100024.40817936689</v>
      </c>
      <c r="H109" s="26">
        <f>[1]CHI!H$80</f>
        <v>95485.453178549826</v>
      </c>
      <c r="I109" s="26">
        <f>[1]CHI!I$80</f>
        <v>99939.669630152115</v>
      </c>
      <c r="J109" s="26">
        <f>[1]CHI!J$80</f>
        <v>98898.340291734901</v>
      </c>
      <c r="K109" s="26">
        <f>[1]CHI!K$80</f>
        <v>87667.049173962412</v>
      </c>
      <c r="L109" s="26">
        <f>[1]CHI!L$80</f>
        <v>95955.50521597825</v>
      </c>
      <c r="M109" s="26">
        <f>[1]CHI!M$80</f>
        <v>102116.68496439845</v>
      </c>
      <c r="N109" s="26">
        <f>[1]CHI!N$80</f>
        <v>101221.56763421201</v>
      </c>
      <c r="O109" s="26">
        <f>[1]CHI!O$80</f>
        <v>102532.71910963947</v>
      </c>
      <c r="P109" s="26">
        <f>[1]CHI!P$80</f>
        <v>99679.536898438717</v>
      </c>
      <c r="Q109" s="26">
        <f>[1]CHI!Q$80</f>
        <v>99389.721008323773</v>
      </c>
      <c r="R109" s="26">
        <f>[1]CHI!R$80</f>
        <v>98309.501516603952</v>
      </c>
      <c r="S109" s="26">
        <f>[1]CHI!S$80</f>
        <v>103319.49252429631</v>
      </c>
      <c r="T109" s="26">
        <f>[1]CHI!T$80</f>
        <v>98306.153282386484</v>
      </c>
      <c r="U109" s="26">
        <f>[1]CHI!U$80</f>
        <v>95825.469610478409</v>
      </c>
      <c r="V109" s="26">
        <f>[1]CHI!V$80</f>
        <v>95155.50651831468</v>
      </c>
      <c r="W109" s="26">
        <f>[1]CHI!W$80</f>
        <v>95909.527494264199</v>
      </c>
    </row>
    <row r="110" spans="1:23" ht="12" customHeight="1" x14ac:dyDescent="0.35">
      <c r="A110" s="7" t="s">
        <v>8</v>
      </c>
      <c r="B110" s="26">
        <f>[1]CHI!B$81</f>
        <v>30445.820825858766</v>
      </c>
      <c r="C110" s="26">
        <f>[1]CHI!C$81</f>
        <v>30329.814640801611</v>
      </c>
      <c r="D110" s="26">
        <f>[1]CHI!D$81</f>
        <v>28460.39345452399</v>
      </c>
      <c r="E110" s="26">
        <f>[1]CHI!E$81</f>
        <v>29515.679881015636</v>
      </c>
      <c r="F110" s="26">
        <f>[1]CHI!F$81</f>
        <v>26096.426802630023</v>
      </c>
      <c r="G110" s="26">
        <f>[1]CHI!G$81</f>
        <v>25224.912153464011</v>
      </c>
      <c r="H110" s="26">
        <f>[1]CHI!H$81</f>
        <v>22697.384486802715</v>
      </c>
      <c r="I110" s="26">
        <f>[1]CHI!I$81</f>
        <v>24696.956704726297</v>
      </c>
      <c r="J110" s="26">
        <f>[1]CHI!J$81</f>
        <v>22975.097849944126</v>
      </c>
      <c r="K110" s="26">
        <f>[1]CHI!K$81</f>
        <v>20142.514251485867</v>
      </c>
      <c r="L110" s="26">
        <f>[1]CHI!L$81</f>
        <v>20416.793314995411</v>
      </c>
      <c r="M110" s="26">
        <f>[1]CHI!M$81</f>
        <v>23499.90374073344</v>
      </c>
      <c r="N110" s="26">
        <f>[1]CHI!N$81</f>
        <v>23456.375350186991</v>
      </c>
      <c r="O110" s="26">
        <f>[1]CHI!O$81</f>
        <v>21409.585960978948</v>
      </c>
      <c r="P110" s="26">
        <f>[1]CHI!P$81</f>
        <v>20785.618933297919</v>
      </c>
      <c r="Q110" s="26">
        <f>[1]CHI!Q$81</f>
        <v>18628.092383021271</v>
      </c>
      <c r="R110" s="26">
        <f>[1]CHI!R$81</f>
        <v>18888.703724385057</v>
      </c>
      <c r="S110" s="26">
        <f>[1]CHI!S$81</f>
        <v>18133.832529016847</v>
      </c>
      <c r="T110" s="26">
        <f>[1]CHI!T$81</f>
        <v>20181.886494892991</v>
      </c>
      <c r="U110" s="26">
        <f>[1]CHI!U$81</f>
        <v>19199.173897194727</v>
      </c>
      <c r="V110" s="26">
        <f>[1]CHI!V$81</f>
        <v>20433.198545868698</v>
      </c>
      <c r="W110" s="26">
        <f>[1]CHI!W$81</f>
        <v>20939.865049615917</v>
      </c>
    </row>
    <row r="111" spans="1:23" ht="12" customHeight="1" x14ac:dyDescent="0.35">
      <c r="A111" s="7" t="s">
        <v>9</v>
      </c>
      <c r="B111" s="26">
        <f>[1]CHI!B$82</f>
        <v>6680.9773590481418</v>
      </c>
      <c r="C111" s="26">
        <f>[1]CHI!C$82</f>
        <v>7070.4533812271966</v>
      </c>
      <c r="D111" s="26">
        <f>[1]CHI!D$82</f>
        <v>7355.7976499428742</v>
      </c>
      <c r="E111" s="26">
        <f>[1]CHI!E$82</f>
        <v>7628.553188829278</v>
      </c>
      <c r="F111" s="26">
        <f>[1]CHI!F$82</f>
        <v>6360.5013833816811</v>
      </c>
      <c r="G111" s="26">
        <f>[1]CHI!G$82</f>
        <v>6227.6757462953747</v>
      </c>
      <c r="H111" s="26">
        <f>[1]CHI!H$82</f>
        <v>6037.5674631438278</v>
      </c>
      <c r="I111" s="26">
        <f>[1]CHI!I$82</f>
        <v>6421.5869598754298</v>
      </c>
      <c r="J111" s="26">
        <f>[1]CHI!J$82</f>
        <v>6063.4449478692413</v>
      </c>
      <c r="K111" s="26">
        <f>[1]CHI!K$82</f>
        <v>5835.7826440828667</v>
      </c>
      <c r="L111" s="26">
        <f>[1]CHI!L$82</f>
        <v>5661.7385958049754</v>
      </c>
      <c r="M111" s="26">
        <f>[1]CHI!M$82</f>
        <v>6323.8175915456022</v>
      </c>
      <c r="N111" s="26">
        <f>[1]CHI!N$82</f>
        <v>6359.9171117529131</v>
      </c>
      <c r="O111" s="26">
        <f>[1]CHI!O$82</f>
        <v>6176.7894572444966</v>
      </c>
      <c r="P111" s="26">
        <f>[1]CHI!P$82</f>
        <v>7357.7531132997547</v>
      </c>
      <c r="Q111" s="26">
        <f>[1]CHI!Q$82</f>
        <v>6929.1343881523599</v>
      </c>
      <c r="R111" s="26">
        <f>[1]CHI!R$82</f>
        <v>7111.1777234964393</v>
      </c>
      <c r="S111" s="26">
        <f>[1]CHI!S$82</f>
        <v>6435.0181480134625</v>
      </c>
      <c r="T111" s="26">
        <f>[1]CHI!T$82</f>
        <v>6301.3950605806758</v>
      </c>
      <c r="U111" s="26">
        <f>[1]CHI!U$82</f>
        <v>6343.1852381763219</v>
      </c>
      <c r="V111" s="26">
        <f>[1]CHI!V$82</f>
        <v>6188.7822707150926</v>
      </c>
      <c r="W111" s="26">
        <f>[1]CHI!W$82</f>
        <v>6533.1734716394039</v>
      </c>
    </row>
    <row r="112" spans="1:23" ht="12" customHeight="1" x14ac:dyDescent="0.35">
      <c r="A112" s="6" t="s">
        <v>10</v>
      </c>
      <c r="B112" s="27">
        <f>[1]NMM!B$59</f>
        <v>241075.97124025394</v>
      </c>
      <c r="C112" s="27">
        <f>[1]NMM!C$59</f>
        <v>237537.59409121424</v>
      </c>
      <c r="D112" s="27">
        <f>[1]NMM!D$59</f>
        <v>233875.71111417242</v>
      </c>
      <c r="E112" s="27">
        <f>[1]NMM!E$59</f>
        <v>239135.84537128633</v>
      </c>
      <c r="F112" s="27">
        <f>[1]NMM!F$59</f>
        <v>246993.70245732646</v>
      </c>
      <c r="G112" s="27">
        <f>[1]NMM!G$59</f>
        <v>246982.36099881397</v>
      </c>
      <c r="H112" s="27">
        <f>[1]NMM!H$59</f>
        <v>247756.62693517277</v>
      </c>
      <c r="I112" s="27">
        <f>[1]NMM!I$59</f>
        <v>257278.09937135896</v>
      </c>
      <c r="J112" s="27">
        <f>[1]NMM!J$59</f>
        <v>246694.35281390842</v>
      </c>
      <c r="K112" s="27">
        <f>[1]NMM!K$59</f>
        <v>199537.95483277223</v>
      </c>
      <c r="L112" s="27">
        <f>[1]NMM!L$59</f>
        <v>203008.74679801954</v>
      </c>
      <c r="M112" s="27">
        <f>[1]NMM!M$59</f>
        <v>206682.55849409479</v>
      </c>
      <c r="N112" s="27">
        <f>[1]NMM!N$59</f>
        <v>192558.58607752205</v>
      </c>
      <c r="O112" s="27">
        <f>[1]NMM!O$59</f>
        <v>184417.81080907956</v>
      </c>
      <c r="P112" s="27">
        <f>[1]NMM!P$59</f>
        <v>187377.83557533438</v>
      </c>
      <c r="Q112" s="27">
        <f>[1]NMM!Q$59</f>
        <v>187816.79374290392</v>
      </c>
      <c r="R112" s="27">
        <f>[1]NMM!R$59</f>
        <v>189587.93683408957</v>
      </c>
      <c r="S112" s="27">
        <f>[1]NMM!S$59</f>
        <v>190846.47471727958</v>
      </c>
      <c r="T112" s="27">
        <f>[1]NMM!T$59</f>
        <v>195878.25188238107</v>
      </c>
      <c r="U112" s="27">
        <f>[1]NMM!U$59</f>
        <v>193632.15385208934</v>
      </c>
      <c r="V112" s="27">
        <f>[1]NMM!V$59</f>
        <v>186633.89392370585</v>
      </c>
      <c r="W112" s="27">
        <f>[1]NMM!W$59</f>
        <v>193154.80642154621</v>
      </c>
    </row>
    <row r="113" spans="1:23" ht="12" customHeight="1" x14ac:dyDescent="0.35">
      <c r="A113" s="7" t="s">
        <v>11</v>
      </c>
      <c r="B113" s="26">
        <f>[1]NMM!B$60</f>
        <v>167575.09887634113</v>
      </c>
      <c r="C113" s="26">
        <f>[1]NMM!C$60</f>
        <v>163438.2495353815</v>
      </c>
      <c r="D113" s="26">
        <f>[1]NMM!D$60</f>
        <v>161668.52368822769</v>
      </c>
      <c r="E113" s="26">
        <f>[1]NMM!E$60</f>
        <v>163965.60300413897</v>
      </c>
      <c r="F113" s="26">
        <f>[1]NMM!F$60</f>
        <v>170742.35790782937</v>
      </c>
      <c r="G113" s="26">
        <f>[1]NMM!G$60</f>
        <v>169150.26064693608</v>
      </c>
      <c r="H113" s="26">
        <f>[1]NMM!H$60</f>
        <v>176524.77764507907</v>
      </c>
      <c r="I113" s="26">
        <f>[1]NMM!I$60</f>
        <v>182965.59374503649</v>
      </c>
      <c r="J113" s="26">
        <f>[1]NMM!J$60</f>
        <v>171958.08880727584</v>
      </c>
      <c r="K113" s="26">
        <f>[1]NMM!K$60</f>
        <v>139236.34402452793</v>
      </c>
      <c r="L113" s="26">
        <f>[1]NMM!L$60</f>
        <v>138288.00068676713</v>
      </c>
      <c r="M113" s="26">
        <f>[1]NMM!M$60</f>
        <v>138099.25821719278</v>
      </c>
      <c r="N113" s="26">
        <f>[1]NMM!N$60</f>
        <v>128101.14398546492</v>
      </c>
      <c r="O113" s="26">
        <f>[1]NMM!O$60</f>
        <v>122216.36910903078</v>
      </c>
      <c r="P113" s="26">
        <f>[1]NMM!P$60</f>
        <v>126521.30549946023</v>
      </c>
      <c r="Q113" s="26">
        <f>[1]NMM!Q$60</f>
        <v>125182.24931483492</v>
      </c>
      <c r="R113" s="26">
        <f>[1]NMM!R$60</f>
        <v>125215.11122275848</v>
      </c>
      <c r="S113" s="26">
        <f>[1]NMM!S$60</f>
        <v>128628.69407303707</v>
      </c>
      <c r="T113" s="26">
        <f>[1]NMM!T$60</f>
        <v>131706.90810839526</v>
      </c>
      <c r="U113" s="26">
        <f>[1]NMM!U$60</f>
        <v>130489.63646650652</v>
      </c>
      <c r="V113" s="26">
        <f>[1]NMM!V$60</f>
        <v>125343.08211782346</v>
      </c>
      <c r="W113" s="26">
        <f>[1]NMM!W$60</f>
        <v>128770.93336222201</v>
      </c>
    </row>
    <row r="114" spans="1:23" ht="12" customHeight="1" x14ac:dyDescent="0.35">
      <c r="A114" s="7" t="s">
        <v>12</v>
      </c>
      <c r="B114" s="26">
        <f>[1]NMM!B$61</f>
        <v>55687.051566305818</v>
      </c>
      <c r="C114" s="26">
        <f>[1]NMM!C$61</f>
        <v>56552.36154877986</v>
      </c>
      <c r="D114" s="26">
        <f>[1]NMM!D$61</f>
        <v>54897.817913286104</v>
      </c>
      <c r="E114" s="26">
        <f>[1]NMM!E$61</f>
        <v>57743.249320140785</v>
      </c>
      <c r="F114" s="26">
        <f>[1]NMM!F$61</f>
        <v>58737.858993125861</v>
      </c>
      <c r="G114" s="26">
        <f>[1]NMM!G$61</f>
        <v>60765.066517896412</v>
      </c>
      <c r="H114" s="26">
        <f>[1]NMM!H$61</f>
        <v>53754.459749174341</v>
      </c>
      <c r="I114" s="26">
        <f>[1]NMM!I$61</f>
        <v>56573.602915706535</v>
      </c>
      <c r="J114" s="26">
        <f>[1]NMM!J$61</f>
        <v>57450.628119094545</v>
      </c>
      <c r="K114" s="26">
        <f>[1]NMM!K$61</f>
        <v>45519.140276521233</v>
      </c>
      <c r="L114" s="26">
        <f>[1]NMM!L$61</f>
        <v>49442.283274253197</v>
      </c>
      <c r="M114" s="26">
        <f>[1]NMM!M$61</f>
        <v>53014.095376113371</v>
      </c>
      <c r="N114" s="26">
        <f>[1]NMM!N$61</f>
        <v>49651.072337550257</v>
      </c>
      <c r="O114" s="26">
        <f>[1]NMM!O$61</f>
        <v>48036.809523755845</v>
      </c>
      <c r="P114" s="26">
        <f>[1]NMM!P$61</f>
        <v>46569.45869739871</v>
      </c>
      <c r="Q114" s="26">
        <f>[1]NMM!Q$61</f>
        <v>48334.911120875127</v>
      </c>
      <c r="R114" s="26">
        <f>[1]NMM!R$61</f>
        <v>49813.339561895249</v>
      </c>
      <c r="S114" s="26">
        <f>[1]NMM!S$61</f>
        <v>47476.121515189981</v>
      </c>
      <c r="T114" s="26">
        <f>[1]NMM!T$61</f>
        <v>49274.969112984501</v>
      </c>
      <c r="U114" s="26">
        <f>[1]NMM!U$61</f>
        <v>48665.238725510266</v>
      </c>
      <c r="V114" s="26">
        <f>[1]NMM!V$61</f>
        <v>47367.416609227577</v>
      </c>
      <c r="W114" s="26">
        <f>[1]NMM!W$61</f>
        <v>50418.358315816979</v>
      </c>
    </row>
    <row r="115" spans="1:23" ht="12" customHeight="1" x14ac:dyDescent="0.35">
      <c r="A115" s="7" t="s">
        <v>13</v>
      </c>
      <c r="B115" s="26">
        <f>[1]NMM!B$62</f>
        <v>17813.820797607026</v>
      </c>
      <c r="C115" s="26">
        <f>[1]NMM!C$62</f>
        <v>17546.983007052891</v>
      </c>
      <c r="D115" s="26">
        <f>[1]NMM!D$62</f>
        <v>17309.369512658632</v>
      </c>
      <c r="E115" s="26">
        <f>[1]NMM!E$62</f>
        <v>17426.993047006566</v>
      </c>
      <c r="F115" s="26">
        <f>[1]NMM!F$62</f>
        <v>17513.485556371234</v>
      </c>
      <c r="G115" s="26">
        <f>[1]NMM!G$62</f>
        <v>17067.033833981455</v>
      </c>
      <c r="H115" s="26">
        <f>[1]NMM!H$62</f>
        <v>17477.389540919379</v>
      </c>
      <c r="I115" s="26">
        <f>[1]NMM!I$62</f>
        <v>17738.902710615919</v>
      </c>
      <c r="J115" s="26">
        <f>[1]NMM!J$62</f>
        <v>17285.635887538025</v>
      </c>
      <c r="K115" s="26">
        <f>[1]NMM!K$62</f>
        <v>14782.470531723055</v>
      </c>
      <c r="L115" s="26">
        <f>[1]NMM!L$62</f>
        <v>15278.462836999221</v>
      </c>
      <c r="M115" s="26">
        <f>[1]NMM!M$62</f>
        <v>15569.204900788625</v>
      </c>
      <c r="N115" s="26">
        <f>[1]NMM!N$62</f>
        <v>14806.369754506892</v>
      </c>
      <c r="O115" s="26">
        <f>[1]NMM!O$62</f>
        <v>14164.632176292953</v>
      </c>
      <c r="P115" s="26">
        <f>[1]NMM!P$62</f>
        <v>14287.071378475437</v>
      </c>
      <c r="Q115" s="26">
        <f>[1]NMM!Q$62</f>
        <v>14299.633307193872</v>
      </c>
      <c r="R115" s="26">
        <f>[1]NMM!R$62</f>
        <v>14559.486049435871</v>
      </c>
      <c r="S115" s="26">
        <f>[1]NMM!S$62</f>
        <v>14741.659129052514</v>
      </c>
      <c r="T115" s="26">
        <f>[1]NMM!T$62</f>
        <v>14896.3746610013</v>
      </c>
      <c r="U115" s="26">
        <f>[1]NMM!U$62</f>
        <v>14477.278660072558</v>
      </c>
      <c r="V115" s="26">
        <f>[1]NMM!V$62</f>
        <v>13923.395196654812</v>
      </c>
      <c r="W115" s="26">
        <f>[1]NMM!W$62</f>
        <v>13965.514743507194</v>
      </c>
    </row>
    <row r="116" spans="1:23" ht="12" customHeight="1" x14ac:dyDescent="0.35">
      <c r="A116" s="6" t="s">
        <v>14</v>
      </c>
      <c r="B116" s="27">
        <f>[1]PPA!B$57</f>
        <v>33692.112104697975</v>
      </c>
      <c r="C116" s="27">
        <f>[1]PPA!C$57</f>
        <v>31840.824589669846</v>
      </c>
      <c r="D116" s="27">
        <f>[1]PPA!D$57</f>
        <v>32090.994424647281</v>
      </c>
      <c r="E116" s="27">
        <f>[1]PPA!E$57</f>
        <v>33467.593642911583</v>
      </c>
      <c r="F116" s="27">
        <f>[1]PPA!F$57</f>
        <v>29624.605058512283</v>
      </c>
      <c r="G116" s="27">
        <f>[1]PPA!G$57</f>
        <v>29859.565610325626</v>
      </c>
      <c r="H116" s="27">
        <f>[1]PPA!H$57</f>
        <v>29023.837569634405</v>
      </c>
      <c r="I116" s="27">
        <f>[1]PPA!I$57</f>
        <v>28379.268032764106</v>
      </c>
      <c r="J116" s="27">
        <f>[1]PPA!J$57</f>
        <v>26513.434141818263</v>
      </c>
      <c r="K116" s="27">
        <f>[1]PPA!K$57</f>
        <v>24526.141740006944</v>
      </c>
      <c r="L116" s="27">
        <f>[1]PPA!L$57</f>
        <v>25083.606184866327</v>
      </c>
      <c r="M116" s="27">
        <f>[1]PPA!M$57</f>
        <v>23014.083379054817</v>
      </c>
      <c r="N116" s="27">
        <f>[1]PPA!N$57</f>
        <v>22671.335721310923</v>
      </c>
      <c r="O116" s="27">
        <f>[1]PPA!O$57</f>
        <v>23006.987003570259</v>
      </c>
      <c r="P116" s="27">
        <f>[1]PPA!P$57</f>
        <v>22380.049567956277</v>
      </c>
      <c r="Q116" s="27">
        <f>[1]PPA!Q$57</f>
        <v>21812.69418226961</v>
      </c>
      <c r="R116" s="27">
        <f>[1]PPA!R$57</f>
        <v>21757.071759998649</v>
      </c>
      <c r="S116" s="27">
        <f>[1]PPA!S$57</f>
        <v>21840.881384401713</v>
      </c>
      <c r="T116" s="27">
        <f>[1]PPA!T$57</f>
        <v>21332.156869514809</v>
      </c>
      <c r="U116" s="27">
        <f>[1]PPA!U$57</f>
        <v>21132.976471279911</v>
      </c>
      <c r="V116" s="27">
        <f>[1]PPA!V$57</f>
        <v>20159.093053371231</v>
      </c>
      <c r="W116" s="27">
        <f>[1]PPA!W$57</f>
        <v>23875.568614421816</v>
      </c>
    </row>
    <row r="117" spans="1:23" ht="12" customHeight="1" x14ac:dyDescent="0.35">
      <c r="A117" s="7" t="s">
        <v>15</v>
      </c>
      <c r="B117" s="26">
        <f>[1]PPA!B$58</f>
        <v>7749.2955768014699</v>
      </c>
      <c r="C117" s="26">
        <f>[1]PPA!C$58</f>
        <v>6893.7744960704986</v>
      </c>
      <c r="D117" s="26">
        <f>[1]PPA!D$58</f>
        <v>6773.6744931010153</v>
      </c>
      <c r="E117" s="26">
        <f>[1]PPA!E$58</f>
        <v>7436.0852837847342</v>
      </c>
      <c r="F117" s="26">
        <f>[1]PPA!F$58</f>
        <v>6392.2952072386261</v>
      </c>
      <c r="G117" s="26">
        <f>[1]PPA!G$58</f>
        <v>6481.0250001235163</v>
      </c>
      <c r="H117" s="26">
        <f>[1]PPA!H$58</f>
        <v>6266.9702229353707</v>
      </c>
      <c r="I117" s="26">
        <f>[1]PPA!I$58</f>
        <v>6030.5437487943009</v>
      </c>
      <c r="J117" s="26">
        <f>[1]PPA!J$58</f>
        <v>5647.3073289228232</v>
      </c>
      <c r="K117" s="26">
        <f>[1]PPA!K$58</f>
        <v>4949.1324416800726</v>
      </c>
      <c r="L117" s="26">
        <f>[1]PPA!L$58</f>
        <v>5008.9859960205558</v>
      </c>
      <c r="M117" s="26">
        <f>[1]PPA!M$58</f>
        <v>4769.5791541354547</v>
      </c>
      <c r="N117" s="26">
        <f>[1]PPA!N$58</f>
        <v>4715.8139536747094</v>
      </c>
      <c r="O117" s="26">
        <f>[1]PPA!O$58</f>
        <v>4670.7451049767669</v>
      </c>
      <c r="P117" s="26">
        <f>[1]PPA!P$58</f>
        <v>4439.3131794760202</v>
      </c>
      <c r="Q117" s="26">
        <f>[1]PPA!Q$58</f>
        <v>4163.136328636464</v>
      </c>
      <c r="R117" s="26">
        <f>[1]PPA!R$58</f>
        <v>4204.3145223580941</v>
      </c>
      <c r="S117" s="26">
        <f>[1]PPA!S$58</f>
        <v>4322.2634000482103</v>
      </c>
      <c r="T117" s="26">
        <f>[1]PPA!T$58</f>
        <v>4302.5525543324893</v>
      </c>
      <c r="U117" s="26">
        <f>[1]PPA!U$58</f>
        <v>4328.922770260122</v>
      </c>
      <c r="V117" s="26">
        <f>[1]PPA!V$58</f>
        <v>4134.2784077830556</v>
      </c>
      <c r="W117" s="26">
        <f>[1]PPA!W$58</f>
        <v>4311.1540405939904</v>
      </c>
    </row>
    <row r="118" spans="1:23" ht="12" customHeight="1" x14ac:dyDescent="0.35">
      <c r="A118" s="7" t="s">
        <v>16</v>
      </c>
      <c r="B118" s="26">
        <f>[1]PPA!B$59</f>
        <v>25195.934280008831</v>
      </c>
      <c r="C118" s="26">
        <f>[1]PPA!C$59</f>
        <v>24355.610010296608</v>
      </c>
      <c r="D118" s="26">
        <f>[1]PPA!D$59</f>
        <v>24665.84515380616</v>
      </c>
      <c r="E118" s="26">
        <f>[1]PPA!E$59</f>
        <v>25260.84039912677</v>
      </c>
      <c r="F118" s="26">
        <f>[1]PPA!F$59</f>
        <v>22661.723079186351</v>
      </c>
      <c r="G118" s="26">
        <f>[1]PPA!G$59</f>
        <v>22804.61437591082</v>
      </c>
      <c r="H118" s="26">
        <f>[1]PPA!H$59</f>
        <v>22217.582177402001</v>
      </c>
      <c r="I118" s="26">
        <f>[1]PPA!I$59</f>
        <v>21778.075711939779</v>
      </c>
      <c r="J118" s="26">
        <f>[1]PPA!J$59</f>
        <v>20390.415760970202</v>
      </c>
      <c r="K118" s="26">
        <f>[1]PPA!K$59</f>
        <v>19100.061323683291</v>
      </c>
      <c r="L118" s="26">
        <f>[1]PPA!L$59</f>
        <v>19555.82172009024</v>
      </c>
      <c r="M118" s="26">
        <f>[1]PPA!M$59</f>
        <v>17794.749509329889</v>
      </c>
      <c r="N118" s="26">
        <f>[1]PPA!N$59</f>
        <v>17460.201753808909</v>
      </c>
      <c r="O118" s="26">
        <f>[1]PPA!O$59</f>
        <v>17868.741638479922</v>
      </c>
      <c r="P118" s="26">
        <f>[1]PPA!P$59</f>
        <v>17484.916856048822</v>
      </c>
      <c r="Q118" s="26">
        <f>[1]PPA!Q$59</f>
        <v>17203.163111670769</v>
      </c>
      <c r="R118" s="26">
        <f>[1]PPA!R$59</f>
        <v>17075.296669686999</v>
      </c>
      <c r="S118" s="26">
        <f>[1]PPA!S$59</f>
        <v>17014.29133283913</v>
      </c>
      <c r="T118" s="26">
        <f>[1]PPA!T$59</f>
        <v>16566.16450437485</v>
      </c>
      <c r="U118" s="26">
        <f>[1]PPA!U$59</f>
        <v>16373.12577012526</v>
      </c>
      <c r="V118" s="26">
        <f>[1]PPA!V$59</f>
        <v>15611.893943270181</v>
      </c>
      <c r="W118" s="26">
        <f>[1]PPA!W$59</f>
        <v>18846.09158764753</v>
      </c>
    </row>
    <row r="119" spans="1:23" ht="12" customHeight="1" x14ac:dyDescent="0.35">
      <c r="A119" s="7" t="s">
        <v>17</v>
      </c>
      <c r="B119" s="26">
        <f>[1]PPA!B$60</f>
        <v>746.88224788767843</v>
      </c>
      <c r="C119" s="26">
        <f>[1]PPA!C$60</f>
        <v>591.44008330273959</v>
      </c>
      <c r="D119" s="26">
        <f>[1]PPA!D$60</f>
        <v>651.47477774010554</v>
      </c>
      <c r="E119" s="26">
        <f>[1]PPA!E$60</f>
        <v>770.66796000007753</v>
      </c>
      <c r="F119" s="26">
        <f>[1]PPA!F$60</f>
        <v>570.58677208730637</v>
      </c>
      <c r="G119" s="26">
        <f>[1]PPA!G$60</f>
        <v>573.92623429129185</v>
      </c>
      <c r="H119" s="26">
        <f>[1]PPA!H$60</f>
        <v>539.28516929703108</v>
      </c>
      <c r="I119" s="26">
        <f>[1]PPA!I$60</f>
        <v>570.64857203002612</v>
      </c>
      <c r="J119" s="26">
        <f>[1]PPA!J$60</f>
        <v>475.7110519252397</v>
      </c>
      <c r="K119" s="26">
        <f>[1]PPA!K$60</f>
        <v>476.94797464357879</v>
      </c>
      <c r="L119" s="26">
        <f>[1]PPA!L$60</f>
        <v>518.79846875553244</v>
      </c>
      <c r="M119" s="26">
        <f>[1]PPA!M$60</f>
        <v>449.7547155894714</v>
      </c>
      <c r="N119" s="26">
        <f>[1]PPA!N$60</f>
        <v>495.3200138273067</v>
      </c>
      <c r="O119" s="26">
        <f>[1]PPA!O$60</f>
        <v>467.50026011357232</v>
      </c>
      <c r="P119" s="26">
        <f>[1]PPA!P$60</f>
        <v>455.81953243143761</v>
      </c>
      <c r="Q119" s="26">
        <f>[1]PPA!Q$60</f>
        <v>446.39474196237597</v>
      </c>
      <c r="R119" s="26">
        <f>[1]PPA!R$60</f>
        <v>477.46056795355668</v>
      </c>
      <c r="S119" s="26">
        <f>[1]PPA!S$60</f>
        <v>504.32665151437459</v>
      </c>
      <c r="T119" s="26">
        <f>[1]PPA!T$60</f>
        <v>463.43981080746897</v>
      </c>
      <c r="U119" s="26">
        <f>[1]PPA!U$60</f>
        <v>430.92793089453102</v>
      </c>
      <c r="V119" s="26">
        <f>[1]PPA!V$60</f>
        <v>412.92070231799431</v>
      </c>
      <c r="W119" s="26">
        <f>[1]PPA!W$60</f>
        <v>718.32298618029495</v>
      </c>
    </row>
    <row r="120" spans="1:23" ht="12" customHeight="1" x14ac:dyDescent="0.35">
      <c r="A120" s="8" t="s">
        <v>18</v>
      </c>
      <c r="B120" s="28">
        <f>[1]FBT!B$33</f>
        <v>51166.587886429079</v>
      </c>
      <c r="C120" s="28">
        <f>[1]FBT!C$33</f>
        <v>51835.489201686672</v>
      </c>
      <c r="D120" s="28">
        <f>[1]FBT!D$33</f>
        <v>53406.479714273613</v>
      </c>
      <c r="E120" s="28">
        <f>[1]FBT!E$33</f>
        <v>52863.473638872383</v>
      </c>
      <c r="F120" s="28">
        <f>[1]FBT!F$33</f>
        <v>51121.078002176117</v>
      </c>
      <c r="G120" s="28">
        <f>[1]FBT!G$33</f>
        <v>47383.360028388517</v>
      </c>
      <c r="H120" s="28">
        <f>[1]FBT!H$33</f>
        <v>44069.75673019531</v>
      </c>
      <c r="I120" s="28">
        <f>[1]FBT!I$33</f>
        <v>43822.876838360608</v>
      </c>
      <c r="J120" s="28">
        <f>[1]FBT!J$33</f>
        <v>41957.340643199517</v>
      </c>
      <c r="K120" s="28">
        <f>[1]FBT!K$33</f>
        <v>39299.001636830937</v>
      </c>
      <c r="L120" s="28">
        <f>[1]FBT!L$33</f>
        <v>40562.739342685883</v>
      </c>
      <c r="M120" s="28">
        <f>[1]FBT!M$33</f>
        <v>39602.787193244287</v>
      </c>
      <c r="N120" s="28">
        <f>[1]FBT!N$33</f>
        <v>39805.18400590348</v>
      </c>
      <c r="O120" s="28">
        <f>[1]FBT!O$33</f>
        <v>38745.361423943883</v>
      </c>
      <c r="P120" s="28">
        <f>[1]FBT!P$33</f>
        <v>38366.280204946423</v>
      </c>
      <c r="Q120" s="28">
        <f>[1]FBT!Q$33</f>
        <v>38730.411026652349</v>
      </c>
      <c r="R120" s="28">
        <f>[1]FBT!R$33</f>
        <v>39715.47001046237</v>
      </c>
      <c r="S120" s="28">
        <f>[1]FBT!S$33</f>
        <v>39944.160885413992</v>
      </c>
      <c r="T120" s="28">
        <f>[1]FBT!T$33</f>
        <v>40366.778554979472</v>
      </c>
      <c r="U120" s="28">
        <f>[1]FBT!U$33</f>
        <v>38569.743059494562</v>
      </c>
      <c r="V120" s="28">
        <f>[1]FBT!V$33</f>
        <v>37677.357712858568</v>
      </c>
      <c r="W120" s="28">
        <f>[1]FBT!W$33</f>
        <v>40826.85679298875</v>
      </c>
    </row>
    <row r="121" spans="1:23" ht="12" customHeight="1" x14ac:dyDescent="0.35">
      <c r="A121" s="5" t="s">
        <v>19</v>
      </c>
      <c r="B121" s="26">
        <f>[1]TRE!B$33</f>
        <v>9374.8241194317652</v>
      </c>
      <c r="C121" s="26">
        <f>[1]TRE!C$33</f>
        <v>9737.1502874041416</v>
      </c>
      <c r="D121" s="26">
        <f>[1]TRE!D$33</f>
        <v>8908.9941183985193</v>
      </c>
      <c r="E121" s="26">
        <f>[1]TRE!E$33</f>
        <v>9427.0641798115939</v>
      </c>
      <c r="F121" s="26">
        <f>[1]TRE!F$33</f>
        <v>9014.4595990281505</v>
      </c>
      <c r="G121" s="26">
        <f>[1]TRE!G$33</f>
        <v>8019.1084993166514</v>
      </c>
      <c r="H121" s="26">
        <f>[1]TRE!H$33</f>
        <v>7782.296023240373</v>
      </c>
      <c r="I121" s="26">
        <f>[1]TRE!I$33</f>
        <v>7798.919066549649</v>
      </c>
      <c r="J121" s="26">
        <f>[1]TRE!J$33</f>
        <v>6872.0489062397201</v>
      </c>
      <c r="K121" s="26">
        <f>[1]TRE!K$33</f>
        <v>5961.7887545710664</v>
      </c>
      <c r="L121" s="26">
        <f>[1]TRE!L$33</f>
        <v>6521.9937837325724</v>
      </c>
      <c r="M121" s="26">
        <f>[1]TRE!M$33</f>
        <v>6142.9451025243334</v>
      </c>
      <c r="N121" s="26">
        <f>[1]TRE!N$33</f>
        <v>5964.2060909763031</v>
      </c>
      <c r="O121" s="26">
        <f>[1]TRE!O$33</f>
        <v>6145.6608815129557</v>
      </c>
      <c r="P121" s="26">
        <f>[1]TRE!P$33</f>
        <v>5285.2390874654448</v>
      </c>
      <c r="Q121" s="26">
        <f>[1]TRE!Q$33</f>
        <v>5375.8735563852106</v>
      </c>
      <c r="R121" s="26">
        <f>[1]TRE!R$33</f>
        <v>6429.7661826168523</v>
      </c>
      <c r="S121" s="26">
        <f>[1]TRE!S$33</f>
        <v>6602.0680696573781</v>
      </c>
      <c r="T121" s="26">
        <f>[1]TRE!T$33</f>
        <v>6598.1412631345829</v>
      </c>
      <c r="U121" s="26">
        <f>[1]TRE!U$33</f>
        <v>6640.2263653147966</v>
      </c>
      <c r="V121" s="26">
        <f>[1]TRE!V$33</f>
        <v>5955.1995754079244</v>
      </c>
      <c r="W121" s="26">
        <f>[1]TRE!W$33</f>
        <v>6431.2612227651771</v>
      </c>
    </row>
    <row r="122" spans="1:23" ht="12" customHeight="1" x14ac:dyDescent="0.35">
      <c r="A122" s="5" t="s">
        <v>20</v>
      </c>
      <c r="B122" s="26">
        <f>[1]MAE!B$33</f>
        <v>25565.32646474614</v>
      </c>
      <c r="C122" s="26">
        <f>[1]MAE!C$33</f>
        <v>26270.169505793579</v>
      </c>
      <c r="D122" s="26">
        <f>[1]MAE!D$33</f>
        <v>25603.35006206841</v>
      </c>
      <c r="E122" s="26">
        <f>[1]MAE!E$33</f>
        <v>25277.544327340049</v>
      </c>
      <c r="F122" s="26">
        <f>[1]MAE!F$33</f>
        <v>25173.855381078742</v>
      </c>
      <c r="G122" s="26">
        <f>[1]MAE!G$33</f>
        <v>24712.453759892789</v>
      </c>
      <c r="H122" s="26">
        <f>[1]MAE!H$33</f>
        <v>24547.11906036011</v>
      </c>
      <c r="I122" s="26">
        <f>[1]MAE!I$33</f>
        <v>23899.23184356709</v>
      </c>
      <c r="J122" s="26">
        <f>[1]MAE!J$33</f>
        <v>22932.347417366389</v>
      </c>
      <c r="K122" s="26">
        <f>[1]MAE!K$33</f>
        <v>20293.52882807513</v>
      </c>
      <c r="L122" s="26">
        <f>[1]MAE!L$33</f>
        <v>20909.566162639239</v>
      </c>
      <c r="M122" s="26">
        <f>[1]MAE!M$33</f>
        <v>19529.089555302009</v>
      </c>
      <c r="N122" s="26">
        <f>[1]MAE!N$33</f>
        <v>18488.375075216689</v>
      </c>
      <c r="O122" s="26">
        <f>[1]MAE!O$33</f>
        <v>18909.708827595459</v>
      </c>
      <c r="P122" s="26">
        <f>[1]MAE!P$33</f>
        <v>16955.467342045878</v>
      </c>
      <c r="Q122" s="26">
        <f>[1]MAE!Q$33</f>
        <v>17177.130053217741</v>
      </c>
      <c r="R122" s="26">
        <f>[1]MAE!R$33</f>
        <v>17330.752725335791</v>
      </c>
      <c r="S122" s="26">
        <f>[1]MAE!S$33</f>
        <v>17558.59200388216</v>
      </c>
      <c r="T122" s="26">
        <f>[1]MAE!T$33</f>
        <v>16925.600685358411</v>
      </c>
      <c r="U122" s="26">
        <f>[1]MAE!U$33</f>
        <v>16433.31757832627</v>
      </c>
      <c r="V122" s="26">
        <f>[1]MAE!V$33</f>
        <v>15216.14693485421</v>
      </c>
      <c r="W122" s="26">
        <f>[1]MAE!W$33</f>
        <v>17084.44295356351</v>
      </c>
    </row>
    <row r="123" spans="1:23" ht="12" customHeight="1" x14ac:dyDescent="0.35">
      <c r="A123" s="5" t="s">
        <v>21</v>
      </c>
      <c r="B123" s="26">
        <f>[1]TEL!B$33</f>
        <v>16519.796298681169</v>
      </c>
      <c r="C123" s="26">
        <f>[1]TEL!C$33</f>
        <v>15995.26345143799</v>
      </c>
      <c r="D123" s="26">
        <f>[1]TEL!D$33</f>
        <v>15871.750968752491</v>
      </c>
      <c r="E123" s="26">
        <f>[1]TEL!E$33</f>
        <v>15900.81021898106</v>
      </c>
      <c r="F123" s="26">
        <f>[1]TEL!F$33</f>
        <v>14448.05169365081</v>
      </c>
      <c r="G123" s="26">
        <f>[1]TEL!G$33</f>
        <v>10820.11349068199</v>
      </c>
      <c r="H123" s="26">
        <f>[1]TEL!H$33</f>
        <v>9814.0431089786398</v>
      </c>
      <c r="I123" s="26">
        <f>[1]TEL!I$33</f>
        <v>8613.5341928190246</v>
      </c>
      <c r="J123" s="26">
        <f>[1]TEL!J$33</f>
        <v>7413.3755487177659</v>
      </c>
      <c r="K123" s="26">
        <f>[1]TEL!K$33</f>
        <v>6390.3216739674226</v>
      </c>
      <c r="L123" s="26">
        <f>[1]TEL!L$33</f>
        <v>5878.1643726741186</v>
      </c>
      <c r="M123" s="26">
        <f>[1]TEL!M$33</f>
        <v>5428.2652737243516</v>
      </c>
      <c r="N123" s="26">
        <f>[1]TEL!N$33</f>
        <v>5242.6421793241843</v>
      </c>
      <c r="O123" s="26">
        <f>[1]TEL!O$33</f>
        <v>5095.4960361045914</v>
      </c>
      <c r="P123" s="26">
        <f>[1]TEL!P$33</f>
        <v>4839.2123227306629</v>
      </c>
      <c r="Q123" s="26">
        <f>[1]TEL!Q$33</f>
        <v>4748.6180572193161</v>
      </c>
      <c r="R123" s="26">
        <f>[1]TEL!R$33</f>
        <v>4870.756374040724</v>
      </c>
      <c r="S123" s="26">
        <f>[1]TEL!S$33</f>
        <v>4929.3913889485902</v>
      </c>
      <c r="T123" s="26">
        <f>[1]TEL!T$33</f>
        <v>4731.8328829359543</v>
      </c>
      <c r="U123" s="26">
        <f>[1]TEL!U$33</f>
        <v>4544.6917993219113</v>
      </c>
      <c r="V123" s="26">
        <f>[1]TEL!V$33</f>
        <v>4091.9678680627931</v>
      </c>
      <c r="W123" s="26">
        <f>[1]TEL!W$33</f>
        <v>4468.7498824686991</v>
      </c>
    </row>
    <row r="124" spans="1:23" ht="12" customHeight="1" x14ac:dyDescent="0.35">
      <c r="A124" s="5" t="s">
        <v>22</v>
      </c>
      <c r="B124" s="26">
        <f>[1]WWP!B$33</f>
        <v>3884.402440658288</v>
      </c>
      <c r="C124" s="26">
        <f>[1]WWP!C$33</f>
        <v>3808.3763210683951</v>
      </c>
      <c r="D124" s="26">
        <f>[1]WWP!D$33</f>
        <v>3497.389499167341</v>
      </c>
      <c r="E124" s="26">
        <f>[1]WWP!E$33</f>
        <v>3680.7363418372202</v>
      </c>
      <c r="F124" s="26">
        <f>[1]WWP!F$33</f>
        <v>4282.231112266837</v>
      </c>
      <c r="G124" s="26">
        <f>[1]WWP!G$33</f>
        <v>4056.0136856348772</v>
      </c>
      <c r="H124" s="26">
        <f>[1]WWP!H$33</f>
        <v>4020.6609574890631</v>
      </c>
      <c r="I124" s="26">
        <f>[1]WWP!I$33</f>
        <v>3491.5518919543979</v>
      </c>
      <c r="J124" s="26">
        <f>[1]WWP!J$33</f>
        <v>3311.613749538772</v>
      </c>
      <c r="K124" s="26">
        <f>[1]WWP!K$33</f>
        <v>2791.3570762974341</v>
      </c>
      <c r="L124" s="26">
        <f>[1]WWP!L$33</f>
        <v>2901.501120488108</v>
      </c>
      <c r="M124" s="26">
        <f>[1]WWP!M$33</f>
        <v>2940.232801693598</v>
      </c>
      <c r="N124" s="26">
        <f>[1]WWP!N$33</f>
        <v>2365.0905610945129</v>
      </c>
      <c r="O124" s="26">
        <f>[1]WWP!O$33</f>
        <v>2220.120897903174</v>
      </c>
      <c r="P124" s="26">
        <f>[1]WWP!P$33</f>
        <v>2006.590795581063</v>
      </c>
      <c r="Q124" s="26">
        <f>[1]WWP!Q$33</f>
        <v>2026.6277756114009</v>
      </c>
      <c r="R124" s="26">
        <f>[1]WWP!R$33</f>
        <v>2159.5706354617728</v>
      </c>
      <c r="S124" s="26">
        <f>[1]WWP!S$33</f>
        <v>2159.5524546320912</v>
      </c>
      <c r="T124" s="26">
        <f>[1]WWP!T$33</f>
        <v>2309.1046658148248</v>
      </c>
      <c r="U124" s="26">
        <f>[1]WWP!U$33</f>
        <v>2060.1202242305708</v>
      </c>
      <c r="V124" s="26">
        <f>[1]WWP!V$33</f>
        <v>1887.207751840489</v>
      </c>
      <c r="W124" s="26">
        <f>[1]WWP!W$33</f>
        <v>2305.784679631648</v>
      </c>
    </row>
    <row r="125" spans="1:23" ht="12" customHeight="1" x14ac:dyDescent="0.35">
      <c r="A125" s="5" t="s">
        <v>23</v>
      </c>
      <c r="B125" s="26">
        <f>[1]OIS!B$33</f>
        <v>48806.609992646932</v>
      </c>
      <c r="C125" s="26">
        <f>[1]OIS!C$33</f>
        <v>47627.088573681707</v>
      </c>
      <c r="D125" s="26">
        <f>[1]OIS!D$33</f>
        <v>43753.742263321103</v>
      </c>
      <c r="E125" s="26">
        <f>[1]OIS!E$33</f>
        <v>38646.736225714281</v>
      </c>
      <c r="F125" s="26">
        <f>[1]OIS!F$33</f>
        <v>36031.715110481578</v>
      </c>
      <c r="G125" s="26">
        <f>[1]OIS!G$33</f>
        <v>45687.695801264599</v>
      </c>
      <c r="H125" s="26">
        <f>[1]OIS!H$33</f>
        <v>42483.188041060683</v>
      </c>
      <c r="I125" s="26">
        <f>[1]OIS!I$33</f>
        <v>44678.261200873822</v>
      </c>
      <c r="J125" s="26">
        <f>[1]OIS!J$33</f>
        <v>44226.253844608473</v>
      </c>
      <c r="K125" s="26">
        <f>[1]OIS!K$33</f>
        <v>35133.857874838417</v>
      </c>
      <c r="L125" s="26">
        <f>[1]OIS!L$33</f>
        <v>39406.943575752783</v>
      </c>
      <c r="M125" s="26">
        <f>[1]OIS!M$33</f>
        <v>30944.365380241939</v>
      </c>
      <c r="N125" s="26">
        <f>[1]OIS!N$33</f>
        <v>31572.07569540897</v>
      </c>
      <c r="O125" s="26">
        <f>[1]OIS!O$33</f>
        <v>30899.91386180327</v>
      </c>
      <c r="P125" s="26">
        <f>[1]OIS!P$33</f>
        <v>30596.166618830699</v>
      </c>
      <c r="Q125" s="26">
        <f>[1]OIS!Q$33</f>
        <v>28336.484831125479</v>
      </c>
      <c r="R125" s="26">
        <f>[1]OIS!R$33</f>
        <v>28693.29443583572</v>
      </c>
      <c r="S125" s="26">
        <f>[1]OIS!S$33</f>
        <v>29281.899635747261</v>
      </c>
      <c r="T125" s="26">
        <f>[1]OIS!T$33</f>
        <v>32337.14450760376</v>
      </c>
      <c r="U125" s="26">
        <f>[1]OIS!U$33</f>
        <v>33463.268243412153</v>
      </c>
      <c r="V125" s="26">
        <f>[1]OIS!V$33</f>
        <v>31970.209530522541</v>
      </c>
      <c r="W125" s="26">
        <f>[1]OIS!W$33</f>
        <v>35900.846587617387</v>
      </c>
    </row>
    <row r="126" spans="1:23" ht="12" customHeight="1" x14ac:dyDescent="0.35">
      <c r="A126" s="21" t="s">
        <v>59</v>
      </c>
      <c r="B126" s="36">
        <f>[1]Ind_Summary_emi!B43</f>
        <v>8900.4853575953202</v>
      </c>
      <c r="C126" s="36">
        <f>[1]Ind_Summary_emi!C43</f>
        <v>8669.4584223406</v>
      </c>
      <c r="D126" s="36">
        <f>[1]Ind_Summary_emi!D43</f>
        <v>8291.469963855985</v>
      </c>
      <c r="E126" s="36">
        <f>[1]Ind_Summary_emi!E43</f>
        <v>8128.7586455749106</v>
      </c>
      <c r="F126" s="36">
        <f>[1]Ind_Summary_emi!F43</f>
        <v>8713.8859265072824</v>
      </c>
      <c r="G126" s="36">
        <f>[1]Ind_Summary_emi!G43</f>
        <v>9146.7709404753168</v>
      </c>
      <c r="H126" s="36">
        <f>[1]Ind_Summary_emi!H43</f>
        <v>9064.7190604818079</v>
      </c>
      <c r="I126" s="36">
        <f>[1]Ind_Summary_emi!I43</f>
        <v>9257.1241929291464</v>
      </c>
      <c r="J126" s="36">
        <f>[1]Ind_Summary_emi!J43</f>
        <v>9069.3725331174155</v>
      </c>
      <c r="K126" s="36">
        <f>[1]Ind_Summary_emi!K43</f>
        <v>7731.8510358280364</v>
      </c>
      <c r="L126" s="36">
        <f>[1]Ind_Summary_emi!L43</f>
        <v>8308.804099918787</v>
      </c>
      <c r="M126" s="36">
        <f>[1]Ind_Summary_emi!M43</f>
        <v>8164.7015433177021</v>
      </c>
      <c r="N126" s="36">
        <f>[1]Ind_Summary_emi!N43</f>
        <v>8038.1978849297784</v>
      </c>
      <c r="O126" s="36">
        <f>[1]Ind_Summary_emi!O43</f>
        <v>7931.7304912019599</v>
      </c>
      <c r="P126" s="36">
        <f>[1]Ind_Summary_emi!P43</f>
        <v>7871.314841374392</v>
      </c>
      <c r="Q126" s="36">
        <f>[1]Ind_Summary_emi!Q43</f>
        <v>7622.3878638458373</v>
      </c>
      <c r="R126" s="36">
        <f>[1]Ind_Summary_emi!R43</f>
        <v>7801.9083295320452</v>
      </c>
      <c r="S126" s="36">
        <f>[1]Ind_Summary_emi!S43</f>
        <v>7930.0071936687746</v>
      </c>
      <c r="T126" s="36">
        <f>[1]Ind_Summary_emi!T43</f>
        <v>7744.953676283556</v>
      </c>
      <c r="U126" s="36">
        <f>[1]Ind_Summary_emi!U43</f>
        <v>7465.6619106182543</v>
      </c>
      <c r="V126" s="36">
        <f>[1]Ind_Summary_emi!V43</f>
        <v>7170.6758223905426</v>
      </c>
      <c r="W126" s="36">
        <f>[1]Ind_Summary_emi!W43</f>
        <v>7955.7449932153277</v>
      </c>
    </row>
    <row r="128" spans="1:23" ht="12" customHeight="1" x14ac:dyDescent="0.35">
      <c r="A128" s="23" t="s">
        <v>60</v>
      </c>
      <c r="B128" s="25">
        <f t="shared" ref="B128:W128" si="8">IF(B29=0,"",B29/B3*1000)</f>
        <v>119.98616158926967</v>
      </c>
      <c r="C128" s="25">
        <f t="shared" si="8"/>
        <v>118.62215623357481</v>
      </c>
      <c r="D128" s="25">
        <f t="shared" si="8"/>
        <v>119.28951853999772</v>
      </c>
      <c r="E128" s="25">
        <f t="shared" si="8"/>
        <v>123.21830604592189</v>
      </c>
      <c r="F128" s="25">
        <f t="shared" si="8"/>
        <v>120.41079864042307</v>
      </c>
      <c r="G128" s="25">
        <f t="shared" si="8"/>
        <v>119.20511296121082</v>
      </c>
      <c r="H128" s="25">
        <f t="shared" si="8"/>
        <v>111.39763078307129</v>
      </c>
      <c r="I128" s="25">
        <f t="shared" si="8"/>
        <v>109.25573369338807</v>
      </c>
      <c r="J128" s="25">
        <f t="shared" si="8"/>
        <v>107.24865792647876</v>
      </c>
      <c r="K128" s="25">
        <f t="shared" si="8"/>
        <v>105.12758021991402</v>
      </c>
      <c r="L128" s="25">
        <f t="shared" si="8"/>
        <v>107.80989795961709</v>
      </c>
      <c r="M128" s="25">
        <f t="shared" si="8"/>
        <v>105.04459645211979</v>
      </c>
      <c r="N128" s="25">
        <f t="shared" si="8"/>
        <v>105.75992147980553</v>
      </c>
      <c r="O128" s="25">
        <f t="shared" si="8"/>
        <v>106.32965222127048</v>
      </c>
      <c r="P128" s="25">
        <f t="shared" si="8"/>
        <v>102.58453784260057</v>
      </c>
      <c r="Q128" s="25">
        <f t="shared" si="8"/>
        <v>98.577476047151805</v>
      </c>
      <c r="R128" s="25">
        <f t="shared" si="8"/>
        <v>98.304771005540843</v>
      </c>
      <c r="S128" s="25">
        <f t="shared" si="8"/>
        <v>96.726260919646194</v>
      </c>
      <c r="T128" s="25">
        <f t="shared" si="8"/>
        <v>95.375812768934139</v>
      </c>
      <c r="U128" s="25">
        <f t="shared" si="8"/>
        <v>93.474804952862428</v>
      </c>
      <c r="V128" s="25">
        <f t="shared" si="8"/>
        <v>96.088231190025539</v>
      </c>
      <c r="W128" s="25">
        <f t="shared" si="8"/>
        <v>94.757480707188122</v>
      </c>
    </row>
    <row r="129" spans="1:23" ht="12" customHeight="1" x14ac:dyDescent="0.35">
      <c r="A129" s="5" t="s">
        <v>1</v>
      </c>
      <c r="B129" s="26">
        <f t="shared" ref="B129:W129" si="9">IF(B52=0,"",B52/B4*1000)</f>
        <v>658.41784912974026</v>
      </c>
      <c r="C129" s="26">
        <f t="shared" si="9"/>
        <v>663.16021156502302</v>
      </c>
      <c r="D129" s="26">
        <f t="shared" si="9"/>
        <v>693.55556166203144</v>
      </c>
      <c r="E129" s="26">
        <f t="shared" si="9"/>
        <v>733.37259462391432</v>
      </c>
      <c r="F129" s="26">
        <f t="shared" si="9"/>
        <v>660.34221124910812</v>
      </c>
      <c r="G129" s="26">
        <f t="shared" si="9"/>
        <v>601.3635800142473</v>
      </c>
      <c r="H129" s="26">
        <f t="shared" si="9"/>
        <v>575.20864959420862</v>
      </c>
      <c r="I129" s="26">
        <f t="shared" si="9"/>
        <v>498.42345206498305</v>
      </c>
      <c r="J129" s="26">
        <f t="shared" si="9"/>
        <v>512.90630993476282</v>
      </c>
      <c r="K129" s="26">
        <f t="shared" si="9"/>
        <v>650.4043981396577</v>
      </c>
      <c r="L129" s="26">
        <f t="shared" si="9"/>
        <v>650.19768895633365</v>
      </c>
      <c r="M129" s="26">
        <f t="shared" si="9"/>
        <v>613.5931971401485</v>
      </c>
      <c r="N129" s="26">
        <f t="shared" si="9"/>
        <v>644.03489622475161</v>
      </c>
      <c r="O129" s="26">
        <f t="shared" si="9"/>
        <v>637.35246969783839</v>
      </c>
      <c r="P129" s="26">
        <f t="shared" si="9"/>
        <v>613.09624260551595</v>
      </c>
      <c r="Q129" s="26">
        <f t="shared" si="9"/>
        <v>623.34842230468132</v>
      </c>
      <c r="R129" s="26">
        <f t="shared" si="9"/>
        <v>627.22799979601984</v>
      </c>
      <c r="S129" s="26">
        <f t="shared" si="9"/>
        <v>603.48610184678387</v>
      </c>
      <c r="T129" s="26">
        <f t="shared" si="9"/>
        <v>563.33187128356371</v>
      </c>
      <c r="U129" s="26">
        <f t="shared" si="9"/>
        <v>626.78472193090022</v>
      </c>
      <c r="V129" s="26">
        <f t="shared" si="9"/>
        <v>688.90828615260773</v>
      </c>
      <c r="W129" s="26">
        <f t="shared" si="9"/>
        <v>567.77942586020413</v>
      </c>
    </row>
    <row r="130" spans="1:23" ht="12" customHeight="1" x14ac:dyDescent="0.35">
      <c r="A130" s="6" t="s">
        <v>2</v>
      </c>
      <c r="B130" s="27">
        <f t="shared" ref="B130:W132" si="10">IF(B55=0,"",B55/B5*1000)</f>
        <v>595.71624810081516</v>
      </c>
      <c r="C130" s="27">
        <f t="shared" si="10"/>
        <v>627.77611312410136</v>
      </c>
      <c r="D130" s="27">
        <f t="shared" si="10"/>
        <v>670.20248374118933</v>
      </c>
      <c r="E130" s="27">
        <f t="shared" si="10"/>
        <v>664.30075717076261</v>
      </c>
      <c r="F130" s="27">
        <f t="shared" si="10"/>
        <v>623.92094539449317</v>
      </c>
      <c r="G130" s="27">
        <f t="shared" si="10"/>
        <v>582.75904844295871</v>
      </c>
      <c r="H130" s="27">
        <f t="shared" si="10"/>
        <v>517.12703855321433</v>
      </c>
      <c r="I130" s="27">
        <f t="shared" si="10"/>
        <v>470.95529162639997</v>
      </c>
      <c r="J130" s="27">
        <f t="shared" si="10"/>
        <v>487.75282741058936</v>
      </c>
      <c r="K130" s="27">
        <f t="shared" si="10"/>
        <v>490.43029322554668</v>
      </c>
      <c r="L130" s="27">
        <f t="shared" si="10"/>
        <v>453.38823726871317</v>
      </c>
      <c r="M130" s="27">
        <f t="shared" si="10"/>
        <v>451.45314289609428</v>
      </c>
      <c r="N130" s="27">
        <f t="shared" si="10"/>
        <v>415.82067573152517</v>
      </c>
      <c r="O130" s="27">
        <f t="shared" si="10"/>
        <v>433.3936387646612</v>
      </c>
      <c r="P130" s="27">
        <f t="shared" si="10"/>
        <v>418.67926211865262</v>
      </c>
      <c r="Q130" s="27">
        <f t="shared" si="10"/>
        <v>410.56506104520832</v>
      </c>
      <c r="R130" s="27">
        <f t="shared" si="10"/>
        <v>414.39278605505251</v>
      </c>
      <c r="S130" s="27">
        <f t="shared" si="10"/>
        <v>410.33675846025955</v>
      </c>
      <c r="T130" s="27">
        <f t="shared" si="10"/>
        <v>422.05640590070431</v>
      </c>
      <c r="U130" s="27">
        <f t="shared" si="10"/>
        <v>421.79431879877177</v>
      </c>
      <c r="V130" s="27">
        <f t="shared" si="10"/>
        <v>458.69619338222935</v>
      </c>
      <c r="W130" s="27">
        <f t="shared" si="10"/>
        <v>385.50407664871858</v>
      </c>
    </row>
    <row r="131" spans="1:23" ht="12" customHeight="1" x14ac:dyDescent="0.35">
      <c r="A131" s="7" t="s">
        <v>3</v>
      </c>
      <c r="B131" s="26">
        <f t="shared" si="10"/>
        <v>1116.4272676487678</v>
      </c>
      <c r="C131" s="26">
        <f t="shared" si="10"/>
        <v>1013.4174895231567</v>
      </c>
      <c r="D131" s="26">
        <f t="shared" si="10"/>
        <v>1273.4090052189822</v>
      </c>
      <c r="E131" s="26">
        <f t="shared" si="10"/>
        <v>1276.5494280787834</v>
      </c>
      <c r="F131" s="26">
        <f t="shared" si="10"/>
        <v>1310.9982641173256</v>
      </c>
      <c r="G131" s="26">
        <f t="shared" si="10"/>
        <v>1205.5128925970021</v>
      </c>
      <c r="H131" s="26">
        <f t="shared" si="10"/>
        <v>1117.103068189492</v>
      </c>
      <c r="I131" s="26">
        <f t="shared" si="10"/>
        <v>1013.1814251274029</v>
      </c>
      <c r="J131" s="26">
        <f t="shared" si="10"/>
        <v>1045.8435618763069</v>
      </c>
      <c r="K131" s="26">
        <f t="shared" si="10"/>
        <v>1307.6981058008305</v>
      </c>
      <c r="L131" s="26">
        <f t="shared" si="10"/>
        <v>1289.8710032145625</v>
      </c>
      <c r="M131" s="26">
        <f t="shared" si="10"/>
        <v>1354.459640854004</v>
      </c>
      <c r="N131" s="26">
        <f t="shared" si="10"/>
        <v>1374.8131354603793</v>
      </c>
      <c r="O131" s="26">
        <f t="shared" si="10"/>
        <v>1444.9632378372048</v>
      </c>
      <c r="P131" s="26">
        <f t="shared" si="10"/>
        <v>1330.811386949164</v>
      </c>
      <c r="Q131" s="26">
        <f t="shared" si="10"/>
        <v>1477.2250357345415</v>
      </c>
      <c r="R131" s="26">
        <f t="shared" si="10"/>
        <v>1513.7196809667689</v>
      </c>
      <c r="S131" s="26">
        <f t="shared" si="10"/>
        <v>1178.5878012298431</v>
      </c>
      <c r="T131" s="26">
        <f t="shared" si="10"/>
        <v>1240.874947410312</v>
      </c>
      <c r="U131" s="26">
        <f t="shared" si="10"/>
        <v>1325.5820184835391</v>
      </c>
      <c r="V131" s="26">
        <f t="shared" si="10"/>
        <v>1396.1522863048258</v>
      </c>
      <c r="W131" s="26">
        <f t="shared" si="10"/>
        <v>1265.2592499153795</v>
      </c>
    </row>
    <row r="132" spans="1:23" ht="12" customHeight="1" x14ac:dyDescent="0.35">
      <c r="A132" s="7" t="s">
        <v>4</v>
      </c>
      <c r="B132" s="26">
        <f t="shared" si="10"/>
        <v>503.9732478396021</v>
      </c>
      <c r="C132" s="26">
        <f t="shared" si="10"/>
        <v>540.97079241422534</v>
      </c>
      <c r="D132" s="26">
        <f t="shared" si="10"/>
        <v>576.58040156213872</v>
      </c>
      <c r="E132" s="26">
        <f t="shared" si="10"/>
        <v>583.55516216601484</v>
      </c>
      <c r="F132" s="26">
        <f t="shared" si="10"/>
        <v>551.84667826353757</v>
      </c>
      <c r="G132" s="26">
        <f t="shared" si="10"/>
        <v>527.77475276711561</v>
      </c>
      <c r="H132" s="26">
        <f t="shared" si="10"/>
        <v>459.48369022552737</v>
      </c>
      <c r="I132" s="26">
        <f t="shared" si="10"/>
        <v>435.2348617174967</v>
      </c>
      <c r="J132" s="26">
        <f t="shared" si="10"/>
        <v>454.00091674941859</v>
      </c>
      <c r="K132" s="26">
        <f t="shared" si="10"/>
        <v>428.4788298185066</v>
      </c>
      <c r="L132" s="26">
        <f t="shared" si="10"/>
        <v>349.19644834814602</v>
      </c>
      <c r="M132" s="26">
        <f t="shared" si="10"/>
        <v>354.73574597205737</v>
      </c>
      <c r="N132" s="26">
        <f t="shared" si="10"/>
        <v>331.84968609218487</v>
      </c>
      <c r="O132" s="26">
        <f t="shared" si="10"/>
        <v>311.43534995796153</v>
      </c>
      <c r="P132" s="26">
        <f t="shared" si="10"/>
        <v>316.43398326390826</v>
      </c>
      <c r="Q132" s="26">
        <f t="shared" si="10"/>
        <v>322.46066532928319</v>
      </c>
      <c r="R132" s="26">
        <f t="shared" si="10"/>
        <v>318.02868495287208</v>
      </c>
      <c r="S132" s="26">
        <f t="shared" si="10"/>
        <v>330.37358466663676</v>
      </c>
      <c r="T132" s="26">
        <f t="shared" si="10"/>
        <v>334.17806831622727</v>
      </c>
      <c r="U132" s="26">
        <f t="shared" si="10"/>
        <v>327.88350065809715</v>
      </c>
      <c r="V132" s="26">
        <f t="shared" si="10"/>
        <v>353.17269512046857</v>
      </c>
      <c r="W132" s="26">
        <f t="shared" si="10"/>
        <v>311.37294003245336</v>
      </c>
    </row>
    <row r="133" spans="1:23" ht="12" customHeight="1" x14ac:dyDescent="0.35">
      <c r="A133" s="7" t="s">
        <v>5</v>
      </c>
      <c r="B133" s="26">
        <f t="shared" ref="B133:W144" si="11">IF(B60=0,"",B60/B8*1000)</f>
        <v>568.43148568045285</v>
      </c>
      <c r="C133" s="26">
        <f t="shared" si="11"/>
        <v>622.43682263870312</v>
      </c>
      <c r="D133" s="26">
        <f t="shared" si="11"/>
        <v>624.62003364165605</v>
      </c>
      <c r="E133" s="26">
        <f t="shared" si="11"/>
        <v>599.99241685823858</v>
      </c>
      <c r="F133" s="26">
        <f t="shared" si="11"/>
        <v>542.74177403797091</v>
      </c>
      <c r="G133" s="26">
        <f t="shared" si="11"/>
        <v>501.24756295424078</v>
      </c>
      <c r="H133" s="26">
        <f t="shared" si="11"/>
        <v>438.92896539705106</v>
      </c>
      <c r="I133" s="26">
        <f t="shared" si="11"/>
        <v>398.62660199352405</v>
      </c>
      <c r="J133" s="26">
        <f t="shared" si="11"/>
        <v>408.03465131144281</v>
      </c>
      <c r="K133" s="26">
        <f t="shared" si="11"/>
        <v>427.62989423958174</v>
      </c>
      <c r="L133" s="26">
        <f t="shared" si="11"/>
        <v>423.44299166232156</v>
      </c>
      <c r="M133" s="26">
        <f t="shared" si="11"/>
        <v>408.56443018569286</v>
      </c>
      <c r="N133" s="26">
        <f t="shared" si="11"/>
        <v>366.41686040148835</v>
      </c>
      <c r="O133" s="26">
        <f t="shared" si="11"/>
        <v>406.48123643460133</v>
      </c>
      <c r="P133" s="26">
        <f t="shared" si="11"/>
        <v>380.44956592536784</v>
      </c>
      <c r="Q133" s="26">
        <f t="shared" si="11"/>
        <v>358.15847208357764</v>
      </c>
      <c r="R133" s="26">
        <f t="shared" si="11"/>
        <v>369.94448824842897</v>
      </c>
      <c r="S133" s="26">
        <f t="shared" si="11"/>
        <v>369.06203264761905</v>
      </c>
      <c r="T133" s="26">
        <f t="shared" si="11"/>
        <v>377.12650403260767</v>
      </c>
      <c r="U133" s="26">
        <f t="shared" si="11"/>
        <v>376.67827884666798</v>
      </c>
      <c r="V133" s="26">
        <f t="shared" si="11"/>
        <v>415.01386847605556</v>
      </c>
      <c r="W133" s="26">
        <f t="shared" si="11"/>
        <v>332.97776231598016</v>
      </c>
    </row>
    <row r="134" spans="1:23" ht="12" customHeight="1" x14ac:dyDescent="0.35">
      <c r="A134" s="6" t="s">
        <v>6</v>
      </c>
      <c r="B134" s="27">
        <f t="shared" si="11"/>
        <v>259.65153985776493</v>
      </c>
      <c r="C134" s="27">
        <f t="shared" si="11"/>
        <v>250.98133134694649</v>
      </c>
      <c r="D134" s="27">
        <f t="shared" si="11"/>
        <v>246.19287997479952</v>
      </c>
      <c r="E134" s="27">
        <f t="shared" si="11"/>
        <v>272.15542357153583</v>
      </c>
      <c r="F134" s="27">
        <f t="shared" si="11"/>
        <v>261.6737771669724</v>
      </c>
      <c r="G134" s="27">
        <f t="shared" si="11"/>
        <v>259.50115402793136</v>
      </c>
      <c r="H134" s="27">
        <f t="shared" si="11"/>
        <v>249.78395640181489</v>
      </c>
      <c r="I134" s="27">
        <f t="shared" si="11"/>
        <v>252.96218678467935</v>
      </c>
      <c r="J134" s="27">
        <f t="shared" si="11"/>
        <v>251.9384889137209</v>
      </c>
      <c r="K134" s="27">
        <f t="shared" si="11"/>
        <v>237.42550451769972</v>
      </c>
      <c r="L134" s="27">
        <f t="shared" si="11"/>
        <v>234.2261680927796</v>
      </c>
      <c r="M134" s="27">
        <f t="shared" si="11"/>
        <v>245.64937255401847</v>
      </c>
      <c r="N134" s="27">
        <f t="shared" si="11"/>
        <v>251.3546146498733</v>
      </c>
      <c r="O134" s="27">
        <f t="shared" si="11"/>
        <v>253.87826633621825</v>
      </c>
      <c r="P134" s="27">
        <f t="shared" si="11"/>
        <v>240.38797515538536</v>
      </c>
      <c r="Q134" s="27">
        <f t="shared" si="11"/>
        <v>182.09853147553468</v>
      </c>
      <c r="R134" s="27">
        <f t="shared" si="11"/>
        <v>183.59978492076266</v>
      </c>
      <c r="S134" s="27">
        <f t="shared" si="11"/>
        <v>181.74987588084497</v>
      </c>
      <c r="T134" s="27">
        <f t="shared" si="11"/>
        <v>174.34733391341263</v>
      </c>
      <c r="U134" s="27">
        <f t="shared" si="11"/>
        <v>170.17679374847881</v>
      </c>
      <c r="V134" s="27">
        <f t="shared" si="11"/>
        <v>162.48732555762345</v>
      </c>
      <c r="W134" s="27">
        <f t="shared" si="11"/>
        <v>150.8692917017845</v>
      </c>
    </row>
    <row r="135" spans="1:23" ht="12" customHeight="1" x14ac:dyDescent="0.35">
      <c r="A135" s="7" t="s">
        <v>7</v>
      </c>
      <c r="B135" s="26">
        <f t="shared" si="11"/>
        <v>627.77889050255874</v>
      </c>
      <c r="C135" s="26">
        <f t="shared" si="11"/>
        <v>608.69122019021529</v>
      </c>
      <c r="D135" s="26">
        <f t="shared" si="11"/>
        <v>623.64984188703295</v>
      </c>
      <c r="E135" s="26">
        <f t="shared" si="11"/>
        <v>666.10965389676085</v>
      </c>
      <c r="F135" s="26">
        <f t="shared" si="11"/>
        <v>633.31616114891199</v>
      </c>
      <c r="G135" s="26">
        <f t="shared" si="11"/>
        <v>640.11924657057955</v>
      </c>
      <c r="H135" s="26">
        <f t="shared" si="11"/>
        <v>603.39589736053199</v>
      </c>
      <c r="I135" s="26">
        <f t="shared" si="11"/>
        <v>603.94123713361591</v>
      </c>
      <c r="J135" s="26">
        <f t="shared" si="11"/>
        <v>572.32684015358188</v>
      </c>
      <c r="K135" s="26">
        <f t="shared" si="11"/>
        <v>582.78236882865258</v>
      </c>
      <c r="L135" s="26">
        <f t="shared" si="11"/>
        <v>542.46319315288929</v>
      </c>
      <c r="M135" s="26">
        <f t="shared" si="11"/>
        <v>549.63515662893064</v>
      </c>
      <c r="N135" s="26">
        <f t="shared" si="11"/>
        <v>585.26589914570968</v>
      </c>
      <c r="O135" s="26">
        <f t="shared" si="11"/>
        <v>612.36601085918926</v>
      </c>
      <c r="P135" s="26">
        <f t="shared" si="11"/>
        <v>594.72347567956774</v>
      </c>
      <c r="Q135" s="26">
        <f t="shared" si="11"/>
        <v>518.18882794237447</v>
      </c>
      <c r="R135" s="26">
        <f t="shared" si="11"/>
        <v>530.32267197873739</v>
      </c>
      <c r="S135" s="26">
        <f t="shared" si="11"/>
        <v>496.86619733356747</v>
      </c>
      <c r="T135" s="26">
        <f t="shared" si="11"/>
        <v>506.13509320926096</v>
      </c>
      <c r="U135" s="26">
        <f t="shared" si="11"/>
        <v>526.15803942244054</v>
      </c>
      <c r="V135" s="26">
        <f t="shared" si="11"/>
        <v>549.70240811470728</v>
      </c>
      <c r="W135" s="26">
        <f t="shared" si="11"/>
        <v>513.12495721860432</v>
      </c>
    </row>
    <row r="136" spans="1:23" ht="12" customHeight="1" x14ac:dyDescent="0.35">
      <c r="A136" s="7" t="s">
        <v>8</v>
      </c>
      <c r="B136" s="26">
        <f t="shared" si="11"/>
        <v>234.95316267900688</v>
      </c>
      <c r="C136" s="26">
        <f t="shared" si="11"/>
        <v>241.82779161625655</v>
      </c>
      <c r="D136" s="26">
        <f t="shared" si="11"/>
        <v>235.17702576569224</v>
      </c>
      <c r="E136" s="26">
        <f t="shared" si="11"/>
        <v>270.59440600011857</v>
      </c>
      <c r="F136" s="26">
        <f t="shared" si="11"/>
        <v>250.09661122105703</v>
      </c>
      <c r="G136" s="26">
        <f t="shared" si="11"/>
        <v>249.30356614299689</v>
      </c>
      <c r="H136" s="26">
        <f t="shared" si="11"/>
        <v>236.80357754264185</v>
      </c>
      <c r="I136" s="26">
        <f t="shared" si="11"/>
        <v>243.07278326321639</v>
      </c>
      <c r="J136" s="26">
        <f t="shared" si="11"/>
        <v>246.13296739307347</v>
      </c>
      <c r="K136" s="26">
        <f t="shared" si="11"/>
        <v>238.12631637171631</v>
      </c>
      <c r="L136" s="26">
        <f t="shared" si="11"/>
        <v>225.80778187292404</v>
      </c>
      <c r="M136" s="26">
        <f t="shared" si="11"/>
        <v>246.07679231940114</v>
      </c>
      <c r="N136" s="26">
        <f t="shared" si="11"/>
        <v>247.48046568560451</v>
      </c>
      <c r="O136" s="26">
        <f t="shared" si="11"/>
        <v>227.65984174593677</v>
      </c>
      <c r="P136" s="26">
        <f t="shared" si="11"/>
        <v>201.74723112393042</v>
      </c>
      <c r="Q136" s="26">
        <f t="shared" si="11"/>
        <v>178.3873823249962</v>
      </c>
      <c r="R136" s="26">
        <f t="shared" si="11"/>
        <v>173.36779829199949</v>
      </c>
      <c r="S136" s="26">
        <f t="shared" si="11"/>
        <v>171.09676501051962</v>
      </c>
      <c r="T136" s="26">
        <f t="shared" si="11"/>
        <v>190.06817709407019</v>
      </c>
      <c r="U136" s="26">
        <f t="shared" si="11"/>
        <v>176.13111366023111</v>
      </c>
      <c r="V136" s="26">
        <f t="shared" si="11"/>
        <v>180.64587637216479</v>
      </c>
      <c r="W136" s="26">
        <f t="shared" si="11"/>
        <v>169.41015221866763</v>
      </c>
    </row>
    <row r="137" spans="1:23" ht="12" customHeight="1" x14ac:dyDescent="0.35">
      <c r="A137" s="7" t="s">
        <v>9</v>
      </c>
      <c r="B137" s="26">
        <f t="shared" si="11"/>
        <v>50.200720364814245</v>
      </c>
      <c r="C137" s="26">
        <f t="shared" si="11"/>
        <v>48.590814577428155</v>
      </c>
      <c r="D137" s="26">
        <f t="shared" si="11"/>
        <v>46.517794203103243</v>
      </c>
      <c r="E137" s="26">
        <f t="shared" si="11"/>
        <v>48.59698731812847</v>
      </c>
      <c r="F137" s="26">
        <f t="shared" si="11"/>
        <v>48.938629365035887</v>
      </c>
      <c r="G137" s="26">
        <f t="shared" si="11"/>
        <v>47.292015672407786</v>
      </c>
      <c r="H137" s="26">
        <f t="shared" si="11"/>
        <v>47.638524757155899</v>
      </c>
      <c r="I137" s="26">
        <f t="shared" si="11"/>
        <v>46.881114954989592</v>
      </c>
      <c r="J137" s="26">
        <f t="shared" si="11"/>
        <v>46.84474671039554</v>
      </c>
      <c r="K137" s="26">
        <f t="shared" si="11"/>
        <v>43.570489800411252</v>
      </c>
      <c r="L137" s="26">
        <f t="shared" si="11"/>
        <v>42.47050663899013</v>
      </c>
      <c r="M137" s="26">
        <f t="shared" si="11"/>
        <v>42.885584986684684</v>
      </c>
      <c r="N137" s="26">
        <f t="shared" si="11"/>
        <v>42.718408179439486</v>
      </c>
      <c r="O137" s="26">
        <f t="shared" si="11"/>
        <v>43.561251763449171</v>
      </c>
      <c r="P137" s="26">
        <f t="shared" si="11"/>
        <v>51.748135055095922</v>
      </c>
      <c r="Q137" s="26">
        <f t="shared" si="11"/>
        <v>31.103380018778992</v>
      </c>
      <c r="R137" s="26">
        <f t="shared" si="11"/>
        <v>33.149738543984832</v>
      </c>
      <c r="S137" s="26">
        <f t="shared" si="11"/>
        <v>31.061433085918868</v>
      </c>
      <c r="T137" s="26">
        <f t="shared" si="11"/>
        <v>27.968821621810296</v>
      </c>
      <c r="U137" s="26">
        <f t="shared" si="11"/>
        <v>28.186018377184432</v>
      </c>
      <c r="V137" s="26">
        <f t="shared" si="11"/>
        <v>25.26892854064771</v>
      </c>
      <c r="W137" s="26">
        <f t="shared" si="11"/>
        <v>22.80436361723428</v>
      </c>
    </row>
    <row r="138" spans="1:23" ht="12" customHeight="1" x14ac:dyDescent="0.35">
      <c r="A138" s="6" t="s">
        <v>10</v>
      </c>
      <c r="B138" s="27">
        <f t="shared" si="11"/>
        <v>504.91249780628522</v>
      </c>
      <c r="C138" s="27">
        <f t="shared" si="11"/>
        <v>514.17523251218415</v>
      </c>
      <c r="D138" s="27">
        <f t="shared" si="11"/>
        <v>507.34482094810795</v>
      </c>
      <c r="E138" s="27">
        <f t="shared" si="11"/>
        <v>542.60353112068901</v>
      </c>
      <c r="F138" s="27">
        <f t="shared" si="11"/>
        <v>551.78057212424699</v>
      </c>
      <c r="G138" s="27">
        <f t="shared" si="11"/>
        <v>558.26770078708228</v>
      </c>
      <c r="H138" s="27">
        <f t="shared" si="11"/>
        <v>523.38385880248143</v>
      </c>
      <c r="I138" s="27">
        <f t="shared" si="11"/>
        <v>509.86256040046976</v>
      </c>
      <c r="J138" s="27">
        <f t="shared" si="11"/>
        <v>522.218043599662</v>
      </c>
      <c r="K138" s="27">
        <f t="shared" si="11"/>
        <v>509.61506939886311</v>
      </c>
      <c r="L138" s="27">
        <f t="shared" si="11"/>
        <v>537.39943313950994</v>
      </c>
      <c r="M138" s="27">
        <f t="shared" si="11"/>
        <v>543.41274094223377</v>
      </c>
      <c r="N138" s="27">
        <f t="shared" si="11"/>
        <v>532.39390649017821</v>
      </c>
      <c r="O138" s="27">
        <f t="shared" si="11"/>
        <v>528.86832947584298</v>
      </c>
      <c r="P138" s="27">
        <f t="shared" si="11"/>
        <v>510.02915046316377</v>
      </c>
      <c r="Q138" s="27">
        <f t="shared" si="11"/>
        <v>518.83200994227911</v>
      </c>
      <c r="R138" s="27">
        <f t="shared" si="11"/>
        <v>506.9194789834084</v>
      </c>
      <c r="S138" s="27">
        <f t="shared" si="11"/>
        <v>501.54829760785793</v>
      </c>
      <c r="T138" s="27">
        <f t="shared" si="11"/>
        <v>502.48206340154059</v>
      </c>
      <c r="U138" s="27">
        <f t="shared" si="11"/>
        <v>484.64847064735289</v>
      </c>
      <c r="V138" s="27">
        <f t="shared" si="11"/>
        <v>503.374656533522</v>
      </c>
      <c r="W138" s="27">
        <f t="shared" si="11"/>
        <v>499.41788397537465</v>
      </c>
    </row>
    <row r="139" spans="1:23" ht="12" customHeight="1" x14ac:dyDescent="0.35">
      <c r="A139" s="7" t="s">
        <v>11</v>
      </c>
      <c r="B139" s="26">
        <f t="shared" si="11"/>
        <v>518.8755006940869</v>
      </c>
      <c r="C139" s="26">
        <f t="shared" si="11"/>
        <v>525.27637847068002</v>
      </c>
      <c r="D139" s="26">
        <f t="shared" si="11"/>
        <v>515.13354815832531</v>
      </c>
      <c r="E139" s="26">
        <f t="shared" si="11"/>
        <v>552.44211614570474</v>
      </c>
      <c r="F139" s="26">
        <f t="shared" si="11"/>
        <v>563.84604001109915</v>
      </c>
      <c r="G139" s="26">
        <f t="shared" si="11"/>
        <v>573.71702684575303</v>
      </c>
      <c r="H139" s="26">
        <f t="shared" si="11"/>
        <v>529.64360872775512</v>
      </c>
      <c r="I139" s="26">
        <f t="shared" si="11"/>
        <v>520.63445985133467</v>
      </c>
      <c r="J139" s="26">
        <f t="shared" si="11"/>
        <v>518.09340338514869</v>
      </c>
      <c r="K139" s="26">
        <f t="shared" si="11"/>
        <v>483.85284774067765</v>
      </c>
      <c r="L139" s="26">
        <f t="shared" si="11"/>
        <v>533.73338193780035</v>
      </c>
      <c r="M139" s="26">
        <f t="shared" si="11"/>
        <v>533.02500173809483</v>
      </c>
      <c r="N139" s="26">
        <f t="shared" si="11"/>
        <v>516.0123892505917</v>
      </c>
      <c r="O139" s="26">
        <f t="shared" si="11"/>
        <v>511.53311193960815</v>
      </c>
      <c r="P139" s="26">
        <f t="shared" si="11"/>
        <v>499.79869075697991</v>
      </c>
      <c r="Q139" s="26">
        <f t="shared" si="11"/>
        <v>500.5495099210807</v>
      </c>
      <c r="R139" s="26">
        <f t="shared" si="11"/>
        <v>486.04366365327593</v>
      </c>
      <c r="S139" s="26">
        <f t="shared" si="11"/>
        <v>493.94058476951255</v>
      </c>
      <c r="T139" s="26">
        <f t="shared" si="11"/>
        <v>489.78745950440498</v>
      </c>
      <c r="U139" s="26">
        <f t="shared" si="11"/>
        <v>466.26380995745984</v>
      </c>
      <c r="V139" s="26">
        <f t="shared" si="11"/>
        <v>460.06676259242352</v>
      </c>
      <c r="W139" s="26">
        <f t="shared" si="11"/>
        <v>450.20608392695135</v>
      </c>
    </row>
    <row r="140" spans="1:23" ht="12" customHeight="1" x14ac:dyDescent="0.35">
      <c r="A140" s="7" t="s">
        <v>12</v>
      </c>
      <c r="B140" s="26">
        <f t="shared" si="11"/>
        <v>590.83400171035896</v>
      </c>
      <c r="C140" s="26">
        <f t="shared" si="11"/>
        <v>608.24490210237559</v>
      </c>
      <c r="D140" s="26">
        <f t="shared" si="11"/>
        <v>606.77633148540428</v>
      </c>
      <c r="E140" s="26">
        <f t="shared" si="11"/>
        <v>643.02824624619893</v>
      </c>
      <c r="F140" s="26">
        <f t="shared" si="11"/>
        <v>645.69898855342217</v>
      </c>
      <c r="G140" s="26">
        <f t="shared" si="11"/>
        <v>646.7012265372573</v>
      </c>
      <c r="H140" s="26">
        <f t="shared" si="11"/>
        <v>624.07641642518979</v>
      </c>
      <c r="I140" s="26">
        <f t="shared" si="11"/>
        <v>596.51708951873957</v>
      </c>
      <c r="J140" s="26">
        <f t="shared" si="11"/>
        <v>624.78276652392674</v>
      </c>
      <c r="K140" s="26">
        <f t="shared" si="11"/>
        <v>614.22640174045694</v>
      </c>
      <c r="L140" s="26">
        <f t="shared" si="11"/>
        <v>646.85695462803733</v>
      </c>
      <c r="M140" s="26">
        <f t="shared" si="11"/>
        <v>669.58785361038349</v>
      </c>
      <c r="N140" s="26">
        <f t="shared" si="11"/>
        <v>655.58823513168386</v>
      </c>
      <c r="O140" s="26">
        <f t="shared" si="11"/>
        <v>656.39547435126474</v>
      </c>
      <c r="P140" s="26">
        <f t="shared" si="11"/>
        <v>613.99113122003803</v>
      </c>
      <c r="Q140" s="26">
        <f t="shared" si="11"/>
        <v>644.65841791373418</v>
      </c>
      <c r="R140" s="26">
        <f t="shared" si="11"/>
        <v>634.82797126394803</v>
      </c>
      <c r="S140" s="26">
        <f t="shared" si="11"/>
        <v>616.69802177487395</v>
      </c>
      <c r="T140" s="26">
        <f t="shared" si="11"/>
        <v>637.99236794251794</v>
      </c>
      <c r="U140" s="26">
        <f t="shared" si="11"/>
        <v>618.95639437384693</v>
      </c>
      <c r="V140" s="26">
        <f t="shared" si="11"/>
        <v>665.60395476253757</v>
      </c>
      <c r="W140" s="26">
        <f t="shared" si="11"/>
        <v>674.12865657474424</v>
      </c>
    </row>
    <row r="141" spans="1:23" ht="12" customHeight="1" x14ac:dyDescent="0.35">
      <c r="A141" s="7" t="s">
        <v>13</v>
      </c>
      <c r="B141" s="26">
        <f t="shared" si="11"/>
        <v>348.07034719933699</v>
      </c>
      <c r="C141" s="26">
        <f t="shared" si="11"/>
        <v>350.91511076940787</v>
      </c>
      <c r="D141" s="26">
        <f t="shared" si="11"/>
        <v>347.68577995248705</v>
      </c>
      <c r="E141" s="26">
        <f t="shared" si="11"/>
        <v>367.93833421632672</v>
      </c>
      <c r="F141" s="26">
        <f t="shared" si="11"/>
        <v>379.20429304212962</v>
      </c>
      <c r="G141" s="26">
        <f t="shared" si="11"/>
        <v>377.08922398143147</v>
      </c>
      <c r="H141" s="26">
        <f t="shared" si="11"/>
        <v>366.38127975074434</v>
      </c>
      <c r="I141" s="26">
        <f t="shared" si="11"/>
        <v>353.54415316405994</v>
      </c>
      <c r="J141" s="26">
        <f t="shared" si="11"/>
        <v>368.06807325212253</v>
      </c>
      <c r="K141" s="26">
        <f t="shared" si="11"/>
        <v>400.48753553422023</v>
      </c>
      <c r="L141" s="26">
        <f t="shared" si="11"/>
        <v>380.6191182188681</v>
      </c>
      <c r="M141" s="26">
        <f t="shared" si="11"/>
        <v>374.18338745729784</v>
      </c>
      <c r="N141" s="26">
        <f t="shared" si="11"/>
        <v>376.49644480420932</v>
      </c>
      <c r="O141" s="26">
        <f t="shared" si="11"/>
        <v>366.55812112033834</v>
      </c>
      <c r="P141" s="26">
        <f t="shared" si="11"/>
        <v>366.95989285652229</v>
      </c>
      <c r="Q141" s="26">
        <f t="shared" si="11"/>
        <v>358.93358843297671</v>
      </c>
      <c r="R141" s="26">
        <f t="shared" si="11"/>
        <v>347.84333249501054</v>
      </c>
      <c r="S141" s="26">
        <f t="shared" si="11"/>
        <v>348.01346275041516</v>
      </c>
      <c r="T141" s="26">
        <f t="shared" si="11"/>
        <v>334.21329761974408</v>
      </c>
      <c r="U141" s="26">
        <f t="shared" si="11"/>
        <v>322.99473899518165</v>
      </c>
      <c r="V141" s="26">
        <f t="shared" si="11"/>
        <v>344.74046707251927</v>
      </c>
      <c r="W141" s="26">
        <f t="shared" si="11"/>
        <v>327.67068745967509</v>
      </c>
    </row>
    <row r="142" spans="1:23" ht="12" customHeight="1" x14ac:dyDescent="0.35">
      <c r="A142" s="6" t="s">
        <v>14</v>
      </c>
      <c r="B142" s="27">
        <f t="shared" si="11"/>
        <v>321.53549751605391</v>
      </c>
      <c r="C142" s="27">
        <f t="shared" si="11"/>
        <v>313.68505482299844</v>
      </c>
      <c r="D142" s="27">
        <f t="shared" si="11"/>
        <v>330.55738747694573</v>
      </c>
      <c r="E142" s="27">
        <f t="shared" si="11"/>
        <v>366.6431416276356</v>
      </c>
      <c r="F142" s="27">
        <f t="shared" si="11"/>
        <v>369.89301930090892</v>
      </c>
      <c r="G142" s="27">
        <f t="shared" si="11"/>
        <v>385.58498782425556</v>
      </c>
      <c r="H142" s="27">
        <f t="shared" si="11"/>
        <v>395.17728407170119</v>
      </c>
      <c r="I142" s="27">
        <f t="shared" si="11"/>
        <v>408.17297863704647</v>
      </c>
      <c r="J142" s="27">
        <f t="shared" si="11"/>
        <v>413.48470014719067</v>
      </c>
      <c r="K142" s="27">
        <f t="shared" si="11"/>
        <v>424.79103448079877</v>
      </c>
      <c r="L142" s="27">
        <f t="shared" si="11"/>
        <v>441.41824429969307</v>
      </c>
      <c r="M142" s="27">
        <f t="shared" si="11"/>
        <v>437.35440480079694</v>
      </c>
      <c r="N142" s="27">
        <f t="shared" si="11"/>
        <v>447.64838732540096</v>
      </c>
      <c r="O142" s="27">
        <f t="shared" si="11"/>
        <v>470.6339596759974</v>
      </c>
      <c r="P142" s="27">
        <f t="shared" si="11"/>
        <v>458.88471985895058</v>
      </c>
      <c r="Q142" s="27">
        <f t="shared" si="11"/>
        <v>457.37082687467057</v>
      </c>
      <c r="R142" s="27">
        <f t="shared" si="11"/>
        <v>455.6646471606324</v>
      </c>
      <c r="S142" s="27">
        <f t="shared" si="11"/>
        <v>463.55108151053702</v>
      </c>
      <c r="T142" s="27">
        <f t="shared" si="11"/>
        <v>452.21548167631977</v>
      </c>
      <c r="U142" s="27">
        <f t="shared" si="11"/>
        <v>461.09713851841599</v>
      </c>
      <c r="V142" s="27">
        <f t="shared" si="11"/>
        <v>486.11146204584679</v>
      </c>
      <c r="W142" s="27">
        <f t="shared" si="11"/>
        <v>506.66702427492658</v>
      </c>
    </row>
    <row r="143" spans="1:23" ht="12" customHeight="1" x14ac:dyDescent="0.35">
      <c r="A143" s="7" t="s">
        <v>15</v>
      </c>
      <c r="B143" s="26">
        <f t="shared" si="11"/>
        <v>2972.4937049476157</v>
      </c>
      <c r="C143" s="26">
        <f t="shared" si="11"/>
        <v>2918.1182635762775</v>
      </c>
      <c r="D143" s="26">
        <f t="shared" si="11"/>
        <v>3186.1718930162492</v>
      </c>
      <c r="E143" s="26">
        <f t="shared" si="11"/>
        <v>3513.6332069554028</v>
      </c>
      <c r="F143" s="26">
        <f t="shared" si="11"/>
        <v>3692.7992564395463</v>
      </c>
      <c r="G143" s="26">
        <f t="shared" si="11"/>
        <v>3942.8196330325291</v>
      </c>
      <c r="H143" s="26">
        <f t="shared" si="11"/>
        <v>4069.5494022751132</v>
      </c>
      <c r="I143" s="26">
        <f t="shared" si="11"/>
        <v>4247.7070677919237</v>
      </c>
      <c r="J143" s="26">
        <f t="shared" si="11"/>
        <v>4646.7107388026989</v>
      </c>
      <c r="K143" s="26">
        <f t="shared" si="11"/>
        <v>6356.112491723291</v>
      </c>
      <c r="L143" s="26">
        <f t="shared" si="11"/>
        <v>3809.7395119777211</v>
      </c>
      <c r="M143" s="26">
        <f t="shared" si="11"/>
        <v>4211.5667444162291</v>
      </c>
      <c r="N143" s="26">
        <f t="shared" si="11"/>
        <v>4899.8236760859672</v>
      </c>
      <c r="O143" s="26">
        <f t="shared" si="11"/>
        <v>4732.6720510125378</v>
      </c>
      <c r="P143" s="26">
        <f t="shared" si="11"/>
        <v>4249.3119505931536</v>
      </c>
      <c r="Q143" s="26">
        <f t="shared" si="11"/>
        <v>3764.964897961549</v>
      </c>
      <c r="R143" s="26">
        <f t="shared" si="11"/>
        <v>3932.8096497973033</v>
      </c>
      <c r="S143" s="26">
        <f t="shared" si="11"/>
        <v>3846.18987990697</v>
      </c>
      <c r="T143" s="26">
        <f t="shared" si="11"/>
        <v>3298.3441957958044</v>
      </c>
      <c r="U143" s="26">
        <f t="shared" si="11"/>
        <v>4176.4640854639993</v>
      </c>
      <c r="V143" s="26">
        <f t="shared" si="11"/>
        <v>4954.1198947831735</v>
      </c>
      <c r="W143" s="26">
        <f t="shared" si="11"/>
        <v>4958.7384826475582</v>
      </c>
    </row>
    <row r="144" spans="1:23" ht="12" customHeight="1" x14ac:dyDescent="0.35">
      <c r="A144" s="7" t="s">
        <v>16</v>
      </c>
      <c r="B144" s="26">
        <f t="shared" si="11"/>
        <v>382.03598037231114</v>
      </c>
      <c r="C144" s="26">
        <f t="shared" si="11"/>
        <v>370.00072768712067</v>
      </c>
      <c r="D144" s="26">
        <f t="shared" si="11"/>
        <v>393.45157731755552</v>
      </c>
      <c r="E144" s="26">
        <f t="shared" si="11"/>
        <v>433.36201393277594</v>
      </c>
      <c r="F144" s="26">
        <f t="shared" si="11"/>
        <v>445.14423401397971</v>
      </c>
      <c r="G144" s="26">
        <f t="shared" si="11"/>
        <v>482.97993291780961</v>
      </c>
      <c r="H144" s="26">
        <f t="shared" si="11"/>
        <v>490.44644547303045</v>
      </c>
      <c r="I144" s="26">
        <f t="shared" si="11"/>
        <v>493.15430954315912</v>
      </c>
      <c r="J144" s="26">
        <f t="shared" si="11"/>
        <v>504.97240534336487</v>
      </c>
      <c r="K144" s="26">
        <f t="shared" si="11"/>
        <v>505.91091636455752</v>
      </c>
      <c r="L144" s="26">
        <f t="shared" si="11"/>
        <v>531.03624252170971</v>
      </c>
      <c r="M144" s="26">
        <f t="shared" si="11"/>
        <v>508.52338391908603</v>
      </c>
      <c r="N144" s="26">
        <f t="shared" si="11"/>
        <v>503.44148294196975</v>
      </c>
      <c r="O144" s="26">
        <f t="shared" ref="O144:W144" si="12">IF(O71=0,"",O71/O19*1000)</f>
        <v>524.05147183900954</v>
      </c>
      <c r="P144" s="26">
        <f t="shared" si="12"/>
        <v>498.45632844942406</v>
      </c>
      <c r="Q144" s="26">
        <f t="shared" si="12"/>
        <v>491.90465257098202</v>
      </c>
      <c r="R144" s="26">
        <f t="shared" si="12"/>
        <v>483.89303122156213</v>
      </c>
      <c r="S144" s="26">
        <f t="shared" si="12"/>
        <v>484.04721589794525</v>
      </c>
      <c r="T144" s="26">
        <f t="shared" si="12"/>
        <v>455.6576575146521</v>
      </c>
      <c r="U144" s="26">
        <f t="shared" si="12"/>
        <v>451.26281608146439</v>
      </c>
      <c r="V144" s="26">
        <f t="shared" si="12"/>
        <v>462.43213534837821</v>
      </c>
      <c r="W144" s="26">
        <f t="shared" si="12"/>
        <v>495.5455014114375</v>
      </c>
    </row>
    <row r="145" spans="1:23" ht="12" customHeight="1" x14ac:dyDescent="0.35">
      <c r="A145" s="7" t="s">
        <v>17</v>
      </c>
      <c r="B145" s="26">
        <f t="shared" ref="B145:W151" si="13">IF(B72=0,"",B72/B20*1000)</f>
        <v>44.501283470011998</v>
      </c>
      <c r="C145" s="26">
        <f t="shared" si="13"/>
        <v>44.699970957203071</v>
      </c>
      <c r="D145" s="26">
        <f t="shared" si="13"/>
        <v>47.003354015998035</v>
      </c>
      <c r="E145" s="26">
        <f t="shared" si="13"/>
        <v>53.369803358378505</v>
      </c>
      <c r="F145" s="26">
        <f t="shared" si="13"/>
        <v>52.744206678902401</v>
      </c>
      <c r="G145" s="26">
        <f t="shared" si="13"/>
        <v>53.537121355962739</v>
      </c>
      <c r="H145" s="26">
        <f t="shared" si="13"/>
        <v>53.009208384538503</v>
      </c>
      <c r="I145" s="26">
        <f t="shared" si="13"/>
        <v>54.826339708253656</v>
      </c>
      <c r="J145" s="26">
        <f t="shared" si="13"/>
        <v>53.252281707497566</v>
      </c>
      <c r="K145" s="26">
        <f t="shared" si="13"/>
        <v>56.509473892239505</v>
      </c>
      <c r="L145" s="26">
        <f t="shared" si="13"/>
        <v>58.957066848378204</v>
      </c>
      <c r="M145" s="26">
        <f t="shared" si="13"/>
        <v>58.852817730662657</v>
      </c>
      <c r="N145" s="26">
        <f t="shared" si="13"/>
        <v>62.288335633793992</v>
      </c>
      <c r="O145" s="26">
        <f t="shared" si="13"/>
        <v>65.064931298012596</v>
      </c>
      <c r="P145" s="26">
        <f t="shared" si="13"/>
        <v>64.070307582075728</v>
      </c>
      <c r="Q145" s="26">
        <f t="shared" si="13"/>
        <v>63.569461117537656</v>
      </c>
      <c r="R145" s="26">
        <f t="shared" si="13"/>
        <v>65.759521683448114</v>
      </c>
      <c r="S145" s="26">
        <f t="shared" si="13"/>
        <v>66.498250574704585</v>
      </c>
      <c r="T145" s="26">
        <f t="shared" si="13"/>
        <v>67.837610034200651</v>
      </c>
      <c r="U145" s="26">
        <f t="shared" si="13"/>
        <v>63.644260736338623</v>
      </c>
      <c r="V145" s="26">
        <f t="shared" si="13"/>
        <v>66.942031360691601</v>
      </c>
      <c r="W145" s="26">
        <f t="shared" si="13"/>
        <v>76.778498987794137</v>
      </c>
    </row>
    <row r="146" spans="1:23" ht="12" customHeight="1" x14ac:dyDescent="0.35">
      <c r="A146" s="8" t="s">
        <v>18</v>
      </c>
      <c r="B146" s="28">
        <f t="shared" si="13"/>
        <v>131.72035485426721</v>
      </c>
      <c r="C146" s="28">
        <f t="shared" si="13"/>
        <v>132.34820639613676</v>
      </c>
      <c r="D146" s="28">
        <f t="shared" si="13"/>
        <v>134.73373251597138</v>
      </c>
      <c r="E146" s="28">
        <f t="shared" si="13"/>
        <v>135.57751785122878</v>
      </c>
      <c r="F146" s="28">
        <f t="shared" si="13"/>
        <v>133.02735034434653</v>
      </c>
      <c r="G146" s="28">
        <f t="shared" si="13"/>
        <v>128.34525323083116</v>
      </c>
      <c r="H146" s="28">
        <f t="shared" si="13"/>
        <v>123.50731403339454</v>
      </c>
      <c r="I146" s="28">
        <f t="shared" si="13"/>
        <v>122.96907071933948</v>
      </c>
      <c r="J146" s="28">
        <f t="shared" si="13"/>
        <v>122.42142842531693</v>
      </c>
      <c r="K146" s="28">
        <f t="shared" si="13"/>
        <v>117.70082574774823</v>
      </c>
      <c r="L146" s="28">
        <f t="shared" si="13"/>
        <v>120.69507732794615</v>
      </c>
      <c r="M146" s="28">
        <f t="shared" si="13"/>
        <v>120.22046502565036</v>
      </c>
      <c r="N146" s="28">
        <f t="shared" si="13"/>
        <v>121.12449855869652</v>
      </c>
      <c r="O146" s="28">
        <f t="shared" si="13"/>
        <v>119.04107083791193</v>
      </c>
      <c r="P146" s="28">
        <f t="shared" si="13"/>
        <v>117.45295381773012</v>
      </c>
      <c r="Q146" s="28">
        <f t="shared" si="13"/>
        <v>115.43606639028954</v>
      </c>
      <c r="R146" s="28">
        <f t="shared" si="13"/>
        <v>116.9869368376625</v>
      </c>
      <c r="S146" s="28">
        <f t="shared" si="13"/>
        <v>117.23636786090441</v>
      </c>
      <c r="T146" s="28">
        <f t="shared" si="13"/>
        <v>118.42965025500142</v>
      </c>
      <c r="U146" s="28">
        <f t="shared" si="13"/>
        <v>115.6813854614053</v>
      </c>
      <c r="V146" s="28">
        <f t="shared" si="13"/>
        <v>117.22826197195215</v>
      </c>
      <c r="W146" s="28">
        <f t="shared" si="13"/>
        <v>125.73916970369694</v>
      </c>
    </row>
    <row r="147" spans="1:23" ht="12" customHeight="1" x14ac:dyDescent="0.35">
      <c r="A147" s="5" t="s">
        <v>19</v>
      </c>
      <c r="B147" s="26">
        <f t="shared" si="13"/>
        <v>42.781759830658061</v>
      </c>
      <c r="C147" s="26">
        <f t="shared" si="13"/>
        <v>41.849956359804878</v>
      </c>
      <c r="D147" s="26">
        <f t="shared" si="13"/>
        <v>40.087486950549064</v>
      </c>
      <c r="E147" s="26">
        <f t="shared" si="13"/>
        <v>42.374816256102022</v>
      </c>
      <c r="F147" s="26">
        <f t="shared" si="13"/>
        <v>43.406404274449272</v>
      </c>
      <c r="G147" s="26">
        <f t="shared" si="13"/>
        <v>41.60057869760859</v>
      </c>
      <c r="H147" s="26">
        <f t="shared" si="13"/>
        <v>37.812095297740441</v>
      </c>
      <c r="I147" s="26">
        <f t="shared" si="13"/>
        <v>36.616735261600489</v>
      </c>
      <c r="J147" s="26">
        <f t="shared" si="13"/>
        <v>37.010976722049861</v>
      </c>
      <c r="K147" s="26">
        <f t="shared" si="13"/>
        <v>39.228951495008772</v>
      </c>
      <c r="L147" s="26">
        <f t="shared" si="13"/>
        <v>34.919438571294485</v>
      </c>
      <c r="M147" s="26">
        <f t="shared" si="13"/>
        <v>31.582175967024082</v>
      </c>
      <c r="N147" s="26">
        <f t="shared" si="13"/>
        <v>32.239641144314447</v>
      </c>
      <c r="O147" s="26">
        <f t="shared" si="13"/>
        <v>32.415197771677263</v>
      </c>
      <c r="P147" s="26">
        <f t="shared" si="13"/>
        <v>28.370332708784439</v>
      </c>
      <c r="Q147" s="26">
        <f t="shared" si="13"/>
        <v>26.923559010773879</v>
      </c>
      <c r="R147" s="26">
        <f t="shared" si="13"/>
        <v>26.860660608271424</v>
      </c>
      <c r="S147" s="26">
        <f t="shared" si="13"/>
        <v>26.100317336551129</v>
      </c>
      <c r="T147" s="26">
        <f t="shared" si="13"/>
        <v>26.838077894969604</v>
      </c>
      <c r="U147" s="26">
        <f t="shared" si="13"/>
        <v>26.400231990026484</v>
      </c>
      <c r="V147" s="26">
        <f t="shared" si="13"/>
        <v>29.232020814124251</v>
      </c>
      <c r="W147" s="26">
        <f t="shared" si="13"/>
        <v>28.974596433988165</v>
      </c>
    </row>
    <row r="148" spans="1:23" ht="12" customHeight="1" x14ac:dyDescent="0.35">
      <c r="A148" s="5" t="s">
        <v>20</v>
      </c>
      <c r="B148" s="26">
        <f t="shared" si="13"/>
        <v>32.013687204452985</v>
      </c>
      <c r="C148" s="26">
        <f t="shared" si="13"/>
        <v>33.481291760016028</v>
      </c>
      <c r="D148" s="26">
        <f t="shared" si="13"/>
        <v>33.898329717486774</v>
      </c>
      <c r="E148" s="26">
        <f t="shared" si="13"/>
        <v>37.655582567334562</v>
      </c>
      <c r="F148" s="26">
        <f t="shared" si="13"/>
        <v>36.897174862021181</v>
      </c>
      <c r="G148" s="26">
        <f t="shared" si="13"/>
        <v>36.105131029416476</v>
      </c>
      <c r="H148" s="26">
        <f t="shared" si="13"/>
        <v>33.948643212890843</v>
      </c>
      <c r="I148" s="26">
        <f t="shared" si="13"/>
        <v>32.251522825185688</v>
      </c>
      <c r="J148" s="26">
        <f t="shared" si="13"/>
        <v>34.095683591836647</v>
      </c>
      <c r="K148" s="26">
        <f t="shared" si="13"/>
        <v>35.940107263956158</v>
      </c>
      <c r="L148" s="26">
        <f t="shared" si="13"/>
        <v>35.506597023197841</v>
      </c>
      <c r="M148" s="26">
        <f t="shared" si="13"/>
        <v>32.876566765065029</v>
      </c>
      <c r="N148" s="26">
        <f t="shared" si="13"/>
        <v>32.710539740983954</v>
      </c>
      <c r="O148" s="26">
        <f t="shared" si="13"/>
        <v>33.59539103221983</v>
      </c>
      <c r="P148" s="26">
        <f t="shared" si="13"/>
        <v>31.554971060924789</v>
      </c>
      <c r="Q148" s="26">
        <f t="shared" si="13"/>
        <v>30.531472431429666</v>
      </c>
      <c r="R148" s="26">
        <f t="shared" si="13"/>
        <v>30.328894023960025</v>
      </c>
      <c r="S148" s="26">
        <f t="shared" si="13"/>
        <v>30.125723070719616</v>
      </c>
      <c r="T148" s="26">
        <f t="shared" si="13"/>
        <v>29.380836072311471</v>
      </c>
      <c r="U148" s="26">
        <f t="shared" si="13"/>
        <v>29.079047435680167</v>
      </c>
      <c r="V148" s="26">
        <f t="shared" si="13"/>
        <v>29.218421981251293</v>
      </c>
      <c r="W148" s="26">
        <f t="shared" si="13"/>
        <v>29.519256334306398</v>
      </c>
    </row>
    <row r="149" spans="1:23" ht="12" customHeight="1" x14ac:dyDescent="0.35">
      <c r="A149" s="5" t="s">
        <v>21</v>
      </c>
      <c r="B149" s="26">
        <f t="shared" si="13"/>
        <v>103.22988570121713</v>
      </c>
      <c r="C149" s="26">
        <f t="shared" si="13"/>
        <v>101.960208151511</v>
      </c>
      <c r="D149" s="26">
        <f t="shared" si="13"/>
        <v>105.91575251106613</v>
      </c>
      <c r="E149" s="26">
        <f t="shared" si="13"/>
        <v>110.51549896555092</v>
      </c>
      <c r="F149" s="26">
        <f t="shared" si="13"/>
        <v>108.23895091441845</v>
      </c>
      <c r="G149" s="26">
        <f t="shared" si="13"/>
        <v>93.7921512074481</v>
      </c>
      <c r="H149" s="26">
        <f t="shared" si="13"/>
        <v>87.072392026222289</v>
      </c>
      <c r="I149" s="26">
        <f t="shared" si="13"/>
        <v>78.761382371411045</v>
      </c>
      <c r="J149" s="26">
        <f t="shared" si="13"/>
        <v>73.776272626744429</v>
      </c>
      <c r="K149" s="26">
        <f t="shared" si="13"/>
        <v>73.572826684531663</v>
      </c>
      <c r="L149" s="26">
        <f t="shared" si="13"/>
        <v>69.265196416860121</v>
      </c>
      <c r="M149" s="26">
        <f t="shared" si="13"/>
        <v>61.803524648485727</v>
      </c>
      <c r="N149" s="26">
        <f t="shared" si="13"/>
        <v>62.692661169633666</v>
      </c>
      <c r="O149" s="26">
        <f t="shared" si="13"/>
        <v>61.096521775308652</v>
      </c>
      <c r="P149" s="26">
        <f t="shared" si="13"/>
        <v>57.728719467414074</v>
      </c>
      <c r="Q149" s="26">
        <f t="shared" si="13"/>
        <v>57.269464265562775</v>
      </c>
      <c r="R149" s="26">
        <f t="shared" si="13"/>
        <v>56.55360433332261</v>
      </c>
      <c r="S149" s="26">
        <f t="shared" si="13"/>
        <v>56.254919671339721</v>
      </c>
      <c r="T149" s="26">
        <f t="shared" si="13"/>
        <v>56.061305827116101</v>
      </c>
      <c r="U149" s="26">
        <f t="shared" si="13"/>
        <v>55.61052050860873</v>
      </c>
      <c r="V149" s="26">
        <f t="shared" si="13"/>
        <v>58.373479610767887</v>
      </c>
      <c r="W149" s="26">
        <f t="shared" si="13"/>
        <v>55.716544641725669</v>
      </c>
    </row>
    <row r="150" spans="1:23" ht="12" customHeight="1" x14ac:dyDescent="0.35">
      <c r="A150" s="5" t="s">
        <v>22</v>
      </c>
      <c r="B150" s="26">
        <f t="shared" si="13"/>
        <v>155.71994249328159</v>
      </c>
      <c r="C150" s="26">
        <f t="shared" si="13"/>
        <v>149.36469369023806</v>
      </c>
      <c r="D150" s="26">
        <f t="shared" si="13"/>
        <v>157.39943783723891</v>
      </c>
      <c r="E150" s="26">
        <f t="shared" si="13"/>
        <v>173.26695378119373</v>
      </c>
      <c r="F150" s="26">
        <f t="shared" si="13"/>
        <v>189.65978100374761</v>
      </c>
      <c r="G150" s="26">
        <f t="shared" si="13"/>
        <v>184.05304269981892</v>
      </c>
      <c r="H150" s="26">
        <f t="shared" si="13"/>
        <v>169.82600109922583</v>
      </c>
      <c r="I150" s="26">
        <f t="shared" si="13"/>
        <v>174.8069613496709</v>
      </c>
      <c r="J150" s="26">
        <f t="shared" si="13"/>
        <v>191.41379190462482</v>
      </c>
      <c r="K150" s="26">
        <f t="shared" si="13"/>
        <v>214.43137637246662</v>
      </c>
      <c r="L150" s="26">
        <f t="shared" si="13"/>
        <v>218.6378184362764</v>
      </c>
      <c r="M150" s="26">
        <f t="shared" si="13"/>
        <v>224.95346932596357</v>
      </c>
      <c r="N150" s="26">
        <f t="shared" si="13"/>
        <v>243.72357443584224</v>
      </c>
      <c r="O150" s="26">
        <f t="shared" si="13"/>
        <v>254.45298575628084</v>
      </c>
      <c r="P150" s="26">
        <f t="shared" si="13"/>
        <v>245.03830676914356</v>
      </c>
      <c r="Q150" s="26">
        <f t="shared" si="13"/>
        <v>242.40479735048902</v>
      </c>
      <c r="R150" s="26">
        <f t="shared" si="13"/>
        <v>254.09199055431404</v>
      </c>
      <c r="S150" s="26">
        <f t="shared" si="13"/>
        <v>249.53256376627638</v>
      </c>
      <c r="T150" s="26">
        <f t="shared" si="13"/>
        <v>249.15069649026779</v>
      </c>
      <c r="U150" s="26">
        <f t="shared" si="13"/>
        <v>238.33551895150285</v>
      </c>
      <c r="V150" s="26">
        <f t="shared" si="13"/>
        <v>241.55493980226922</v>
      </c>
      <c r="W150" s="26">
        <f t="shared" si="13"/>
        <v>213.0824942542572</v>
      </c>
    </row>
    <row r="151" spans="1:23" ht="12" customHeight="1" x14ac:dyDescent="0.35">
      <c r="A151" s="9" t="s">
        <v>23</v>
      </c>
      <c r="B151" s="29">
        <f t="shared" si="13"/>
        <v>40.173877171590739</v>
      </c>
      <c r="C151" s="29">
        <f t="shared" si="13"/>
        <v>39.970499541380754</v>
      </c>
      <c r="D151" s="29">
        <f t="shared" si="13"/>
        <v>39.493829877053138</v>
      </c>
      <c r="E151" s="29">
        <f t="shared" si="13"/>
        <v>34.693327223097832</v>
      </c>
      <c r="F151" s="29">
        <f t="shared" si="13"/>
        <v>33.393705801372946</v>
      </c>
      <c r="G151" s="29">
        <f t="shared" si="13"/>
        <v>37.869642382456504</v>
      </c>
      <c r="H151" s="29">
        <f t="shared" si="13"/>
        <v>33.729118655479517</v>
      </c>
      <c r="I151" s="29">
        <f t="shared" si="13"/>
        <v>33.96046303022905</v>
      </c>
      <c r="J151" s="29">
        <f t="shared" si="13"/>
        <v>32.54472788019725</v>
      </c>
      <c r="K151" s="29">
        <f t="shared" si="13"/>
        <v>29.368243686197584</v>
      </c>
      <c r="L151" s="29">
        <f t="shared" si="13"/>
        <v>33.582143894306014</v>
      </c>
      <c r="M151" s="29">
        <f t="shared" si="13"/>
        <v>27.81208477295878</v>
      </c>
      <c r="N151" s="29">
        <f t="shared" si="13"/>
        <v>29.023713911549077</v>
      </c>
      <c r="O151" s="29">
        <f t="shared" si="13"/>
        <v>29.42112012792655</v>
      </c>
      <c r="P151" s="29">
        <f t="shared" si="13"/>
        <v>29.035432879848056</v>
      </c>
      <c r="Q151" s="29">
        <f t="shared" si="13"/>
        <v>28.316731621999466</v>
      </c>
      <c r="R151" s="29">
        <f t="shared" si="13"/>
        <v>28.513868910499458</v>
      </c>
      <c r="S151" s="29">
        <f t="shared" si="13"/>
        <v>28.132971861622668</v>
      </c>
      <c r="T151" s="29">
        <f t="shared" si="13"/>
        <v>28.147127856291249</v>
      </c>
      <c r="U151" s="29">
        <f t="shared" si="13"/>
        <v>28.38018716610301</v>
      </c>
      <c r="V151" s="29">
        <f t="shared" si="13"/>
        <v>27.811276528696265</v>
      </c>
      <c r="W151" s="29">
        <f t="shared" si="13"/>
        <v>28.814672930273261</v>
      </c>
    </row>
    <row r="152" spans="1:23" ht="12" customHeight="1" x14ac:dyDescent="0.35">
      <c r="A152" s="4"/>
    </row>
    <row r="153" spans="1:23" ht="12" customHeight="1" x14ac:dyDescent="0.35">
      <c r="A153" s="23" t="s">
        <v>61</v>
      </c>
      <c r="B153" s="37">
        <f t="shared" ref="B153:W153" si="14">IF(B51=0,"",B98/B51)</f>
        <v>2.9368353624059274</v>
      </c>
      <c r="C153" s="37">
        <f t="shared" si="14"/>
        <v>2.8636555241965009</v>
      </c>
      <c r="D153" s="37">
        <f t="shared" si="14"/>
        <v>2.8409025989083037</v>
      </c>
      <c r="E153" s="37">
        <f t="shared" si="14"/>
        <v>2.8298109510071194</v>
      </c>
      <c r="F153" s="37">
        <f t="shared" si="14"/>
        <v>2.8209459652247237</v>
      </c>
      <c r="G153" s="37">
        <f t="shared" si="14"/>
        <v>2.7824785441650852</v>
      </c>
      <c r="H153" s="37">
        <f t="shared" si="14"/>
        <v>2.8029994769812312</v>
      </c>
      <c r="I153" s="37">
        <f t="shared" si="14"/>
        <v>2.7731284233184419</v>
      </c>
      <c r="J153" s="37">
        <f t="shared" si="14"/>
        <v>2.7289488301291018</v>
      </c>
      <c r="K153" s="37">
        <f t="shared" si="14"/>
        <v>2.5637378750543967</v>
      </c>
      <c r="L153" s="37">
        <f t="shared" si="14"/>
        <v>2.5906605010451909</v>
      </c>
      <c r="M153" s="37">
        <f t="shared" si="14"/>
        <v>2.5847241315067886</v>
      </c>
      <c r="N153" s="37">
        <f t="shared" si="14"/>
        <v>2.5244026210418902</v>
      </c>
      <c r="O153" s="37">
        <f t="shared" si="14"/>
        <v>2.5109099068503475</v>
      </c>
      <c r="P153" s="37">
        <f t="shared" si="14"/>
        <v>2.5356289937795884</v>
      </c>
      <c r="Q153" s="37">
        <f t="shared" si="14"/>
        <v>2.5286694455468868</v>
      </c>
      <c r="R153" s="37">
        <f t="shared" si="14"/>
        <v>2.5038316275850687</v>
      </c>
      <c r="S153" s="37">
        <f t="shared" si="14"/>
        <v>2.5215816354284164</v>
      </c>
      <c r="T153" s="37">
        <f t="shared" si="14"/>
        <v>2.5191042331159328</v>
      </c>
      <c r="U153" s="37">
        <f t="shared" si="14"/>
        <v>2.4766310328282981</v>
      </c>
      <c r="V153" s="37">
        <f t="shared" si="14"/>
        <v>2.4408359713918735</v>
      </c>
      <c r="W153" s="37">
        <f t="shared" si="14"/>
        <v>2.4649432212574953</v>
      </c>
    </row>
    <row r="154" spans="1:23" ht="12" customHeight="1" x14ac:dyDescent="0.35">
      <c r="A154" s="18" t="s">
        <v>1</v>
      </c>
      <c r="B154" s="38">
        <f>[1]ISI!B65</f>
        <v>5.6704891861488473</v>
      </c>
      <c r="C154" s="38">
        <f>[1]ISI!C65</f>
        <v>5.4728043068280545</v>
      </c>
      <c r="D154" s="38">
        <f>[1]ISI!D65</f>
        <v>5.6214000679304936</v>
      </c>
      <c r="E154" s="38">
        <f>[1]ISI!E65</f>
        <v>5.601274186665826</v>
      </c>
      <c r="F154" s="38">
        <f>[1]ISI!F65</f>
        <v>5.6267754110165367</v>
      </c>
      <c r="G154" s="38">
        <f>[1]ISI!G65</f>
        <v>5.5922185755807323</v>
      </c>
      <c r="H154" s="38">
        <f>[1]ISI!H65</f>
        <v>5.6497524928260896</v>
      </c>
      <c r="I154" s="38">
        <f>[1]ISI!I65</f>
        <v>5.5667475607217014</v>
      </c>
      <c r="J154" s="38">
        <f>[1]ISI!J65</f>
        <v>5.44336178171603</v>
      </c>
      <c r="K154" s="38">
        <f>[1]ISI!K65</f>
        <v>5.1082336337656358</v>
      </c>
      <c r="L154" s="38">
        <f>[1]ISI!L65</f>
        <v>5.3610700455726441</v>
      </c>
      <c r="M154" s="38">
        <f>[1]ISI!M65</f>
        <v>5.0817651820678122</v>
      </c>
      <c r="N154" s="38">
        <f>[1]ISI!N65</f>
        <v>4.9976669326079968</v>
      </c>
      <c r="O154" s="38">
        <f>[1]ISI!O65</f>
        <v>5.2047589858829992</v>
      </c>
      <c r="P154" s="38">
        <f>[1]ISI!P65</f>
        <v>5.3200746284291931</v>
      </c>
      <c r="Q154" s="38">
        <f>[1]ISI!Q65</f>
        <v>5.3107496190137828</v>
      </c>
      <c r="R154" s="38">
        <f>[1]ISI!R65</f>
        <v>5.3167710856705614</v>
      </c>
      <c r="S154" s="38">
        <f>[1]ISI!S65</f>
        <v>5.3887387592580387</v>
      </c>
      <c r="T154" s="38">
        <f>[1]ISI!T65</f>
        <v>5.3718295405723735</v>
      </c>
      <c r="U154" s="38">
        <f>[1]ISI!U65</f>
        <v>5.344587617129271</v>
      </c>
      <c r="V154" s="38">
        <f>[1]ISI!V65</f>
        <v>5.1490168207963887</v>
      </c>
      <c r="W154" s="38">
        <f>[1]ISI!W65</f>
        <v>5.3527142413023885</v>
      </c>
    </row>
    <row r="155" spans="1:23" ht="12" customHeight="1" x14ac:dyDescent="0.35">
      <c r="A155" s="7" t="s">
        <v>48</v>
      </c>
      <c r="B155" s="39">
        <f>[1]ISI!B66</f>
        <v>6.9701872168247334</v>
      </c>
      <c r="C155" s="39">
        <f>[1]ISI!C66</f>
        <v>6.8138406565798038</v>
      </c>
      <c r="D155" s="39">
        <f>[1]ISI!D66</f>
        <v>7.0010050542545086</v>
      </c>
      <c r="E155" s="39">
        <f>[1]ISI!E66</f>
        <v>6.9823286375238443</v>
      </c>
      <c r="F155" s="39">
        <f>[1]ISI!F66</f>
        <v>7.0704199389686329</v>
      </c>
      <c r="G155" s="39">
        <f>[1]ISI!G66</f>
        <v>7.0455913575053986</v>
      </c>
      <c r="H155" s="39">
        <f>[1]ISI!H66</f>
        <v>7.1808515260795422</v>
      </c>
      <c r="I155" s="39">
        <f>[1]ISI!I66</f>
        <v>7.119325804920221</v>
      </c>
      <c r="J155" s="39">
        <f>[1]ISI!J66</f>
        <v>7.0631760142480919</v>
      </c>
      <c r="K155" s="39">
        <f>[1]ISI!K66</f>
        <v>6.7415701612196868</v>
      </c>
      <c r="L155" s="39">
        <f>[1]ISI!L66</f>
        <v>6.9372180560483256</v>
      </c>
      <c r="M155" s="39">
        <f>[1]ISI!M66</f>
        <v>6.5506248777496241</v>
      </c>
      <c r="N155" s="39">
        <f>[1]ISI!N66</f>
        <v>6.4585840589004411</v>
      </c>
      <c r="O155" s="39">
        <f>[1]ISI!O66</f>
        <v>6.6834343320139542</v>
      </c>
      <c r="P155" s="39">
        <f>[1]ISI!P66</f>
        <v>6.8244723058711507</v>
      </c>
      <c r="Q155" s="39">
        <f>[1]ISI!Q66</f>
        <v>6.8291161068505941</v>
      </c>
      <c r="R155" s="39">
        <f>[1]ISI!R66</f>
        <v>6.824334987907732</v>
      </c>
      <c r="S155" s="39">
        <f>[1]ISI!S66</f>
        <v>6.9971628257075613</v>
      </c>
      <c r="T155" s="39">
        <f>[1]ISI!T66</f>
        <v>7.0504750031086942</v>
      </c>
      <c r="U155" s="39">
        <f>[1]ISI!U66</f>
        <v>7.0627886551585686</v>
      </c>
      <c r="V155" s="39">
        <f>[1]ISI!V66</f>
        <v>6.8625889307723691</v>
      </c>
      <c r="W155" s="39">
        <f>[1]ISI!W66</f>
        <v>7.167851908530861</v>
      </c>
    </row>
    <row r="156" spans="1:23" ht="12" customHeight="1" x14ac:dyDescent="0.35">
      <c r="A156" s="7" t="s">
        <v>49</v>
      </c>
      <c r="B156" s="39">
        <f>[1]ISI!B67</f>
        <v>1.7829850771325575</v>
      </c>
      <c r="C156" s="39">
        <f>[1]ISI!C67</f>
        <v>1.7339327431295262</v>
      </c>
      <c r="D156" s="39">
        <f>[1]ISI!D67</f>
        <v>1.7093228579317625</v>
      </c>
      <c r="E156" s="39">
        <f>[1]ISI!E67</f>
        <v>1.6823015503063281</v>
      </c>
      <c r="F156" s="39">
        <f>[1]ISI!F67</f>
        <v>1.6688434888811952</v>
      </c>
      <c r="G156" s="39">
        <f>[1]ISI!G67</f>
        <v>1.6637467834949651</v>
      </c>
      <c r="H156" s="39">
        <f>[1]ISI!H67</f>
        <v>1.6873628330263046</v>
      </c>
      <c r="I156" s="39">
        <f>[1]ISI!I67</f>
        <v>1.655566341583538</v>
      </c>
      <c r="J156" s="39">
        <f>[1]ISI!J67</f>
        <v>1.6065347894402324</v>
      </c>
      <c r="K156" s="39">
        <f>[1]ISI!K67</f>
        <v>1.5204837704384253</v>
      </c>
      <c r="L156" s="39">
        <f>[1]ISI!L67</f>
        <v>1.5528496753512651</v>
      </c>
      <c r="M156" s="39">
        <f>[1]ISI!M67</f>
        <v>1.5293969020501554</v>
      </c>
      <c r="N156" s="39">
        <f>[1]ISI!N67</f>
        <v>1.4983571383451861</v>
      </c>
      <c r="O156" s="39">
        <f>[1]ISI!O67</f>
        <v>1.4724802140679392</v>
      </c>
      <c r="P156" s="39">
        <f>[1]ISI!P67</f>
        <v>1.5149537241024091</v>
      </c>
      <c r="Q156" s="39">
        <f>[1]ISI!Q67</f>
        <v>1.5109084405161599</v>
      </c>
      <c r="R156" s="39">
        <f>[1]ISI!R67</f>
        <v>1.4747280689956237</v>
      </c>
      <c r="S156" s="39">
        <f>[1]ISI!S67</f>
        <v>1.4537067308382736</v>
      </c>
      <c r="T156" s="39">
        <f>[1]ISI!T67</f>
        <v>1.4655344802558208</v>
      </c>
      <c r="U156" s="39">
        <f>[1]ISI!U67</f>
        <v>1.4198449456259363</v>
      </c>
      <c r="V156" s="39">
        <f>[1]ISI!V67</f>
        <v>1.3999196347175518</v>
      </c>
      <c r="W156" s="39">
        <f>[1]ISI!W67</f>
        <v>1.3956363367760884</v>
      </c>
    </row>
    <row r="157" spans="1:23" ht="12" customHeight="1" x14ac:dyDescent="0.35">
      <c r="A157" s="6" t="s">
        <v>2</v>
      </c>
      <c r="B157" s="40">
        <f>[1]NFM!B96</f>
        <v>1.8558675919390237</v>
      </c>
      <c r="C157" s="40">
        <f>[1]NFM!C96</f>
        <v>1.7942561894800519</v>
      </c>
      <c r="D157" s="40">
        <f>[1]NFM!D96</f>
        <v>1.8110060018162224</v>
      </c>
      <c r="E157" s="40">
        <f>[1]NFM!E96</f>
        <v>1.7815206163209962</v>
      </c>
      <c r="F157" s="40">
        <f>[1]NFM!F96</f>
        <v>1.7204492920345591</v>
      </c>
      <c r="G157" s="40">
        <f>[1]NFM!G96</f>
        <v>1.7187224059708504</v>
      </c>
      <c r="H157" s="40">
        <f>[1]NFM!H96</f>
        <v>1.7084452829175187</v>
      </c>
      <c r="I157" s="40">
        <f>[1]NFM!I96</f>
        <v>1.6818593649412013</v>
      </c>
      <c r="J157" s="40">
        <f>[1]NFM!J96</f>
        <v>1.7114476098573277</v>
      </c>
      <c r="K157" s="40">
        <f>[1]NFM!K96</f>
        <v>1.65310587998309</v>
      </c>
      <c r="L157" s="40">
        <f>[1]NFM!L96</f>
        <v>1.6348672736991512</v>
      </c>
      <c r="M157" s="40">
        <f>[1]NFM!M96</f>
        <v>1.6241948193943681</v>
      </c>
      <c r="N157" s="40">
        <f>[1]NFM!N96</f>
        <v>1.5991047714593036</v>
      </c>
      <c r="O157" s="40">
        <f>[1]NFM!O96</f>
        <v>1.6427480825381739</v>
      </c>
      <c r="P157" s="40">
        <f>[1]NFM!P96</f>
        <v>1.6227603242130011</v>
      </c>
      <c r="Q157" s="40">
        <f>[1]NFM!Q96</f>
        <v>1.6052308920568006</v>
      </c>
      <c r="R157" s="40">
        <f>[1]NFM!R96</f>
        <v>1.6217252963728521</v>
      </c>
      <c r="S157" s="40">
        <f>[1]NFM!S96</f>
        <v>1.5421217211168676</v>
      </c>
      <c r="T157" s="40">
        <f>[1]NFM!T96</f>
        <v>1.5857003832488563</v>
      </c>
      <c r="U157" s="40">
        <f>[1]NFM!U96</f>
        <v>1.6025408823102401</v>
      </c>
      <c r="V157" s="40">
        <f>[1]NFM!V96</f>
        <v>1.5984878389367503</v>
      </c>
      <c r="W157" s="40">
        <f>[1]NFM!W96</f>
        <v>1.6137916945705002</v>
      </c>
    </row>
    <row r="158" spans="1:23" ht="12" customHeight="1" x14ac:dyDescent="0.35">
      <c r="A158" s="7" t="s">
        <v>3</v>
      </c>
      <c r="B158" s="39">
        <f>[1]NFM!B97</f>
        <v>2.3104088934356395</v>
      </c>
      <c r="C158" s="39">
        <f>[1]NFM!C97</f>
        <v>2.3059892065951644</v>
      </c>
      <c r="D158" s="39">
        <f>[1]NFM!D97</f>
        <v>2.2388926631607116</v>
      </c>
      <c r="E158" s="39">
        <f>[1]NFM!E97</f>
        <v>2.2301449632051757</v>
      </c>
      <c r="F158" s="39">
        <f>[1]NFM!F97</f>
        <v>2.167465578814352</v>
      </c>
      <c r="G158" s="39">
        <f>[1]NFM!G97</f>
        <v>2.1939489134694319</v>
      </c>
      <c r="H158" s="39">
        <f>[1]NFM!H97</f>
        <v>2.2218279968848695</v>
      </c>
      <c r="I158" s="39">
        <f>[1]NFM!I97</f>
        <v>2.0973061466381102</v>
      </c>
      <c r="J158" s="39">
        <f>[1]NFM!J97</f>
        <v>2.0819253604881252</v>
      </c>
      <c r="K158" s="39">
        <f>[1]NFM!K97</f>
        <v>2.0339867286460063</v>
      </c>
      <c r="L158" s="39">
        <f>[1]NFM!L97</f>
        <v>2.0326387557604666</v>
      </c>
      <c r="M158" s="39">
        <f>[1]NFM!M97</f>
        <v>1.9893313593669606</v>
      </c>
      <c r="N158" s="39">
        <f>[1]NFM!N97</f>
        <v>1.8539726208428697</v>
      </c>
      <c r="O158" s="39">
        <f>[1]NFM!O97</f>
        <v>1.8776075694905117</v>
      </c>
      <c r="P158" s="39">
        <f>[1]NFM!P97</f>
        <v>1.837026307106042</v>
      </c>
      <c r="Q158" s="39">
        <f>[1]NFM!Q97</f>
        <v>1.8493327636121841</v>
      </c>
      <c r="R158" s="39">
        <f>[1]NFM!R97</f>
        <v>1.8884980866528911</v>
      </c>
      <c r="S158" s="39">
        <f>[1]NFM!S97</f>
        <v>1.7478636402943175</v>
      </c>
      <c r="T158" s="39">
        <f>[1]NFM!T97</f>
        <v>1.785984229726217</v>
      </c>
      <c r="U158" s="39">
        <f>[1]NFM!U97</f>
        <v>1.8188267830018394</v>
      </c>
      <c r="V158" s="39">
        <f>[1]NFM!V97</f>
        <v>1.8684113956879855</v>
      </c>
      <c r="W158" s="39">
        <f>[1]NFM!W97</f>
        <v>1.88801320234196</v>
      </c>
    </row>
    <row r="159" spans="1:23" ht="12" customHeight="1" x14ac:dyDescent="0.35">
      <c r="A159" s="7" t="s">
        <v>4</v>
      </c>
      <c r="B159" s="39">
        <f>[1]NFM!B98</f>
        <v>1.3835646629667466</v>
      </c>
      <c r="C159" s="39">
        <f>[1]NFM!C98</f>
        <v>1.3498016075312227</v>
      </c>
      <c r="D159" s="39">
        <f>[1]NFM!D98</f>
        <v>1.3740911297543683</v>
      </c>
      <c r="E159" s="39">
        <f>[1]NFM!E98</f>
        <v>1.3812770991394685</v>
      </c>
      <c r="F159" s="39">
        <f>[1]NFM!F98</f>
        <v>1.3480459269749567</v>
      </c>
      <c r="G159" s="39">
        <f>[1]NFM!G98</f>
        <v>1.3478314385184338</v>
      </c>
      <c r="H159" s="39">
        <f>[1]NFM!H98</f>
        <v>1.3658151697828866</v>
      </c>
      <c r="I159" s="39">
        <f>[1]NFM!I98</f>
        <v>1.3779606277000771</v>
      </c>
      <c r="J159" s="39">
        <f>[1]NFM!J98</f>
        <v>1.4068925983042373</v>
      </c>
      <c r="K159" s="39">
        <f>[1]NFM!K98</f>
        <v>1.4123533810053033</v>
      </c>
      <c r="L159" s="39">
        <f>[1]NFM!L98</f>
        <v>1.3809123382340016</v>
      </c>
      <c r="M159" s="39">
        <f>[1]NFM!M98</f>
        <v>1.3877516540359551</v>
      </c>
      <c r="N159" s="39">
        <f>[1]NFM!N98</f>
        <v>1.4300102325961743</v>
      </c>
      <c r="O159" s="39">
        <f>[1]NFM!O98</f>
        <v>1.5234285878675764</v>
      </c>
      <c r="P159" s="39">
        <f>[1]NFM!P98</f>
        <v>1.5702735277726292</v>
      </c>
      <c r="Q159" s="39">
        <f>[1]NFM!Q98</f>
        <v>1.5347754161948335</v>
      </c>
      <c r="R159" s="39">
        <f>[1]NFM!R98</f>
        <v>1.5357410559310787</v>
      </c>
      <c r="S159" s="39">
        <f>[1]NFM!S98</f>
        <v>1.392639056332984</v>
      </c>
      <c r="T159" s="39">
        <f>[1]NFM!T98</f>
        <v>1.3914685469941572</v>
      </c>
      <c r="U159" s="39">
        <f>[1]NFM!U98</f>
        <v>1.3971372432349234</v>
      </c>
      <c r="V159" s="39">
        <f>[1]NFM!V98</f>
        <v>1.4065273939753096</v>
      </c>
      <c r="W159" s="39">
        <f>[1]NFM!W98</f>
        <v>1.4086682100496575</v>
      </c>
    </row>
    <row r="160" spans="1:23" ht="12" customHeight="1" x14ac:dyDescent="0.35">
      <c r="A160" s="19" t="s">
        <v>50</v>
      </c>
      <c r="B160" s="41">
        <f>[1]NFM!B99</f>
        <v>1.3759862913168397</v>
      </c>
      <c r="C160" s="41">
        <f>[1]NFM!C99</f>
        <v>1.3374392053176214</v>
      </c>
      <c r="D160" s="41">
        <f>[1]NFM!D99</f>
        <v>1.3696791387967922</v>
      </c>
      <c r="E160" s="41">
        <f>[1]NFM!E99</f>
        <v>1.3790326676622242</v>
      </c>
      <c r="F160" s="41">
        <f>[1]NFM!F99</f>
        <v>1.3460682726222686</v>
      </c>
      <c r="G160" s="41">
        <f>[1]NFM!G99</f>
        <v>1.3499068583200351</v>
      </c>
      <c r="H160" s="41">
        <f>[1]NFM!H99</f>
        <v>1.3747950700073974</v>
      </c>
      <c r="I160" s="41">
        <f>[1]NFM!I99</f>
        <v>1.3936470579990314</v>
      </c>
      <c r="J160" s="41">
        <f>[1]NFM!J99</f>
        <v>1.4185477468882568</v>
      </c>
      <c r="K160" s="41">
        <f>[1]NFM!K99</f>
        <v>1.3993474126352941</v>
      </c>
      <c r="L160" s="41">
        <f>[1]NFM!L99</f>
        <v>1.3612278601729897</v>
      </c>
      <c r="M160" s="41">
        <f>[1]NFM!M99</f>
        <v>1.3746958201918225</v>
      </c>
      <c r="N160" s="41">
        <f>[1]NFM!N99</f>
        <v>1.4299533651459311</v>
      </c>
      <c r="O160" s="41">
        <f>[1]NFM!O99</f>
        <v>1.5356668882868392</v>
      </c>
      <c r="P160" s="41">
        <f>[1]NFM!P99</f>
        <v>1.5861457211698426</v>
      </c>
      <c r="Q160" s="41">
        <f>[1]NFM!Q99</f>
        <v>1.5432393064220671</v>
      </c>
      <c r="R160" s="41">
        <f>[1]NFM!R99</f>
        <v>1.5431992752223591</v>
      </c>
      <c r="S160" s="41">
        <f>[1]NFM!S99</f>
        <v>1.37620666741499</v>
      </c>
      <c r="T160" s="41">
        <f>[1]NFM!T99</f>
        <v>1.3734182212710793</v>
      </c>
      <c r="U160" s="41">
        <f>[1]NFM!U99</f>
        <v>1.3797839357719128</v>
      </c>
      <c r="V160" s="41">
        <f>[1]NFM!V99</f>
        <v>1.3978104017652095</v>
      </c>
      <c r="W160" s="41">
        <f>[1]NFM!W99</f>
        <v>1.3964620058214254</v>
      </c>
    </row>
    <row r="161" spans="1:23" ht="12" customHeight="1" x14ac:dyDescent="0.35">
      <c r="A161" s="20" t="s">
        <v>51</v>
      </c>
      <c r="B161" s="42">
        <f>[1]NFM!B100</f>
        <v>1.4494750727362298</v>
      </c>
      <c r="C161" s="42">
        <f>[1]NFM!C100</f>
        <v>1.4586868766423133</v>
      </c>
      <c r="D161" s="42">
        <f>[1]NFM!D100</f>
        <v>1.411772032137933</v>
      </c>
      <c r="E161" s="42">
        <f>[1]NFM!E100</f>
        <v>1.4017383498891047</v>
      </c>
      <c r="F161" s="42">
        <f>[1]NFM!F100</f>
        <v>1.3662742735307885</v>
      </c>
      <c r="G161" s="42">
        <f>[1]NFM!G100</f>
        <v>1.3305701469416613</v>
      </c>
      <c r="H161" s="42">
        <f>[1]NFM!H100</f>
        <v>1.3025757334673964</v>
      </c>
      <c r="I161" s="42">
        <f>[1]NFM!I100</f>
        <v>1.2676910241415189</v>
      </c>
      <c r="J161" s="42">
        <f>[1]NFM!J100</f>
        <v>1.3201920345383709</v>
      </c>
      <c r="K161" s="42">
        <f>[1]NFM!K100</f>
        <v>1.5026307746662821</v>
      </c>
      <c r="L161" s="42">
        <f>[1]NFM!L100</f>
        <v>1.4986538343592948</v>
      </c>
      <c r="M161" s="42">
        <f>[1]NFM!M100</f>
        <v>1.4758542186037704</v>
      </c>
      <c r="N161" s="42">
        <f>[1]NFM!N100</f>
        <v>1.4303326546414892</v>
      </c>
      <c r="O161" s="42">
        <f>[1]NFM!O100</f>
        <v>1.4587007845293296</v>
      </c>
      <c r="P161" s="42">
        <f>[1]NFM!P100</f>
        <v>1.4798260302297057</v>
      </c>
      <c r="Q161" s="42">
        <f>[1]NFM!Q100</f>
        <v>1.4819427408281025</v>
      </c>
      <c r="R161" s="42">
        <f>[1]NFM!R100</f>
        <v>1.4918378711938207</v>
      </c>
      <c r="S161" s="42">
        <f>[1]NFM!S100</f>
        <v>1.4913864720221104</v>
      </c>
      <c r="T161" s="42">
        <f>[1]NFM!T100</f>
        <v>1.4964693244545084</v>
      </c>
      <c r="U161" s="42">
        <f>[1]NFM!U100</f>
        <v>1.4976659630828559</v>
      </c>
      <c r="V161" s="42">
        <f>[1]NFM!V100</f>
        <v>1.4634853862267623</v>
      </c>
      <c r="W161" s="42">
        <f>[1]NFM!W100</f>
        <v>1.4823849739158392</v>
      </c>
    </row>
    <row r="162" spans="1:23" ht="12" customHeight="1" x14ac:dyDescent="0.35">
      <c r="A162" s="7" t="s">
        <v>5</v>
      </c>
      <c r="B162" s="39">
        <f>[1]NFM!B101</f>
        <v>2.0520897453362208</v>
      </c>
      <c r="C162" s="39">
        <f>[1]NFM!C101</f>
        <v>1.9683678115794605</v>
      </c>
      <c r="D162" s="39">
        <f>[1]NFM!D101</f>
        <v>1.9892286867301312</v>
      </c>
      <c r="E162" s="39">
        <f>[1]NFM!E101</f>
        <v>1.9193836555895181</v>
      </c>
      <c r="F162" s="39">
        <f>[1]NFM!F101</f>
        <v>1.8272926409079306</v>
      </c>
      <c r="G162" s="39">
        <f>[1]NFM!G101</f>
        <v>1.8253067691613722</v>
      </c>
      <c r="H162" s="39">
        <f>[1]NFM!H101</f>
        <v>1.7432098691816418</v>
      </c>
      <c r="I162" s="39">
        <f>[1]NFM!I101</f>
        <v>1.7658741889105103</v>
      </c>
      <c r="J162" s="39">
        <f>[1]NFM!J101</f>
        <v>1.8253110194715854</v>
      </c>
      <c r="K162" s="39">
        <f>[1]NFM!K101</f>
        <v>1.6828323869002055</v>
      </c>
      <c r="L162" s="39">
        <f>[1]NFM!L101</f>
        <v>1.6487989710264455</v>
      </c>
      <c r="M162" s="39">
        <f>[1]NFM!M101</f>
        <v>1.6420399511264436</v>
      </c>
      <c r="N162" s="39">
        <f>[1]NFM!N101</f>
        <v>1.60894173168122</v>
      </c>
      <c r="O162" s="39">
        <f>[1]NFM!O101</f>
        <v>1.6119189673868495</v>
      </c>
      <c r="P162" s="39">
        <f>[1]NFM!P101</f>
        <v>1.5593063396150961</v>
      </c>
      <c r="Q162" s="39">
        <f>[1]NFM!Q101</f>
        <v>1.5410700348168913</v>
      </c>
      <c r="R162" s="39">
        <f>[1]NFM!R101</f>
        <v>1.5608626422117784</v>
      </c>
      <c r="S162" s="39">
        <f>[1]NFM!S101</f>
        <v>1.5615633115550893</v>
      </c>
      <c r="T162" s="39">
        <f>[1]NFM!T101</f>
        <v>1.6358698709584452</v>
      </c>
      <c r="U162" s="39">
        <f>[1]NFM!U101</f>
        <v>1.6470795358958246</v>
      </c>
      <c r="V162" s="39">
        <f>[1]NFM!V101</f>
        <v>1.606441844027878</v>
      </c>
      <c r="W162" s="39">
        <f>[1]NFM!W101</f>
        <v>1.6263693570463211</v>
      </c>
    </row>
    <row r="163" spans="1:23" ht="12" customHeight="1" x14ac:dyDescent="0.35">
      <c r="A163" s="6" t="s">
        <v>6</v>
      </c>
      <c r="B163" s="40">
        <f>[1]CHI!B100</f>
        <v>2.6471232675535812</v>
      </c>
      <c r="C163" s="40">
        <f>[1]CHI!C100</f>
        <v>2.6151612294855404</v>
      </c>
      <c r="D163" s="40">
        <f>[1]CHI!D100</f>
        <v>2.5693301353746998</v>
      </c>
      <c r="E163" s="40">
        <f>[1]CHI!E100</f>
        <v>2.5524240417137634</v>
      </c>
      <c r="F163" s="40">
        <f>[1]CHI!F100</f>
        <v>2.5574654599515969</v>
      </c>
      <c r="G163" s="40">
        <f>[1]CHI!G100</f>
        <v>2.5272676616870329</v>
      </c>
      <c r="H163" s="40">
        <f>[1]CHI!H100</f>
        <v>2.460199359437683</v>
      </c>
      <c r="I163" s="40">
        <f>[1]CHI!I100</f>
        <v>2.4775574866584487</v>
      </c>
      <c r="J163" s="40">
        <f>[1]CHI!J100</f>
        <v>2.4724636194264398</v>
      </c>
      <c r="K163" s="40">
        <f>[1]CHI!K100</f>
        <v>2.416956102266913</v>
      </c>
      <c r="L163" s="40">
        <f>[1]CHI!L100</f>
        <v>2.4825446369521922</v>
      </c>
      <c r="M163" s="40">
        <f>[1]CHI!M100</f>
        <v>2.495522771946423</v>
      </c>
      <c r="N163" s="40">
        <f>[1]CHI!N100</f>
        <v>2.4601877941074766</v>
      </c>
      <c r="O163" s="40">
        <f>[1]CHI!O100</f>
        <v>2.4490551620082468</v>
      </c>
      <c r="P163" s="40">
        <f>[1]CHI!P100</f>
        <v>2.4649549710828715</v>
      </c>
      <c r="Q163" s="40">
        <f>[1]CHI!Q100</f>
        <v>2.4708740571817271</v>
      </c>
      <c r="R163" s="40">
        <f>[1]CHI!R100</f>
        <v>2.421460593664551</v>
      </c>
      <c r="S163" s="40">
        <f>[1]CHI!S100</f>
        <v>2.4747547432499921</v>
      </c>
      <c r="T163" s="40">
        <f>[1]CHI!T100</f>
        <v>2.4399243724985307</v>
      </c>
      <c r="U163" s="40">
        <f>[1]CHI!U100</f>
        <v>2.4020158515615511</v>
      </c>
      <c r="V163" s="40">
        <f>[1]CHI!V100</f>
        <v>2.4201179675721147</v>
      </c>
      <c r="W163" s="40">
        <f>[1]CHI!W100</f>
        <v>2.3835946635126346</v>
      </c>
    </row>
    <row r="164" spans="1:23" ht="12" customHeight="1" x14ac:dyDescent="0.35">
      <c r="A164" s="7" t="s">
        <v>62</v>
      </c>
      <c r="B164" s="39">
        <f>[1]CHI!B101</f>
        <v>3.3131789257177333</v>
      </c>
      <c r="C164" s="39">
        <f>[1]CHI!C101</f>
        <v>3.2481393602830617</v>
      </c>
      <c r="D164" s="39">
        <f>[1]CHI!D101</f>
        <v>3.1240530079484885</v>
      </c>
      <c r="E164" s="39">
        <f>[1]CHI!E101</f>
        <v>3.1093002648487582</v>
      </c>
      <c r="F164" s="39">
        <f>[1]CHI!F101</f>
        <v>3.2059364971952276</v>
      </c>
      <c r="G164" s="39">
        <f>[1]CHI!G101</f>
        <v>3.1786765796210186</v>
      </c>
      <c r="H164" s="39">
        <f>[1]CHI!H101</f>
        <v>3.084180761930583</v>
      </c>
      <c r="I164" s="39">
        <f>[1]CHI!I101</f>
        <v>3.0926677215243674</v>
      </c>
      <c r="J164" s="39">
        <f>[1]CHI!J101</f>
        <v>3.0272853394746186</v>
      </c>
      <c r="K164" s="39">
        <f>[1]CHI!K101</f>
        <v>2.9559628543644152</v>
      </c>
      <c r="L164" s="39">
        <f>[1]CHI!L101</f>
        <v>2.9898968285658318</v>
      </c>
      <c r="M164" s="39">
        <f>[1]CHI!M101</f>
        <v>2.9851097671788147</v>
      </c>
      <c r="N164" s="39">
        <f>[1]CHI!N101</f>
        <v>2.9355682162385954</v>
      </c>
      <c r="O164" s="39">
        <f>[1]CHI!O101</f>
        <v>2.894998066050126</v>
      </c>
      <c r="P164" s="39">
        <f>[1]CHI!P101</f>
        <v>2.9418790411117208</v>
      </c>
      <c r="Q164" s="39">
        <f>[1]CHI!Q101</f>
        <v>2.8967256801524099</v>
      </c>
      <c r="R164" s="39">
        <f>[1]CHI!R101</f>
        <v>2.8558033407896875</v>
      </c>
      <c r="S164" s="39">
        <f>[1]CHI!S101</f>
        <v>2.9000698636583921</v>
      </c>
      <c r="T164" s="39">
        <f>[1]CHI!T101</f>
        <v>2.8987357099184043</v>
      </c>
      <c r="U164" s="39">
        <f>[1]CHI!U101</f>
        <v>2.8443590315398772</v>
      </c>
      <c r="V164" s="39">
        <f>[1]CHI!V101</f>
        <v>2.9063956797292643</v>
      </c>
      <c r="W164" s="39">
        <f>[1]CHI!W101</f>
        <v>2.8258524090737711</v>
      </c>
    </row>
    <row r="165" spans="1:23" ht="12" customHeight="1" x14ac:dyDescent="0.35">
      <c r="A165" s="7" t="s">
        <v>8</v>
      </c>
      <c r="B165" s="39">
        <f>[1]CHI!B102</f>
        <v>1.7206133957673335</v>
      </c>
      <c r="C165" s="39">
        <f>[1]CHI!C102</f>
        <v>1.7456000548964901</v>
      </c>
      <c r="D165" s="39">
        <f>[1]CHI!D102</f>
        <v>1.7384100373814044</v>
      </c>
      <c r="E165" s="39">
        <f>[1]CHI!E102</f>
        <v>1.6904977471438818</v>
      </c>
      <c r="F165" s="39">
        <f>[1]CHI!F102</f>
        <v>1.5788946201164777</v>
      </c>
      <c r="G165" s="39">
        <f>[1]CHI!G102</f>
        <v>1.525358061419789</v>
      </c>
      <c r="H165" s="39">
        <f>[1]CHI!H102</f>
        <v>1.4685033880963378</v>
      </c>
      <c r="I165" s="39">
        <f>[1]CHI!I102</f>
        <v>1.5001222848752092</v>
      </c>
      <c r="J165" s="39">
        <f>[1]CHI!J102</f>
        <v>1.5337904072025268</v>
      </c>
      <c r="K165" s="39">
        <f>[1]CHI!K102</f>
        <v>1.5028016818236019</v>
      </c>
      <c r="L165" s="39">
        <f>[1]CHI!L102</f>
        <v>1.5546074013732505</v>
      </c>
      <c r="M165" s="39">
        <f>[1]CHI!M102</f>
        <v>1.6035247135759232</v>
      </c>
      <c r="N165" s="39">
        <f>[1]CHI!N102</f>
        <v>1.5847009649676391</v>
      </c>
      <c r="O165" s="39">
        <f>[1]CHI!O102</f>
        <v>1.5574438686779357</v>
      </c>
      <c r="P165" s="39">
        <f>[1]CHI!P102</f>
        <v>1.5836821594301425</v>
      </c>
      <c r="Q165" s="39">
        <f>[1]CHI!Q102</f>
        <v>1.5890109544486106</v>
      </c>
      <c r="R165" s="39">
        <f>[1]CHI!R102</f>
        <v>1.5596946068482251</v>
      </c>
      <c r="S165" s="39">
        <f>[1]CHI!S102</f>
        <v>1.5712099893337406</v>
      </c>
      <c r="T165" s="39">
        <f>[1]CHI!T102</f>
        <v>1.5789856170338692</v>
      </c>
      <c r="U165" s="39">
        <f>[1]CHI!U102</f>
        <v>1.5696953541133443</v>
      </c>
      <c r="V165" s="39">
        <f>[1]CHI!V102</f>
        <v>1.5610344774213798</v>
      </c>
      <c r="W165" s="39">
        <f>[1]CHI!W102</f>
        <v>1.5747392570022603</v>
      </c>
    </row>
    <row r="166" spans="1:23" ht="12" customHeight="1" x14ac:dyDescent="0.35">
      <c r="A166" s="7" t="s">
        <v>9</v>
      </c>
      <c r="B166" s="39">
        <f>[1]CHI!B103</f>
        <v>1.8388124120201483</v>
      </c>
      <c r="C166" s="39">
        <f>[1]CHI!C103</f>
        <v>1.8049565996212793</v>
      </c>
      <c r="D166" s="39">
        <f>[1]CHI!D103</f>
        <v>1.8106360094237886</v>
      </c>
      <c r="E166" s="39">
        <f>[1]CHI!E103</f>
        <v>1.8526634599602176</v>
      </c>
      <c r="F166" s="39">
        <f>[1]CHI!F103</f>
        <v>1.5930892770355121</v>
      </c>
      <c r="G166" s="39">
        <f>[1]CHI!G103</f>
        <v>1.5495505337905462</v>
      </c>
      <c r="H166" s="39">
        <f>[1]CHI!H103</f>
        <v>1.4812015833900101</v>
      </c>
      <c r="I166" s="39">
        <f>[1]CHI!I103</f>
        <v>1.5587055706388144</v>
      </c>
      <c r="J166" s="39">
        <f>[1]CHI!J103</f>
        <v>1.4801820639127206</v>
      </c>
      <c r="K166" s="39">
        <f>[1]CHI!K103</f>
        <v>1.4740456997951707</v>
      </c>
      <c r="L166" s="39">
        <f>[1]CHI!L103</f>
        <v>1.4404630515320551</v>
      </c>
      <c r="M166" s="39">
        <f>[1]CHI!M103</f>
        <v>1.5781900495011121</v>
      </c>
      <c r="N166" s="39">
        <f>[1]CHI!N103</f>
        <v>1.5977654231720688</v>
      </c>
      <c r="O166" s="39">
        <f>[1]CHI!O103</f>
        <v>1.5572359863313496</v>
      </c>
      <c r="P166" s="39">
        <f>[1]CHI!P103</f>
        <v>1.5176050228041971</v>
      </c>
      <c r="Q166" s="39">
        <f>[1]CHI!Q103</f>
        <v>1.5283337937393344</v>
      </c>
      <c r="R166" s="39">
        <f>[1]CHI!R103</f>
        <v>1.4810169907767172</v>
      </c>
      <c r="S166" s="39">
        <f>[1]CHI!S103</f>
        <v>1.4270519951620759</v>
      </c>
      <c r="T166" s="39">
        <f>[1]CHI!T103</f>
        <v>1.4161119749914639</v>
      </c>
      <c r="U166" s="39">
        <f>[1]CHI!U103</f>
        <v>1.3769510916319021</v>
      </c>
      <c r="V166" s="39">
        <f>[1]CHI!V103</f>
        <v>1.3785750987409593</v>
      </c>
      <c r="W166" s="39">
        <f>[1]CHI!W103</f>
        <v>1.4435256794876878</v>
      </c>
    </row>
    <row r="167" spans="1:23" ht="12" customHeight="1" x14ac:dyDescent="0.35">
      <c r="A167" s="6" t="s">
        <v>10</v>
      </c>
      <c r="B167" s="40">
        <f>[1]NMM!B76</f>
        <v>5.7454439882747383</v>
      </c>
      <c r="C167" s="40">
        <f>[1]NMM!C76</f>
        <v>5.640745227189206</v>
      </c>
      <c r="D167" s="40">
        <f>[1]NMM!D76</f>
        <v>5.6827043324467539</v>
      </c>
      <c r="E167" s="40">
        <f>[1]NMM!E76</f>
        <v>5.6275858550331224</v>
      </c>
      <c r="F167" s="40">
        <f>[1]NMM!F76</f>
        <v>5.7182176135008618</v>
      </c>
      <c r="G167" s="40">
        <f>[1]NMM!G76</f>
        <v>5.6339106225744624</v>
      </c>
      <c r="H167" s="40">
        <f>[1]NMM!H76</f>
        <v>5.8130647025562485</v>
      </c>
      <c r="I167" s="40">
        <f>[1]NMM!I76</f>
        <v>5.8784250055793921</v>
      </c>
      <c r="J167" s="40">
        <f>[1]NMM!J76</f>
        <v>5.8741859963735408</v>
      </c>
      <c r="K167" s="40">
        <f>[1]NMM!K76</f>
        <v>5.8587236138359042</v>
      </c>
      <c r="L167" s="40">
        <f>[1]NMM!L76</f>
        <v>5.8207398458309481</v>
      </c>
      <c r="M167" s="40">
        <f>[1]NMM!M76</f>
        <v>5.8032064444981284</v>
      </c>
      <c r="N167" s="40">
        <f>[1]NMM!N76</f>
        <v>5.8417665702438795</v>
      </c>
      <c r="O167" s="40">
        <f>[1]NMM!O76</f>
        <v>5.7926614246691912</v>
      </c>
      <c r="P167" s="40">
        <f>[1]NMM!P76</f>
        <v>5.903039828650293</v>
      </c>
      <c r="Q167" s="40">
        <f>[1]NMM!Q76</f>
        <v>5.7980085060989888</v>
      </c>
      <c r="R167" s="40">
        <f>[1]NMM!R76</f>
        <v>5.7430821492659723</v>
      </c>
      <c r="S167" s="40">
        <f>[1]NMM!S76</f>
        <v>5.7999745181465103</v>
      </c>
      <c r="T167" s="40">
        <f>[1]NMM!T76</f>
        <v>5.7803827043175167</v>
      </c>
      <c r="U167" s="40">
        <f>[1]NMM!U76</f>
        <v>5.7719606995913217</v>
      </c>
      <c r="V167" s="40">
        <f>[1]NMM!V76</f>
        <v>5.6474220458515472</v>
      </c>
      <c r="W167" s="40">
        <f>[1]NMM!W76</f>
        <v>5.6213727526938078</v>
      </c>
    </row>
    <row r="168" spans="1:23" ht="12" customHeight="1" x14ac:dyDescent="0.35">
      <c r="A168" s="7" t="s">
        <v>11</v>
      </c>
      <c r="B168" s="39">
        <f>[1]NMM!B77</f>
        <v>9.175797915336517</v>
      </c>
      <c r="C168" s="39">
        <f>[1]NMM!C77</f>
        <v>9.1278980210337402</v>
      </c>
      <c r="D168" s="39">
        <f>[1]NMM!D77</f>
        <v>9.1510532673033946</v>
      </c>
      <c r="E168" s="39">
        <f>[1]NMM!E77</f>
        <v>9.0878781202019692</v>
      </c>
      <c r="F168" s="39">
        <f>[1]NMM!F77</f>
        <v>9.2074364413735115</v>
      </c>
      <c r="G168" s="39">
        <f>[1]NMM!G77</f>
        <v>9.1731828620161888</v>
      </c>
      <c r="H168" s="39">
        <f>[1]NMM!H77</f>
        <v>8.9010468532928613</v>
      </c>
      <c r="I168" s="39">
        <f>[1]NMM!I77</f>
        <v>9.1288094812699399</v>
      </c>
      <c r="J168" s="39">
        <f>[1]NMM!J77</f>
        <v>9.4053201276431064</v>
      </c>
      <c r="K168" s="39">
        <f>[1]NMM!K77</f>
        <v>9.4828795327186786</v>
      </c>
      <c r="L168" s="39">
        <f>[1]NMM!L77</f>
        <v>9.7389452088179329</v>
      </c>
      <c r="M168" s="39">
        <f>[1]NMM!M77</f>
        <v>9.6904523160635847</v>
      </c>
      <c r="N168" s="39">
        <f>[1]NMM!N77</f>
        <v>9.9977023208846969</v>
      </c>
      <c r="O168" s="39">
        <f>[1]NMM!O77</f>
        <v>10.09234669934378</v>
      </c>
      <c r="P168" s="39">
        <f>[1]NMM!P77</f>
        <v>10.272767512823089</v>
      </c>
      <c r="Q168" s="39">
        <f>[1]NMM!Q77</f>
        <v>10.222373434846782</v>
      </c>
      <c r="R168" s="39">
        <f>[1]NMM!R77</f>
        <v>10.231540819905895</v>
      </c>
      <c r="S168" s="39">
        <f>[1]NMM!S77</f>
        <v>10.110504954915349</v>
      </c>
      <c r="T168" s="39">
        <f>[1]NMM!T77</f>
        <v>10.087422241548992</v>
      </c>
      <c r="U168" s="39">
        <f>[1]NMM!U77</f>
        <v>10.080850366722112</v>
      </c>
      <c r="V168" s="39">
        <f>[1]NMM!V77</f>
        <v>9.7734188058967764</v>
      </c>
      <c r="W168" s="39">
        <f>[1]NMM!W77</f>
        <v>9.9575569853351329</v>
      </c>
    </row>
    <row r="169" spans="1:23" ht="12" customHeight="1" x14ac:dyDescent="0.35">
      <c r="A169" s="7" t="s">
        <v>12</v>
      </c>
      <c r="B169" s="39">
        <f>[1]NMM!B78</f>
        <v>3.2583642266110546</v>
      </c>
      <c r="C169" s="39">
        <f>[1]NMM!C78</f>
        <v>3.2212187633235358</v>
      </c>
      <c r="D169" s="39">
        <f>[1]NMM!D78</f>
        <v>3.2517173862414377</v>
      </c>
      <c r="E169" s="39">
        <f>[1]NMM!E78</f>
        <v>3.2278432702054412</v>
      </c>
      <c r="F169" s="39">
        <f>[1]NMM!F78</f>
        <v>3.2597271312943943</v>
      </c>
      <c r="G169" s="39">
        <f>[1]NMM!G78</f>
        <v>3.2036998268036814</v>
      </c>
      <c r="H169" s="39">
        <f>[1]NMM!H78</f>
        <v>3.326803124054067</v>
      </c>
      <c r="I169" s="39">
        <f>[1]NMM!I78</f>
        <v>3.2985605258820883</v>
      </c>
      <c r="J169" s="39">
        <f>[1]NMM!J78</f>
        <v>3.3236428825714954</v>
      </c>
      <c r="K169" s="39">
        <f>[1]NMM!K78</f>
        <v>3.3253435321546343</v>
      </c>
      <c r="L169" s="39">
        <f>[1]NMM!L78</f>
        <v>3.3352372496147149</v>
      </c>
      <c r="M169" s="39">
        <f>[1]NMM!M78</f>
        <v>3.4171317423173329</v>
      </c>
      <c r="N169" s="39">
        <f>[1]NMM!N78</f>
        <v>3.4158942154641458</v>
      </c>
      <c r="O169" s="39">
        <f>[1]NMM!O78</f>
        <v>3.3463541306309756</v>
      </c>
      <c r="P169" s="39">
        <f>[1]NMM!P78</f>
        <v>3.327565465180375</v>
      </c>
      <c r="Q169" s="39">
        <f>[1]NMM!Q78</f>
        <v>3.2864085973109849</v>
      </c>
      <c r="R169" s="39">
        <f>[1]NMM!R78</f>
        <v>3.2733084935852781</v>
      </c>
      <c r="S169" s="39">
        <f>[1]NMM!S78</f>
        <v>3.2758497113851761</v>
      </c>
      <c r="T169" s="39">
        <f>[1]NMM!T78</f>
        <v>3.2583704336815762</v>
      </c>
      <c r="U169" s="39">
        <f>[1]NMM!U78</f>
        <v>3.2264808518927164</v>
      </c>
      <c r="V169" s="39">
        <f>[1]NMM!V78</f>
        <v>3.1714834426013274</v>
      </c>
      <c r="W169" s="39">
        <f>[1]NMM!W78</f>
        <v>3.1231305655658685</v>
      </c>
    </row>
    <row r="170" spans="1:23" ht="12" customHeight="1" x14ac:dyDescent="0.35">
      <c r="A170" s="7" t="s">
        <v>13</v>
      </c>
      <c r="B170" s="39">
        <f>[1]NMM!B79</f>
        <v>2.696497349822832</v>
      </c>
      <c r="C170" s="39">
        <f>[1]NMM!C79</f>
        <v>2.6388520794731298</v>
      </c>
      <c r="D170" s="39">
        <f>[1]NMM!D79</f>
        <v>2.6201172580143468</v>
      </c>
      <c r="E170" s="39">
        <f>[1]NMM!E79</f>
        <v>2.6556789819636299</v>
      </c>
      <c r="F170" s="39">
        <f>[1]NMM!F79</f>
        <v>2.6411698602716172</v>
      </c>
      <c r="G170" s="39">
        <f>[1]NMM!G79</f>
        <v>2.6535685884883096</v>
      </c>
      <c r="H170" s="39">
        <f>[1]NMM!H79</f>
        <v>2.6358084997752442</v>
      </c>
      <c r="I170" s="39">
        <f>[1]NMM!I79</f>
        <v>2.6988153175046143</v>
      </c>
      <c r="J170" s="39">
        <f>[1]NMM!J79</f>
        <v>2.6891821067923911</v>
      </c>
      <c r="K170" s="39">
        <f>[1]NMM!K79</f>
        <v>2.5994388284212229</v>
      </c>
      <c r="L170" s="39">
        <f>[1]NMM!L79</f>
        <v>2.6103232742861127</v>
      </c>
      <c r="M170" s="39">
        <f>[1]NMM!M79</f>
        <v>2.6614200630642064</v>
      </c>
      <c r="N170" s="39">
        <f>[1]NMM!N79</f>
        <v>2.6373898755550549</v>
      </c>
      <c r="O170" s="39">
        <f>[1]NMM!O79</f>
        <v>2.6369090164945832</v>
      </c>
      <c r="P170" s="39">
        <f>[1]NMM!P79</f>
        <v>2.6304769945411794</v>
      </c>
      <c r="Q170" s="39">
        <f>[1]NMM!Q79</f>
        <v>2.6286560705741935</v>
      </c>
      <c r="R170" s="39">
        <f>[1]NMM!R79</f>
        <v>2.6208075763062841</v>
      </c>
      <c r="S170" s="39">
        <f>[1]NMM!S79</f>
        <v>2.590955238296746</v>
      </c>
      <c r="T170" s="39">
        <f>[1]NMM!T79</f>
        <v>2.6099195425183139</v>
      </c>
      <c r="U170" s="39">
        <f>[1]NMM!U79</f>
        <v>2.6228600499419557</v>
      </c>
      <c r="V170" s="39">
        <f>[1]NMM!V79</f>
        <v>2.6333575369753168</v>
      </c>
      <c r="W170" s="39">
        <f>[1]NMM!W79</f>
        <v>2.6423430056015458</v>
      </c>
    </row>
    <row r="171" spans="1:23" ht="12" customHeight="1" x14ac:dyDescent="0.35">
      <c r="A171" s="6" t="s">
        <v>14</v>
      </c>
      <c r="B171" s="40">
        <f>[1]PPA!B74</f>
        <v>1.0246229331618852</v>
      </c>
      <c r="C171" s="40">
        <f>[1]PPA!C74</f>
        <v>0.99297606003836236</v>
      </c>
      <c r="D171" s="40">
        <f>[1]PPA!D74</f>
        <v>0.9866135067492664</v>
      </c>
      <c r="E171" s="40">
        <f>[1]PPA!E74</f>
        <v>0.99621290407129459</v>
      </c>
      <c r="F171" s="40">
        <f>[1]PPA!F74</f>
        <v>0.87896450293249373</v>
      </c>
      <c r="G171" s="40">
        <f>[1]PPA!G74</f>
        <v>0.87220807608501261</v>
      </c>
      <c r="H171" s="40">
        <f>[1]PPA!H74</f>
        <v>0.82739631150895654</v>
      </c>
      <c r="I171" s="40">
        <f>[1]PPA!I74</f>
        <v>0.78722023304688904</v>
      </c>
      <c r="J171" s="40">
        <f>[1]PPA!J74</f>
        <v>0.78359191747606916</v>
      </c>
      <c r="K171" s="40">
        <f>[1]PPA!K74</f>
        <v>0.78355074199533226</v>
      </c>
      <c r="L171" s="40">
        <f>[1]PPA!L74</f>
        <v>0.76092908606344856</v>
      </c>
      <c r="M171" s="40">
        <f>[1]PPA!M74</f>
        <v>0.70863478444288508</v>
      </c>
      <c r="N171" s="40">
        <f>[1]PPA!N74</f>
        <v>0.70339557790263174</v>
      </c>
      <c r="O171" s="40">
        <f>[1]PPA!O74</f>
        <v>0.71276966780324902</v>
      </c>
      <c r="P171" s="40">
        <f>[1]PPA!P74</f>
        <v>0.70084807552519068</v>
      </c>
      <c r="Q171" s="40">
        <f>[1]PPA!Q74</f>
        <v>0.68277197004182599</v>
      </c>
      <c r="R171" s="40">
        <f>[1]PPA!R74</f>
        <v>0.6761009424626554</v>
      </c>
      <c r="S171" s="40">
        <f>[1]PPA!S74</f>
        <v>0.6719010512788075</v>
      </c>
      <c r="T171" s="40">
        <f>[1]PPA!T74</f>
        <v>0.66029065492182204</v>
      </c>
      <c r="U171" s="40">
        <f>[1]PPA!U74</f>
        <v>0.64994739812691082</v>
      </c>
      <c r="V171" s="40">
        <f>[1]PPA!V74</f>
        <v>0.64206612318602552</v>
      </c>
      <c r="W171" s="40">
        <f>[1]PPA!W74</f>
        <v>0.7249948726059946</v>
      </c>
    </row>
    <row r="172" spans="1:23" ht="12" customHeight="1" x14ac:dyDescent="0.35">
      <c r="A172" s="7" t="s">
        <v>15</v>
      </c>
      <c r="B172" s="39">
        <f>[1]PPA!B75</f>
        <v>0.67961158168744062</v>
      </c>
      <c r="C172" s="39">
        <f>[1]PPA!C75</f>
        <v>0.63387201859842779</v>
      </c>
      <c r="D172" s="39">
        <f>[1]PPA!D75</f>
        <v>0.61593813435802913</v>
      </c>
      <c r="E172" s="39">
        <f>[1]PPA!E75</f>
        <v>0.65594451624629746</v>
      </c>
      <c r="F172" s="39">
        <f>[1]PPA!F75</f>
        <v>0.57176081803029055</v>
      </c>
      <c r="G172" s="39">
        <f>[1]PPA!G75</f>
        <v>0.57900485834966431</v>
      </c>
      <c r="H172" s="39">
        <f>[1]PPA!H75</f>
        <v>0.53759659566942231</v>
      </c>
      <c r="I172" s="39">
        <f>[1]PPA!I75</f>
        <v>0.49421586765264663</v>
      </c>
      <c r="J172" s="39">
        <f>[1]PPA!J75</f>
        <v>0.48763092505996192</v>
      </c>
      <c r="K172" s="39">
        <f>[1]PPA!K75</f>
        <v>0.47501071579160226</v>
      </c>
      <c r="L172" s="39">
        <f>[1]PPA!L75</f>
        <v>0.45322186172404433</v>
      </c>
      <c r="M172" s="39">
        <f>[1]PPA!M75</f>
        <v>0.43360196168637766</v>
      </c>
      <c r="N172" s="39">
        <f>[1]PPA!N75</f>
        <v>0.43047499103714204</v>
      </c>
      <c r="O172" s="39">
        <f>[1]PPA!O75</f>
        <v>0.42410894998459742</v>
      </c>
      <c r="P172" s="39">
        <f>[1]PPA!P75</f>
        <v>0.40500603969128401</v>
      </c>
      <c r="Q172" s="39">
        <f>[1]PPA!Q75</f>
        <v>0.38228312519370344</v>
      </c>
      <c r="R172" s="39">
        <f>[1]PPA!R75</f>
        <v>0.38174346353815541</v>
      </c>
      <c r="S172" s="39">
        <f>[1]PPA!S75</f>
        <v>0.38383760804403338</v>
      </c>
      <c r="T172" s="39">
        <f>[1]PPA!T75</f>
        <v>0.37873290539303833</v>
      </c>
      <c r="U172" s="39">
        <f>[1]PPA!U75</f>
        <v>0.36904785304550841</v>
      </c>
      <c r="V172" s="39">
        <f>[1]PPA!V75</f>
        <v>0.35787467858725502</v>
      </c>
      <c r="W172" s="39">
        <f>[1]PPA!W75</f>
        <v>0.37589183747592481</v>
      </c>
    </row>
    <row r="173" spans="1:23" ht="12" customHeight="1" x14ac:dyDescent="0.35">
      <c r="A173" s="7" t="s">
        <v>16</v>
      </c>
      <c r="B173" s="39">
        <f>[1]PPA!B76</f>
        <v>1.3018423025251669</v>
      </c>
      <c r="C173" s="39">
        <f>[1]PPA!C76</f>
        <v>1.27553692377251</v>
      </c>
      <c r="D173" s="39">
        <f>[1]PPA!D76</f>
        <v>1.2726383367523204</v>
      </c>
      <c r="E173" s="39">
        <f>[1]PPA!E76</f>
        <v>1.2627940788112655</v>
      </c>
      <c r="F173" s="39">
        <f>[1]PPA!F76</f>
        <v>1.1174026410413882</v>
      </c>
      <c r="G173" s="39">
        <f>[1]PPA!G76</f>
        <v>1.0996251092658913</v>
      </c>
      <c r="H173" s="39">
        <f>[1]PPA!H76</f>
        <v>1.0502815135248393</v>
      </c>
      <c r="I173" s="39">
        <f>[1]PPA!I76</f>
        <v>1.0101215303156732</v>
      </c>
      <c r="J173" s="39">
        <f>[1]PPA!J76</f>
        <v>1.0116708820629883</v>
      </c>
      <c r="K173" s="39">
        <f>[1]PPA!K76</f>
        <v>1.0092598937387189</v>
      </c>
      <c r="L173" s="39">
        <f>[1]PPA!L76</f>
        <v>0.98325737039958894</v>
      </c>
      <c r="M173" s="39">
        <f>[1]PPA!M76</f>
        <v>0.91165178174275807</v>
      </c>
      <c r="N173" s="39">
        <f>[1]PPA!N76</f>
        <v>0.90367549740979125</v>
      </c>
      <c r="O173" s="39">
        <f>[1]PPA!O76</f>
        <v>0.92308914889946747</v>
      </c>
      <c r="P173" s="39">
        <f>[1]PPA!P76</f>
        <v>0.91360049337937799</v>
      </c>
      <c r="Q173" s="39">
        <f>[1]PPA!Q76</f>
        <v>0.89163180296381783</v>
      </c>
      <c r="R173" s="39">
        <f>[1]PPA!R76</f>
        <v>0.88316226832436695</v>
      </c>
      <c r="S173" s="39">
        <f>[1]PPA!S76</f>
        <v>0.87482098515160245</v>
      </c>
      <c r="T173" s="39">
        <f>[1]PPA!T76</f>
        <v>0.86321771811510173</v>
      </c>
      <c r="U173" s="39">
        <f>[1]PPA!U76</f>
        <v>0.8536156645079418</v>
      </c>
      <c r="V173" s="39">
        <f>[1]PPA!V76</f>
        <v>0.8516696744194211</v>
      </c>
      <c r="W173" s="39">
        <f>[1]PPA!W76</f>
        <v>0.95651879696089981</v>
      </c>
    </row>
    <row r="174" spans="1:23" ht="12" customHeight="1" x14ac:dyDescent="0.35">
      <c r="A174" s="7" t="s">
        <v>17</v>
      </c>
      <c r="B174" s="39">
        <f>[1]PPA!B77</f>
        <v>0.35133289069282531</v>
      </c>
      <c r="C174" s="39">
        <f>[1]PPA!C77</f>
        <v>0.28217566197827276</v>
      </c>
      <c r="D174" s="39">
        <f>[1]PPA!D77</f>
        <v>0.30337579933533254</v>
      </c>
      <c r="E174" s="39">
        <f>[1]PPA!E77</f>
        <v>0.34184468684551766</v>
      </c>
      <c r="F174" s="39">
        <f>[1]PPA!F77</f>
        <v>0.25435679289850988</v>
      </c>
      <c r="G174" s="39">
        <f>[1]PPA!G77</f>
        <v>0.24925891887375298</v>
      </c>
      <c r="H174" s="39">
        <f>[1]PPA!H77</f>
        <v>0.23786350113673213</v>
      </c>
      <c r="I174" s="39">
        <f>[1]PPA!I77</f>
        <v>0.24942355885047854</v>
      </c>
      <c r="J174" s="39">
        <f>[1]PPA!J77</f>
        <v>0.22658615875817573</v>
      </c>
      <c r="K174" s="39">
        <f>[1]PPA!K77</f>
        <v>0.24365530806050492</v>
      </c>
      <c r="L174" s="39">
        <f>[1]PPA!L77</f>
        <v>0.25636358338457699</v>
      </c>
      <c r="M174" s="39">
        <f>[1]PPA!M77</f>
        <v>0.22975886036612914</v>
      </c>
      <c r="N174" s="39">
        <f>[1]PPA!N77</f>
        <v>0.25335440186908181</v>
      </c>
      <c r="O174" s="39">
        <f>[1]PPA!O77</f>
        <v>0.24506401002053405</v>
      </c>
      <c r="P174" s="39">
        <f>[1]PPA!P77</f>
        <v>0.24864195089525845</v>
      </c>
      <c r="Q174" s="39">
        <f>[1]PPA!Q77</f>
        <v>0.25319486727324036</v>
      </c>
      <c r="R174" s="39">
        <f>[1]PPA!R77</f>
        <v>0.26055314771056354</v>
      </c>
      <c r="S174" s="39">
        <f>[1]PPA!S77</f>
        <v>0.28071823789293715</v>
      </c>
      <c r="T174" s="39">
        <f>[1]PPA!T77</f>
        <v>0.26396943259225703</v>
      </c>
      <c r="U174" s="39">
        <f>[1]PPA!U77</f>
        <v>0.26865574432107175</v>
      </c>
      <c r="V174" s="39">
        <f>[1]PPA!V77</f>
        <v>0.27273696117503826</v>
      </c>
      <c r="W174" s="39">
        <f>[1]PPA!W77</f>
        <v>0.4081091989306021</v>
      </c>
    </row>
    <row r="175" spans="1:23" ht="12" customHeight="1" x14ac:dyDescent="0.35">
      <c r="A175" s="8" t="s">
        <v>18</v>
      </c>
      <c r="B175" s="43">
        <f>[1]FBT!B$38</f>
        <v>1.8590309174769752</v>
      </c>
      <c r="C175" s="43">
        <f>[1]FBT!C$38</f>
        <v>1.8489592207289305</v>
      </c>
      <c r="D175" s="43">
        <f>[1]FBT!D$38</f>
        <v>1.8382404217232176</v>
      </c>
      <c r="E175" s="43">
        <f>[1]FBT!E$38</f>
        <v>1.8001958980248731</v>
      </c>
      <c r="F175" s="43">
        <f>[1]FBT!F$38</f>
        <v>1.7543592392080924</v>
      </c>
      <c r="G175" s="43">
        <f>[1]FBT!G$38</f>
        <v>1.7048859313651969</v>
      </c>
      <c r="H175" s="43">
        <f>[1]FBT!H$38</f>
        <v>1.6684562363117457</v>
      </c>
      <c r="I175" s="43">
        <f>[1]FBT!I$38</f>
        <v>1.6406268021495511</v>
      </c>
      <c r="J175" s="43">
        <f>[1]FBT!J$38</f>
        <v>1.5951579060374748</v>
      </c>
      <c r="K175" s="43">
        <f>[1]FBT!K$38</f>
        <v>1.5616327437324311</v>
      </c>
      <c r="L175" s="43">
        <f>[1]FBT!L$38</f>
        <v>1.5646365784025158</v>
      </c>
      <c r="M175" s="43">
        <f>[1]FBT!M$38</f>
        <v>1.5219183663322746</v>
      </c>
      <c r="N175" s="43">
        <f>[1]FBT!N$38</f>
        <v>1.5143313768572291</v>
      </c>
      <c r="O175" s="43">
        <f>[1]FBT!O$38</f>
        <v>1.4932999400025115</v>
      </c>
      <c r="P175" s="43">
        <f>[1]FBT!P$38</f>
        <v>1.4580050289379614</v>
      </c>
      <c r="Q175" s="43">
        <f>[1]FBT!Q$38</f>
        <v>1.4605712386729877</v>
      </c>
      <c r="R175" s="43">
        <f>[1]FBT!R$38</f>
        <v>1.448422601205698</v>
      </c>
      <c r="S175" s="43">
        <f>[1]FBT!S$38</f>
        <v>1.4502913173483001</v>
      </c>
      <c r="T175" s="43">
        <f>[1]FBT!T$38</f>
        <v>1.4414121304187915</v>
      </c>
      <c r="U175" s="43">
        <f>[1]FBT!U$38</f>
        <v>1.399752898522066</v>
      </c>
      <c r="V175" s="43">
        <f>[1]FBT!V$38</f>
        <v>1.3831622046633587</v>
      </c>
      <c r="W175" s="43">
        <f>[1]FBT!W$38</f>
        <v>1.4148289822235351</v>
      </c>
    </row>
    <row r="176" spans="1:23" ht="12" customHeight="1" x14ac:dyDescent="0.35">
      <c r="A176" s="5" t="s">
        <v>19</v>
      </c>
      <c r="B176" s="39">
        <f>[1]TRE!B$38</f>
        <v>1.1862189770151221</v>
      </c>
      <c r="C176" s="39">
        <f>[1]TRE!C$38</f>
        <v>1.199647267121235</v>
      </c>
      <c r="D176" s="39">
        <f>[1]TRE!D$38</f>
        <v>1.1440920731894166</v>
      </c>
      <c r="E176" s="39">
        <f>[1]TRE!E$38</f>
        <v>1.1259240042847054</v>
      </c>
      <c r="F176" s="39">
        <f>[1]TRE!F$38</f>
        <v>1.0562267278348392</v>
      </c>
      <c r="G176" s="39">
        <f>[1]TRE!G$38</f>
        <v>0.98173561792476549</v>
      </c>
      <c r="H176" s="39">
        <f>[1]TRE!H$38</f>
        <v>0.97760057984662452</v>
      </c>
      <c r="I176" s="39">
        <f>[1]TRE!I$38</f>
        <v>0.96893302211428745</v>
      </c>
      <c r="J176" s="39">
        <f>[1]TRE!J$38</f>
        <v>0.90180620950064327</v>
      </c>
      <c r="K176" s="39">
        <f>[1]TRE!K$38</f>
        <v>0.90199315610496456</v>
      </c>
      <c r="L176" s="39">
        <f>[1]TRE!L$38</f>
        <v>0.90467665816018417</v>
      </c>
      <c r="M176" s="39">
        <f>[1]TRE!M$38</f>
        <v>0.8813056508519328</v>
      </c>
      <c r="N176" s="39">
        <f>[1]TRE!N$38</f>
        <v>0.85317601224435979</v>
      </c>
      <c r="O176" s="39">
        <f>[1]TRE!O$38</f>
        <v>0.858672413551133</v>
      </c>
      <c r="P176" s="39">
        <f>[1]TRE!P$38</f>
        <v>0.77501203690300102</v>
      </c>
      <c r="Q176" s="39">
        <f>[1]TRE!Q$38</f>
        <v>0.78501323812528023</v>
      </c>
      <c r="R176" s="39">
        <f>[1]TRE!R$38</f>
        <v>0.87931472075231243</v>
      </c>
      <c r="S176" s="39">
        <f>[1]TRE!S$38</f>
        <v>0.89127023966219177</v>
      </c>
      <c r="T176" s="39">
        <f>[1]TRE!T$38</f>
        <v>0.87490771004048218</v>
      </c>
      <c r="U176" s="39">
        <f>[1]TRE!U$38</f>
        <v>0.8950910394580498</v>
      </c>
      <c r="V176" s="39">
        <f>[1]TRE!V$38</f>
        <v>0.88355093898422565</v>
      </c>
      <c r="W176" s="39">
        <f>[1]TRE!W$38</f>
        <v>0.9056383067649304</v>
      </c>
    </row>
    <row r="177" spans="1:23" ht="12" customHeight="1" x14ac:dyDescent="0.35">
      <c r="A177" s="5" t="s">
        <v>20</v>
      </c>
      <c r="B177" s="39">
        <f>[1]MAE!B$38</f>
        <v>1.5056969432813243</v>
      </c>
      <c r="C177" s="39">
        <f>[1]MAE!C$38</f>
        <v>1.5038999620394959</v>
      </c>
      <c r="D177" s="39">
        <f>[1]MAE!D$38</f>
        <v>1.4886738994278452</v>
      </c>
      <c r="E177" s="39">
        <f>[1]MAE!E$38</f>
        <v>1.3369436878996523</v>
      </c>
      <c r="F177" s="39">
        <f>[1]MAE!F$38</f>
        <v>1.3178543899232549</v>
      </c>
      <c r="G177" s="39">
        <f>[1]MAE!G$38</f>
        <v>1.3064708546865924</v>
      </c>
      <c r="H177" s="39">
        <f>[1]MAE!H$38</f>
        <v>1.2935846690273085</v>
      </c>
      <c r="I177" s="39">
        <f>[1]MAE!I$38</f>
        <v>1.2603694709551925</v>
      </c>
      <c r="J177" s="39">
        <f>[1]MAE!J$38</f>
        <v>1.154962586432968</v>
      </c>
      <c r="K177" s="39">
        <f>[1]MAE!K$38</f>
        <v>1.1854714764846264</v>
      </c>
      <c r="L177" s="39">
        <f>[1]MAE!L$38</f>
        <v>1.1355574948889018</v>
      </c>
      <c r="M177" s="39">
        <f>[1]MAE!M$38</f>
        <v>1.0879923724310359</v>
      </c>
      <c r="N177" s="39">
        <f>[1]MAE!N$38</f>
        <v>1.0578384591905461</v>
      </c>
      <c r="O177" s="39">
        <f>[1]MAE!O$38</f>
        <v>1.0669912203810246</v>
      </c>
      <c r="P177" s="39">
        <f>[1]MAE!P$38</f>
        <v>0.99392041265353859</v>
      </c>
      <c r="Q177" s="39">
        <f>[1]MAE!Q$38</f>
        <v>1.0291424907230453</v>
      </c>
      <c r="R177" s="39">
        <f>[1]MAE!R$38</f>
        <v>1.0242266948809065</v>
      </c>
      <c r="S177" s="39">
        <f>[1]MAE!S$38</f>
        <v>1.0166427379540899</v>
      </c>
      <c r="T177" s="39">
        <f>[1]MAE!T$38</f>
        <v>0.9842009427034667</v>
      </c>
      <c r="U177" s="39">
        <f>[1]MAE!U$38</f>
        <v>0.96878735359006907</v>
      </c>
      <c r="V177" s="39">
        <f>[1]MAE!V$38</f>
        <v>0.96908145843074367</v>
      </c>
      <c r="W177" s="39">
        <f>[1]MAE!W$38</f>
        <v>0.99326310011454777</v>
      </c>
    </row>
    <row r="178" spans="1:23" ht="12" customHeight="1" x14ac:dyDescent="0.35">
      <c r="A178" s="5" t="s">
        <v>21</v>
      </c>
      <c r="B178" s="39">
        <f>[1]TEL!B$38</f>
        <v>1.6931457183612171</v>
      </c>
      <c r="C178" s="39">
        <f>[1]TEL!C$38</f>
        <v>1.6594087621944582</v>
      </c>
      <c r="D178" s="39">
        <f>[1]TEL!D$38</f>
        <v>1.6571133178976036</v>
      </c>
      <c r="E178" s="39">
        <f>[1]TEL!E$38</f>
        <v>1.6774557630599227</v>
      </c>
      <c r="F178" s="39">
        <f>[1]TEL!F$38</f>
        <v>1.634804699445447</v>
      </c>
      <c r="G178" s="39">
        <f>[1]TEL!G$38</f>
        <v>1.5038040034891622</v>
      </c>
      <c r="H178" s="39">
        <f>[1]TEL!H$38</f>
        <v>1.4919679351409989</v>
      </c>
      <c r="I178" s="39">
        <f>[1]TEL!I$38</f>
        <v>1.4385280008503234</v>
      </c>
      <c r="J178" s="39">
        <f>[1]TEL!J$38</f>
        <v>1.3980162264415894</v>
      </c>
      <c r="K178" s="39">
        <f>[1]TEL!K$38</f>
        <v>1.4229169141330169</v>
      </c>
      <c r="L178" s="39">
        <f>[1]TEL!L$38</f>
        <v>1.3244443321760344</v>
      </c>
      <c r="M178" s="39">
        <f>[1]TEL!M$38</f>
        <v>1.2912146894899172</v>
      </c>
      <c r="N178" s="39">
        <f>[1]TEL!N$38</f>
        <v>1.3110078707401804</v>
      </c>
      <c r="O178" s="39">
        <f>[1]TEL!O$38</f>
        <v>1.3204710872174021</v>
      </c>
      <c r="P178" s="39">
        <f>[1]TEL!P$38</f>
        <v>1.3029816041940749</v>
      </c>
      <c r="Q178" s="39">
        <f>[1]TEL!Q$38</f>
        <v>1.28387440793133</v>
      </c>
      <c r="R178" s="39">
        <f>[1]TEL!R$38</f>
        <v>1.3194106143601745</v>
      </c>
      <c r="S178" s="39">
        <f>[1]TEL!S$38</f>
        <v>1.3255278005235924</v>
      </c>
      <c r="T178" s="39">
        <f>[1]TEL!T$38</f>
        <v>1.2794578024035241</v>
      </c>
      <c r="U178" s="39">
        <f>[1]TEL!U$38</f>
        <v>1.2579610191921642</v>
      </c>
      <c r="V178" s="39">
        <f>[1]TEL!V$38</f>
        <v>1.2720859040164216</v>
      </c>
      <c r="W178" s="39">
        <f>[1]TEL!W$38</f>
        <v>1.3200376450308249</v>
      </c>
    </row>
    <row r="179" spans="1:23" ht="12" customHeight="1" x14ac:dyDescent="0.35">
      <c r="A179" s="5" t="s">
        <v>22</v>
      </c>
      <c r="B179" s="39">
        <f>[1]WWP!B$38</f>
        <v>0.59992851065906538</v>
      </c>
      <c r="C179" s="39">
        <f>[1]WWP!C$38</f>
        <v>0.61662434929968302</v>
      </c>
      <c r="D179" s="39">
        <f>[1]WWP!D$38</f>
        <v>0.55628664737765754</v>
      </c>
      <c r="E179" s="39">
        <f>[1]WWP!E$38</f>
        <v>0.53514719932760435</v>
      </c>
      <c r="F179" s="39">
        <f>[1]WWP!F$38</f>
        <v>0.56197509154151815</v>
      </c>
      <c r="G179" s="39">
        <f>[1]WWP!G$38</f>
        <v>0.55750956071880553</v>
      </c>
      <c r="H179" s="39">
        <f>[1]WWP!H$38</f>
        <v>0.57411267371105001</v>
      </c>
      <c r="I179" s="39">
        <f>[1]WWP!I$38</f>
        <v>0.46141787382303029</v>
      </c>
      <c r="J179" s="39">
        <f>[1]WWP!J$38</f>
        <v>0.4451057494682118</v>
      </c>
      <c r="K179" s="39">
        <f>[1]WWP!K$38</f>
        <v>0.38954844271247685</v>
      </c>
      <c r="L179" s="39">
        <f>[1]WWP!L$38</f>
        <v>0.37443448225346898</v>
      </c>
      <c r="M179" s="39">
        <f>[1]WWP!M$38</f>
        <v>0.37247401821286408</v>
      </c>
      <c r="N179" s="39">
        <f>[1]WWP!N$38</f>
        <v>0.30035914761701826</v>
      </c>
      <c r="O179" s="39">
        <f>[1]WWP!O$38</f>
        <v>0.27794877301199122</v>
      </c>
      <c r="P179" s="39">
        <f>[1]WWP!P$38</f>
        <v>0.25613845217796094</v>
      </c>
      <c r="Q179" s="39">
        <f>[1]WWP!Q$38</f>
        <v>0.25044814837510176</v>
      </c>
      <c r="R179" s="39">
        <f>[1]WWP!R$38</f>
        <v>0.25395211040174137</v>
      </c>
      <c r="S179" s="39">
        <f>[1]WWP!S$38</f>
        <v>0.25007969558649162</v>
      </c>
      <c r="T179" s="39">
        <f>[1]WWP!T$38</f>
        <v>0.26368489332719514</v>
      </c>
      <c r="U179" s="39">
        <f>[1]WWP!U$38</f>
        <v>0.24115820514556224</v>
      </c>
      <c r="V179" s="39">
        <f>[1]WWP!V$38</f>
        <v>0.21919847189074998</v>
      </c>
      <c r="W179" s="39">
        <f>[1]WWP!W$38</f>
        <v>0.24637479742608917</v>
      </c>
    </row>
    <row r="180" spans="1:23" ht="12" customHeight="1" x14ac:dyDescent="0.35">
      <c r="A180" s="9" t="s">
        <v>23</v>
      </c>
      <c r="B180" s="44">
        <f>[1]OIS!B$38</f>
        <v>1.6552754646168482</v>
      </c>
      <c r="C180" s="44">
        <f>[1]OIS!C$38</f>
        <v>1.5951726523486531</v>
      </c>
      <c r="D180" s="44">
        <f>[1]OIS!D$38</f>
        <v>1.4729337289551294</v>
      </c>
      <c r="E180" s="44">
        <f>[1]OIS!E$38</f>
        <v>1.4677053000402287</v>
      </c>
      <c r="F180" s="44">
        <f>[1]OIS!F$38</f>
        <v>1.3722679648094531</v>
      </c>
      <c r="G180" s="44">
        <f>[1]OIS!G$38</f>
        <v>1.4886110376278197</v>
      </c>
      <c r="H180" s="44">
        <f>[1]OIS!H$38</f>
        <v>1.4536474472256202</v>
      </c>
      <c r="I180" s="44">
        <f>[1]OIS!I$38</f>
        <v>1.4730204289686291</v>
      </c>
      <c r="J180" s="44">
        <f>[1]OIS!J$38</f>
        <v>1.4961383554232328</v>
      </c>
      <c r="K180" s="44">
        <f>[1]OIS!K$38</f>
        <v>1.4321725855581342</v>
      </c>
      <c r="L180" s="44">
        <f>[1]OIS!L$38</f>
        <v>1.4454584394727537</v>
      </c>
      <c r="M180" s="44">
        <f>[1]OIS!M$38</f>
        <v>1.3598990910094439</v>
      </c>
      <c r="N180" s="44">
        <f>[1]OIS!N$38</f>
        <v>1.3690560081489298</v>
      </c>
      <c r="O180" s="44">
        <f>[1]OIS!O$38</f>
        <v>1.3662223252934966</v>
      </c>
      <c r="P180" s="44">
        <f>[1]OIS!P$38</f>
        <v>1.3779821638219656</v>
      </c>
      <c r="Q180" s="44">
        <f>[1]OIS!Q$38</f>
        <v>1.3066098842792202</v>
      </c>
      <c r="R180" s="44">
        <f>[1]OIS!R$38</f>
        <v>1.2966613303993084</v>
      </c>
      <c r="S180" s="44">
        <f>[1]OIS!S$38</f>
        <v>1.2986720770983164</v>
      </c>
      <c r="T180" s="44">
        <f>[1]OIS!T$38</f>
        <v>1.385302566548082</v>
      </c>
      <c r="U180" s="44">
        <f>[1]OIS!U$38</f>
        <v>1.3791695339161334</v>
      </c>
      <c r="V180" s="44">
        <f>[1]OIS!V$38</f>
        <v>1.4128667396316448</v>
      </c>
      <c r="W180" s="44">
        <f>[1]OIS!W$38</f>
        <v>1.4405203956625645</v>
      </c>
    </row>
    <row r="182" spans="1:23" ht="12" customHeight="1" x14ac:dyDescent="0.35">
      <c r="A182" s="23" t="s">
        <v>136</v>
      </c>
    </row>
    <row r="183" spans="1:23" ht="12" customHeight="1" x14ac:dyDescent="0.35">
      <c r="A183" s="88" t="s">
        <v>153</v>
      </c>
      <c r="B183" s="88">
        <v>178302.95899999997</v>
      </c>
      <c r="C183" s="88">
        <v>173967.12300000002</v>
      </c>
      <c r="D183" s="88">
        <v>176612.33000000002</v>
      </c>
      <c r="E183" s="88">
        <v>179594.136</v>
      </c>
      <c r="F183" s="88">
        <v>189153.777</v>
      </c>
      <c r="G183" s="88">
        <v>182842.14299999998</v>
      </c>
      <c r="H183" s="88">
        <v>193920.21236</v>
      </c>
      <c r="I183" s="88">
        <v>196436.22524494567</v>
      </c>
      <c r="J183" s="88">
        <v>185657.50396322913</v>
      </c>
      <c r="K183" s="88">
        <v>129607.84823597805</v>
      </c>
      <c r="L183" s="88">
        <v>163517.16265126329</v>
      </c>
      <c r="M183" s="88">
        <v>168684.94458119618</v>
      </c>
      <c r="N183" s="88">
        <v>159423.27466179745</v>
      </c>
      <c r="O183" s="88">
        <v>154916.41559039656</v>
      </c>
      <c r="P183" s="88">
        <v>157583.15292352985</v>
      </c>
      <c r="Q183" s="88">
        <v>155891.05915516257</v>
      </c>
      <c r="R183" s="88">
        <v>155050.79428769561</v>
      </c>
      <c r="S183" s="88">
        <v>161445.48045486247</v>
      </c>
      <c r="T183" s="88">
        <v>160522.41042022867</v>
      </c>
      <c r="U183" s="88">
        <v>150695.08442022867</v>
      </c>
      <c r="V183" s="88">
        <v>132660.63842022867</v>
      </c>
      <c r="W183" s="88">
        <v>153098.70242022868</v>
      </c>
    </row>
    <row r="184" spans="1:23" ht="12" customHeight="1" x14ac:dyDescent="0.35">
      <c r="A184" s="88" t="s">
        <v>135</v>
      </c>
      <c r="B184" s="88">
        <v>109563.16899999999</v>
      </c>
      <c r="C184" s="88">
        <v>104778.12300000001</v>
      </c>
      <c r="D184" s="88">
        <v>107717.68799999999</v>
      </c>
      <c r="E184" s="88">
        <v>109169.515</v>
      </c>
      <c r="F184" s="88">
        <v>113743.823</v>
      </c>
      <c r="G184" s="88">
        <v>109280.692</v>
      </c>
      <c r="H184" s="88">
        <v>112074.67236</v>
      </c>
      <c r="I184" s="88">
        <v>113574.95083</v>
      </c>
      <c r="J184" s="88">
        <v>104851.186904</v>
      </c>
      <c r="K184" s="88">
        <v>69558.092999999993</v>
      </c>
      <c r="L184" s="88">
        <v>93793.496593999997</v>
      </c>
      <c r="M184" s="88">
        <v>95020.019792000006</v>
      </c>
      <c r="N184" s="88">
        <v>90577.381626000002</v>
      </c>
      <c r="O184" s="88">
        <v>90148.532999999996</v>
      </c>
      <c r="P184" s="88">
        <v>93096.957000000009</v>
      </c>
      <c r="Q184" s="88">
        <v>91817.957999999999</v>
      </c>
      <c r="R184" s="88">
        <v>91908.816999999995</v>
      </c>
      <c r="S184" s="88">
        <v>94428.224000000002</v>
      </c>
      <c r="T184" s="88">
        <v>92136.396000000008</v>
      </c>
      <c r="U184" s="88">
        <v>86768.317999999999</v>
      </c>
      <c r="V184" s="88">
        <v>74498.881999999998</v>
      </c>
      <c r="W184" s="88">
        <v>85511.426999999996</v>
      </c>
    </row>
    <row r="185" spans="1:23" ht="12" customHeight="1" x14ac:dyDescent="0.35">
      <c r="A185" s="88" t="s">
        <v>134</v>
      </c>
      <c r="B185" s="88">
        <v>68739.789999999994</v>
      </c>
      <c r="C185" s="88">
        <v>69189</v>
      </c>
      <c r="D185" s="88">
        <v>68894.642000000007</v>
      </c>
      <c r="E185" s="88">
        <v>70424.620999999999</v>
      </c>
      <c r="F185" s="88">
        <v>75409.953999999998</v>
      </c>
      <c r="G185" s="88">
        <v>73561.451000000001</v>
      </c>
      <c r="H185" s="88">
        <v>81845.540000000008</v>
      </c>
      <c r="I185" s="88">
        <v>82861.27441494567</v>
      </c>
      <c r="J185" s="88">
        <v>80806.317059229128</v>
      </c>
      <c r="K185" s="88">
        <v>60049.755235978053</v>
      </c>
      <c r="L185" s="88">
        <v>69723.666057263312</v>
      </c>
      <c r="M185" s="88">
        <v>73664.924789196157</v>
      </c>
      <c r="N185" s="88">
        <v>68845.893035797431</v>
      </c>
      <c r="O185" s="88">
        <v>64767.882590396577</v>
      </c>
      <c r="P185" s="88">
        <v>64486.195923529842</v>
      </c>
      <c r="Q185" s="88">
        <v>64073.101155162571</v>
      </c>
      <c r="R185" s="88">
        <v>63141.977287695619</v>
      </c>
      <c r="S185" s="88">
        <v>67017.256454862465</v>
      </c>
      <c r="T185" s="88">
        <v>68386.014420228661</v>
      </c>
      <c r="U185" s="88">
        <v>63926.766420228669</v>
      </c>
      <c r="V185" s="88">
        <v>58161.756420228667</v>
      </c>
      <c r="W185" s="88">
        <v>67587.275420228674</v>
      </c>
    </row>
    <row r="186" spans="1:23" ht="12" customHeight="1" x14ac:dyDescent="0.35">
      <c r="A186" s="88" t="s">
        <v>154</v>
      </c>
      <c r="B186" s="88">
        <v>5643</v>
      </c>
      <c r="C186" s="88">
        <v>4863</v>
      </c>
      <c r="D186" s="88">
        <v>5735</v>
      </c>
      <c r="E186" s="88">
        <v>6057</v>
      </c>
      <c r="F186" s="88">
        <v>6698</v>
      </c>
      <c r="G186" s="88">
        <v>7492</v>
      </c>
      <c r="H186" s="88">
        <v>7585</v>
      </c>
      <c r="I186" s="88">
        <v>7134</v>
      </c>
      <c r="J186" s="88">
        <v>7284.875</v>
      </c>
      <c r="K186" s="88">
        <v>5220.72</v>
      </c>
      <c r="L186" s="88">
        <v>6623.7</v>
      </c>
      <c r="M186" s="88">
        <v>7668.9539999999997</v>
      </c>
      <c r="N186" s="88">
        <v>6956.88</v>
      </c>
      <c r="O186" s="88">
        <v>7351.5119999999997</v>
      </c>
      <c r="P186" s="88">
        <v>6959.04</v>
      </c>
      <c r="Q186" s="88">
        <v>7157.5190000000002</v>
      </c>
      <c r="R186" s="88">
        <v>7180.46</v>
      </c>
      <c r="S186" s="88">
        <v>7166.4</v>
      </c>
      <c r="T186" s="88">
        <v>7178</v>
      </c>
      <c r="U186" s="88">
        <v>7086.4</v>
      </c>
      <c r="V186" s="88">
        <v>7001</v>
      </c>
      <c r="W186" s="88">
        <v>7029.2731611597183</v>
      </c>
    </row>
    <row r="187" spans="1:23" ht="12" customHeight="1" x14ac:dyDescent="0.35">
      <c r="A187" s="88" t="s">
        <v>155</v>
      </c>
      <c r="B187" s="88">
        <v>5006.8525999784542</v>
      </c>
      <c r="C187" s="88">
        <v>4957.3678661763488</v>
      </c>
      <c r="D187" s="88">
        <v>5076.4279999999999</v>
      </c>
      <c r="E187" s="88">
        <v>5054.2890000000007</v>
      </c>
      <c r="F187" s="88">
        <v>5248.0839999999998</v>
      </c>
      <c r="G187" s="88">
        <v>5759.4395000000004</v>
      </c>
      <c r="H187" s="88">
        <v>5946.1329999999998</v>
      </c>
      <c r="I187" s="88">
        <v>6178.4</v>
      </c>
      <c r="J187" s="88">
        <v>6026.4639999999999</v>
      </c>
      <c r="K187" s="88">
        <v>4217.3835686595903</v>
      </c>
      <c r="L187" s="88">
        <v>5169.2733716051407</v>
      </c>
      <c r="M187" s="88">
        <v>5216.0688035244184</v>
      </c>
      <c r="N187" s="88">
        <v>4854.5879783310129</v>
      </c>
      <c r="O187" s="88">
        <v>4761.6249801772847</v>
      </c>
      <c r="P187" s="88">
        <v>4367.5255482675075</v>
      </c>
      <c r="Q187" s="88">
        <v>4545.3399881698979</v>
      </c>
      <c r="R187" s="88">
        <v>4747.8420000713541</v>
      </c>
      <c r="S187" s="88">
        <v>5124.826352485803</v>
      </c>
      <c r="T187" s="88">
        <v>5095.1823480161274</v>
      </c>
      <c r="U187" s="88">
        <v>4939.161437364869</v>
      </c>
      <c r="V187" s="88">
        <v>4510.5090286063842</v>
      </c>
      <c r="W187" s="88">
        <v>4633.4299704808964</v>
      </c>
    </row>
    <row r="188" spans="1:23" ht="12" customHeight="1" x14ac:dyDescent="0.35">
      <c r="A188" s="88" t="s">
        <v>156</v>
      </c>
      <c r="B188" s="88">
        <v>2662.266000000001</v>
      </c>
      <c r="C188" s="88">
        <v>2684.6889999999999</v>
      </c>
      <c r="D188" s="88">
        <v>2707.1480000000001</v>
      </c>
      <c r="E188" s="88">
        <v>2754.34</v>
      </c>
      <c r="F188" s="88">
        <v>2890.7919999999999</v>
      </c>
      <c r="G188" s="88">
        <v>2898.951</v>
      </c>
      <c r="H188" s="88">
        <v>2676.3580000000002</v>
      </c>
      <c r="I188" s="88">
        <v>2739.0830000000001</v>
      </c>
      <c r="J188" s="88">
        <v>2732.8330000000001</v>
      </c>
      <c r="K188" s="88">
        <v>1918.566</v>
      </c>
      <c r="L188" s="88">
        <v>2150.6529999999998</v>
      </c>
      <c r="M188" s="88">
        <v>2355.462</v>
      </c>
      <c r="N188" s="88">
        <v>1971.962</v>
      </c>
      <c r="O188" s="88">
        <v>1876</v>
      </c>
      <c r="P188" s="88">
        <v>1802.567</v>
      </c>
      <c r="Q188" s="88">
        <v>1926.028</v>
      </c>
      <c r="R188" s="88">
        <v>1967.9</v>
      </c>
      <c r="S188" s="88">
        <v>2203.8000000000002</v>
      </c>
      <c r="T188" s="88">
        <v>2160</v>
      </c>
      <c r="U188" s="88">
        <v>2035.894</v>
      </c>
      <c r="V188" s="88">
        <v>2006.4749999999999</v>
      </c>
      <c r="W188" s="88">
        <v>2016.6949999999999</v>
      </c>
    </row>
    <row r="189" spans="1:23" ht="12" customHeight="1" x14ac:dyDescent="0.35">
      <c r="A189" s="88" t="s">
        <v>157</v>
      </c>
      <c r="B189" s="88">
        <v>2344.5865999784528</v>
      </c>
      <c r="C189" s="88">
        <v>2272.6788661763489</v>
      </c>
      <c r="D189" s="88">
        <v>2369.2800000000002</v>
      </c>
      <c r="E189" s="88">
        <v>2299.9490000000001</v>
      </c>
      <c r="F189" s="88">
        <v>2357.2919999999999</v>
      </c>
      <c r="G189" s="88">
        <v>2860.4884999999999</v>
      </c>
      <c r="H189" s="88">
        <v>3269.7750000000001</v>
      </c>
      <c r="I189" s="88">
        <v>3439.317</v>
      </c>
      <c r="J189" s="88">
        <v>3293.6309999999999</v>
      </c>
      <c r="K189" s="88">
        <v>2298.8175686595901</v>
      </c>
      <c r="L189" s="88">
        <v>3018.6203716051409</v>
      </c>
      <c r="M189" s="88">
        <v>2860.606803524418</v>
      </c>
      <c r="N189" s="88">
        <v>2882.6259783310129</v>
      </c>
      <c r="O189" s="88">
        <v>2885.6249801772851</v>
      </c>
      <c r="P189" s="88">
        <v>2564.958548267507</v>
      </c>
      <c r="Q189" s="88">
        <v>2619.3119881698981</v>
      </c>
      <c r="R189" s="88">
        <v>2779.942000071354</v>
      </c>
      <c r="S189" s="88">
        <v>2921.0263524858028</v>
      </c>
      <c r="T189" s="88">
        <v>2935.1823480161279</v>
      </c>
      <c r="U189" s="88">
        <v>2903.2674373648688</v>
      </c>
      <c r="V189" s="88">
        <v>2504.0340286063838</v>
      </c>
      <c r="W189" s="88">
        <v>2616.7349704808962</v>
      </c>
    </row>
    <row r="190" spans="1:23" ht="12" customHeight="1" x14ac:dyDescent="0.35">
      <c r="A190" s="88" t="s">
        <v>128</v>
      </c>
      <c r="B190" s="88">
        <v>13337.551616666669</v>
      </c>
      <c r="C190" s="88">
        <v>13883.746300000001</v>
      </c>
      <c r="D190" s="88">
        <v>13696.844616666671</v>
      </c>
      <c r="E190" s="88">
        <v>13088.355600000001</v>
      </c>
      <c r="F190" s="88">
        <v>13296.606866666671</v>
      </c>
      <c r="G190" s="88">
        <v>13202.318950000001</v>
      </c>
      <c r="H190" s="88">
        <v>12922.435533333341</v>
      </c>
      <c r="I190" s="88">
        <v>13011.281116666671</v>
      </c>
      <c r="J190" s="88">
        <v>12667.240641666671</v>
      </c>
      <c r="K190" s="88">
        <v>11527.25023333333</v>
      </c>
      <c r="L190" s="88">
        <v>12595.54315</v>
      </c>
      <c r="M190" s="88">
        <v>13182.232216666671</v>
      </c>
      <c r="N190" s="88">
        <v>12806.596133333331</v>
      </c>
      <c r="O190" s="88">
        <v>12911.44319</v>
      </c>
      <c r="P190" s="88">
        <v>13238.351070000001</v>
      </c>
      <c r="Q190" s="88">
        <v>13864.914117621851</v>
      </c>
      <c r="R190" s="88">
        <v>13971.67704026309</v>
      </c>
      <c r="S190" s="88">
        <v>14014.883184995049</v>
      </c>
      <c r="T190" s="88">
        <v>13807.778155123309</v>
      </c>
      <c r="U190" s="88">
        <v>13722.58896735075</v>
      </c>
      <c r="V190" s="88">
        <v>13508.46087600122</v>
      </c>
      <c r="W190" s="88">
        <v>14545.401992955671</v>
      </c>
    </row>
    <row r="191" spans="1:23" ht="12" customHeight="1" x14ac:dyDescent="0.35">
      <c r="A191" s="88" t="s">
        <v>129</v>
      </c>
      <c r="B191" s="88">
        <v>61640.244879418569</v>
      </c>
      <c r="C191" s="88">
        <v>61759.920819245628</v>
      </c>
      <c r="D191" s="88">
        <v>62921.040217367998</v>
      </c>
      <c r="E191" s="88">
        <v>66549.950779299645</v>
      </c>
      <c r="F191" s="88">
        <v>66427.448222676176</v>
      </c>
      <c r="G191" s="88">
        <v>68620.873344828753</v>
      </c>
      <c r="H191" s="88">
        <v>68644.71243864928</v>
      </c>
      <c r="I191" s="88">
        <v>72469.63428953191</v>
      </c>
      <c r="J191" s="88">
        <v>74633.226757868149</v>
      </c>
      <c r="K191" s="88">
        <v>64909.914866820043</v>
      </c>
      <c r="L191" s="88">
        <v>71733.309524997268</v>
      </c>
      <c r="M191" s="88">
        <v>74513.426785583593</v>
      </c>
      <c r="N191" s="88">
        <v>75584.41322544156</v>
      </c>
      <c r="O191" s="88">
        <v>77725.20222247405</v>
      </c>
      <c r="P191" s="88">
        <v>76828.956680364208</v>
      </c>
      <c r="Q191" s="88">
        <v>79492.254314055303</v>
      </c>
      <c r="R191" s="88">
        <v>76158.09402481516</v>
      </c>
      <c r="S191" s="88">
        <v>83883.918346762832</v>
      </c>
      <c r="T191" s="88">
        <v>79534.085584134882</v>
      </c>
      <c r="U191" s="88">
        <v>80633.679268685475</v>
      </c>
      <c r="V191" s="88">
        <v>80650.934307762975</v>
      </c>
      <c r="W191" s="88">
        <v>84286.336540003118</v>
      </c>
    </row>
    <row r="192" spans="1:23" ht="12" customHeight="1" x14ac:dyDescent="0.35">
      <c r="A192" s="88" t="s">
        <v>130</v>
      </c>
      <c r="B192" s="88">
        <v>39663.43423208809</v>
      </c>
      <c r="C192" s="88">
        <v>36096.598427216697</v>
      </c>
      <c r="D192" s="88">
        <v>32964.629781468073</v>
      </c>
      <c r="E192" s="88">
        <v>33266.686472038738</v>
      </c>
      <c r="F192" s="88">
        <v>32799.252889822063</v>
      </c>
      <c r="G192" s="88">
        <v>33279.703974680873</v>
      </c>
      <c r="H192" s="88">
        <v>30787.475739104029</v>
      </c>
      <c r="I192" s="88">
        <v>32819.672563057276</v>
      </c>
      <c r="J192" s="88">
        <v>29286.54778748579</v>
      </c>
      <c r="K192" s="88">
        <v>26966.762202098609</v>
      </c>
      <c r="L192" s="88">
        <v>26129.679156977531</v>
      </c>
      <c r="M192" s="88">
        <v>27092.669327397329</v>
      </c>
      <c r="N192" s="88">
        <v>27667.974617642929</v>
      </c>
      <c r="O192" s="88">
        <v>26237.955705322369</v>
      </c>
      <c r="P192" s="88">
        <v>29599.28602972993</v>
      </c>
      <c r="Q192" s="88">
        <v>27005.691900819809</v>
      </c>
      <c r="R192" s="88">
        <v>27376.836103092821</v>
      </c>
      <c r="S192" s="88">
        <v>25149.527697746871</v>
      </c>
      <c r="T192" s="88">
        <v>27607.00507338631</v>
      </c>
      <c r="U192" s="88">
        <v>26835.206370278629</v>
      </c>
      <c r="V192" s="88">
        <v>32335.36430807097</v>
      </c>
      <c r="W192" s="88">
        <v>32136.272344459911</v>
      </c>
    </row>
    <row r="193" spans="1:23" ht="12" customHeight="1" x14ac:dyDescent="0.35">
      <c r="A193" s="88" t="s">
        <v>131</v>
      </c>
      <c r="B193" s="88">
        <v>9006.8195238814424</v>
      </c>
      <c r="C193" s="88">
        <v>9132.7666597005827</v>
      </c>
      <c r="D193" s="88">
        <v>9230.1981414545953</v>
      </c>
      <c r="E193" s="88">
        <v>10041.82212043071</v>
      </c>
      <c r="F193" s="88">
        <v>9301.9969261893875</v>
      </c>
      <c r="G193" s="88">
        <v>9733.5427002379474</v>
      </c>
      <c r="H193" s="88">
        <v>9796.3887037070253</v>
      </c>
      <c r="I193" s="88">
        <v>9912.2396884869158</v>
      </c>
      <c r="J193" s="88">
        <v>9540.1798129772687</v>
      </c>
      <c r="K193" s="88">
        <v>10347.24416299288</v>
      </c>
      <c r="L193" s="88">
        <v>9032.7898706515953</v>
      </c>
      <c r="M193" s="88">
        <v>9056.2771687680633</v>
      </c>
      <c r="N193" s="88">
        <v>9597.1585809496919</v>
      </c>
      <c r="O193" s="88">
        <v>9661.3652852984815</v>
      </c>
      <c r="P193" s="88">
        <v>10222.3738000266</v>
      </c>
      <c r="Q193" s="88">
        <v>10152.69836330575</v>
      </c>
      <c r="R193" s="88">
        <v>10309.11973081959</v>
      </c>
      <c r="S193" s="88">
        <v>9128.309414936406</v>
      </c>
      <c r="T193" s="88">
        <v>9668.7399975425251</v>
      </c>
      <c r="U193" s="88">
        <v>10285.02692556824</v>
      </c>
      <c r="V193" s="88">
        <v>11056.78552347484</v>
      </c>
      <c r="W193" s="88">
        <v>10524.76918535111</v>
      </c>
    </row>
    <row r="194" spans="1:23" ht="12" customHeight="1" x14ac:dyDescent="0.35">
      <c r="A194" s="88" t="s">
        <v>158</v>
      </c>
      <c r="B194" s="88">
        <v>220796.98199999999</v>
      </c>
      <c r="C194" s="88">
        <v>216649.72500000001</v>
      </c>
      <c r="D194" s="88">
        <v>215885.13399999999</v>
      </c>
      <c r="E194" s="88">
        <v>223432.35500000001</v>
      </c>
      <c r="F194" s="88">
        <v>231196.24</v>
      </c>
      <c r="G194" s="88">
        <v>232211.81299999999</v>
      </c>
      <c r="H194" s="88">
        <v>255089.13800000001</v>
      </c>
      <c r="I194" s="88">
        <v>258798.83420000001</v>
      </c>
      <c r="J194" s="88">
        <v>235718.53966800001</v>
      </c>
      <c r="K194" s="88">
        <v>188839.06277799999</v>
      </c>
      <c r="L194" s="88">
        <v>183329.14897499999</v>
      </c>
      <c r="M194" s="88">
        <v>184249.26954075001</v>
      </c>
      <c r="N194" s="88">
        <v>166801.56341589749</v>
      </c>
      <c r="O194" s="88">
        <v>157559.12222703471</v>
      </c>
      <c r="P194" s="88">
        <v>158695.23022200001</v>
      </c>
      <c r="Q194" s="88">
        <v>157175.951482089</v>
      </c>
      <c r="R194" s="88">
        <v>160513.80956629731</v>
      </c>
      <c r="S194" s="88">
        <v>167017.61890811089</v>
      </c>
      <c r="T194" s="88">
        <v>169387.175706446</v>
      </c>
      <c r="U194" s="88">
        <v>173937.23326962581</v>
      </c>
      <c r="V194" s="88">
        <v>172744.13729680571</v>
      </c>
      <c r="W194" s="88">
        <v>176142.90545704431</v>
      </c>
    </row>
    <row r="195" spans="1:23" ht="12" customHeight="1" x14ac:dyDescent="0.35">
      <c r="A195" s="88" t="s">
        <v>132</v>
      </c>
      <c r="B195" s="88">
        <v>325022.00936293718</v>
      </c>
      <c r="C195" s="88">
        <v>341574.60525658872</v>
      </c>
      <c r="D195" s="88">
        <v>329821.12584607559</v>
      </c>
      <c r="E195" s="88">
        <v>361482.08213064523</v>
      </c>
      <c r="F195" s="88">
        <v>365080.70789436571</v>
      </c>
      <c r="G195" s="88">
        <v>400597.53391052329</v>
      </c>
      <c r="H195" s="88">
        <v>337130.9596911582</v>
      </c>
      <c r="I195" s="88">
        <v>363323.53218121961</v>
      </c>
      <c r="J195" s="88">
        <v>365262.21862890403</v>
      </c>
      <c r="K195" s="88">
        <v>288218.59281333338</v>
      </c>
      <c r="L195" s="88">
        <v>312327.20460975199</v>
      </c>
      <c r="M195" s="88">
        <v>325732.39780923107</v>
      </c>
      <c r="N195" s="88">
        <v>311194.3022834232</v>
      </c>
      <c r="O195" s="88">
        <v>304177.4789439349</v>
      </c>
      <c r="P195" s="88">
        <v>295214.34315725887</v>
      </c>
      <c r="Q195" s="88">
        <v>311058.88010486629</v>
      </c>
      <c r="R195" s="88">
        <v>314123.73532037158</v>
      </c>
      <c r="S195" s="88">
        <v>295096.24771314522</v>
      </c>
      <c r="T195" s="88">
        <v>308914.71157955151</v>
      </c>
      <c r="U195" s="88">
        <v>312422.72584734572</v>
      </c>
      <c r="V195" s="88">
        <v>306004.21103624848</v>
      </c>
      <c r="W195" s="88">
        <v>328968.91806054453</v>
      </c>
    </row>
    <row r="196" spans="1:23" ht="12" customHeight="1" x14ac:dyDescent="0.35">
      <c r="A196" s="88" t="s">
        <v>159</v>
      </c>
      <c r="B196" s="88">
        <v>32689.128239463909</v>
      </c>
      <c r="C196" s="88">
        <v>33044.890524899172</v>
      </c>
      <c r="D196" s="88">
        <v>33392.874156494952</v>
      </c>
      <c r="E196" s="88">
        <v>33832.40458551039</v>
      </c>
      <c r="F196" s="88">
        <v>34319.410731783399</v>
      </c>
      <c r="G196" s="88">
        <v>34211.983117139418</v>
      </c>
      <c r="H196" s="88">
        <v>34977.921222803743</v>
      </c>
      <c r="I196" s="88">
        <v>35326.875341089843</v>
      </c>
      <c r="J196" s="88">
        <v>34467.449021295652</v>
      </c>
      <c r="K196" s="88">
        <v>30653.741364731712</v>
      </c>
      <c r="L196" s="88">
        <v>32229.3174656806</v>
      </c>
      <c r="M196" s="88">
        <v>32770.577314666189</v>
      </c>
      <c r="N196" s="88">
        <v>32224.647898134401</v>
      </c>
      <c r="O196" s="88">
        <v>31721.778690749139</v>
      </c>
      <c r="P196" s="88">
        <v>32532.229160688559</v>
      </c>
      <c r="Q196" s="88">
        <v>33162.177841473618</v>
      </c>
      <c r="R196" s="88">
        <v>33712.102438649177</v>
      </c>
      <c r="S196" s="88">
        <v>34793.927201366307</v>
      </c>
      <c r="T196" s="88">
        <v>35755.86749125916</v>
      </c>
      <c r="U196" s="88">
        <v>35423.057848159879</v>
      </c>
      <c r="V196" s="88">
        <v>34049.272234211749</v>
      </c>
      <c r="W196" s="88">
        <v>34253.800378097338</v>
      </c>
    </row>
    <row r="197" spans="1:23" ht="12" customHeight="1" x14ac:dyDescent="0.35">
      <c r="A197" s="88" t="s">
        <v>160</v>
      </c>
      <c r="B197" s="88">
        <v>37559.699999999997</v>
      </c>
      <c r="C197" s="88">
        <v>35897.699999999997</v>
      </c>
      <c r="D197" s="88">
        <v>36982.47</v>
      </c>
      <c r="E197" s="88">
        <v>38329.699999999997</v>
      </c>
      <c r="F197" s="88">
        <v>39791.75</v>
      </c>
      <c r="G197" s="88">
        <v>38761.14</v>
      </c>
      <c r="H197" s="88">
        <v>41320.33</v>
      </c>
      <c r="I197" s="88">
        <v>41193.22</v>
      </c>
      <c r="J197" s="88">
        <v>39678.980000000003</v>
      </c>
      <c r="K197" s="88">
        <v>34463.24</v>
      </c>
      <c r="L197" s="88">
        <v>36682.65</v>
      </c>
      <c r="M197" s="88">
        <v>37071.910000000003</v>
      </c>
      <c r="N197" s="88">
        <v>36825.706047819462</v>
      </c>
      <c r="O197" s="88">
        <v>36593.589668508641</v>
      </c>
      <c r="P197" s="88">
        <v>36424.674512819343</v>
      </c>
      <c r="Q197" s="88">
        <v>36216.168345337079</v>
      </c>
      <c r="R197" s="88">
        <v>37002.574096945893</v>
      </c>
      <c r="S197" s="88">
        <v>38396.66662148411</v>
      </c>
      <c r="T197" s="88">
        <v>38598.277243402918</v>
      </c>
      <c r="U197" s="88">
        <v>38242.03724340292</v>
      </c>
      <c r="V197" s="88">
        <v>37267.221722668139</v>
      </c>
      <c r="W197" s="88">
        <v>37738.12172266814</v>
      </c>
    </row>
    <row r="198" spans="1:23" ht="12" customHeight="1" x14ac:dyDescent="0.35">
      <c r="A198" s="88" t="s">
        <v>161</v>
      </c>
      <c r="B198" s="88">
        <v>83548.56</v>
      </c>
      <c r="C198" s="88">
        <v>82324.539999999994</v>
      </c>
      <c r="D198" s="88">
        <v>84794.11</v>
      </c>
      <c r="E198" s="88">
        <v>86864.03</v>
      </c>
      <c r="F198" s="88">
        <v>91242.89</v>
      </c>
      <c r="G198" s="88">
        <v>92137.31</v>
      </c>
      <c r="H198" s="88">
        <v>96507.13</v>
      </c>
      <c r="I198" s="88">
        <v>96692.53</v>
      </c>
      <c r="J198" s="88">
        <v>93295.4</v>
      </c>
      <c r="K198" s="88">
        <v>84210.94</v>
      </c>
      <c r="L198" s="88">
        <v>90977.95</v>
      </c>
      <c r="M198" s="88">
        <v>90107.3</v>
      </c>
      <c r="N198" s="88">
        <v>88495.362497723851</v>
      </c>
      <c r="O198" s="88">
        <v>88430.045162919268</v>
      </c>
      <c r="P198" s="88">
        <v>87307.479173427753</v>
      </c>
      <c r="Q198" s="88">
        <v>87430.674067521075</v>
      </c>
      <c r="R198" s="88">
        <v>87592.44550897798</v>
      </c>
      <c r="S198" s="88">
        <v>88961.542000000001</v>
      </c>
      <c r="T198" s="88">
        <v>88898.354938775505</v>
      </c>
      <c r="U198" s="88">
        <v>86417.42659944389</v>
      </c>
      <c r="V198" s="88">
        <v>82234.018105116687</v>
      </c>
      <c r="W198" s="88">
        <v>86876.175043997748</v>
      </c>
    </row>
    <row r="199" spans="1:23" ht="12" customHeight="1" x14ac:dyDescent="0.35">
      <c r="A199" s="88" t="s">
        <v>133</v>
      </c>
      <c r="B199" s="88">
        <v>10933.42623845353</v>
      </c>
      <c r="C199" s="88">
        <v>10942.183418635101</v>
      </c>
      <c r="D199" s="88">
        <v>10933.491055673951</v>
      </c>
      <c r="E199" s="88">
        <v>10973.38010744605</v>
      </c>
      <c r="F199" s="88">
        <v>11154.20833194596</v>
      </c>
      <c r="G199" s="88">
        <v>11377.937639237791</v>
      </c>
      <c r="H199" s="88">
        <v>11432.25639802455</v>
      </c>
      <c r="I199" s="88">
        <v>11594.734321508249</v>
      </c>
      <c r="J199" s="88">
        <v>11111.4740240026</v>
      </c>
      <c r="K199" s="88">
        <v>10154.52006519213</v>
      </c>
      <c r="L199" s="88">
        <v>10731.27885146444</v>
      </c>
      <c r="M199" s="88">
        <v>10437.613954418521</v>
      </c>
      <c r="N199" s="88">
        <v>10193.96659533114</v>
      </c>
      <c r="O199" s="88">
        <v>10214.477642937291</v>
      </c>
      <c r="P199" s="88">
        <v>10191.863114542321</v>
      </c>
      <c r="Q199" s="88">
        <v>9908.3395688157725</v>
      </c>
      <c r="R199" s="88">
        <v>10644.709918045861</v>
      </c>
      <c r="S199" s="88">
        <v>10458.25839803407</v>
      </c>
      <c r="T199" s="88">
        <v>10658.433549138579</v>
      </c>
      <c r="U199" s="88">
        <v>9912.6422485932017</v>
      </c>
      <c r="V199" s="88">
        <v>9351.3455000070462</v>
      </c>
      <c r="W199" s="88">
        <v>11125.12033669288</v>
      </c>
    </row>
  </sheetData>
  <pageMargins left="0.39370078740157483" right="0.39370078740157483" top="0.39370078740157483" bottom="0.39370078740157483" header="0.31496062992125978" footer="0.31496062992125978"/>
  <pageSetup paperSize="9" scale="57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BB6B2-4A7B-495A-8276-8FCF8D03D390}">
  <sheetPr>
    <pageSetUpPr fitToPage="1"/>
  </sheetPr>
  <dimension ref="A1:DA243"/>
  <sheetViews>
    <sheetView showGridLines="0" tabSelected="1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C41" sqref="C41"/>
    </sheetView>
  </sheetViews>
  <sheetFormatPr defaultColWidth="9.1796875" defaultRowHeight="10.5" x14ac:dyDescent="0.35"/>
  <cols>
    <col min="1" max="1" width="50.7265625" style="46" customWidth="1"/>
    <col min="2" max="23" width="9.7265625" style="46" customWidth="1"/>
    <col min="24" max="103" width="0" style="46" hidden="1" customWidth="1"/>
    <col min="104" max="104" width="2.7265625" style="46" customWidth="1"/>
    <col min="105" max="105" width="9.7265625" style="86" customWidth="1"/>
    <col min="106" max="16384" width="9.1796875" style="46"/>
  </cols>
  <sheetData>
    <row r="1" spans="1:105" ht="13.5" customHeight="1" x14ac:dyDescent="0.35">
      <c r="A1" s="1" t="s">
        <v>162</v>
      </c>
      <c r="B1" s="45">
        <v>2000</v>
      </c>
      <c r="C1" s="45">
        <v>2001</v>
      </c>
      <c r="D1" s="45">
        <v>2002</v>
      </c>
      <c r="E1" s="45">
        <v>2003</v>
      </c>
      <c r="F1" s="45">
        <v>2004</v>
      </c>
      <c r="G1" s="45">
        <v>2005</v>
      </c>
      <c r="H1" s="45">
        <v>2006</v>
      </c>
      <c r="I1" s="45">
        <v>2007</v>
      </c>
      <c r="J1" s="45">
        <v>2008</v>
      </c>
      <c r="K1" s="45">
        <v>2009</v>
      </c>
      <c r="L1" s="45">
        <v>2010</v>
      </c>
      <c r="M1" s="45">
        <v>2011</v>
      </c>
      <c r="N1" s="45">
        <v>2012</v>
      </c>
      <c r="O1" s="45">
        <v>2013</v>
      </c>
      <c r="P1" s="45">
        <v>2014</v>
      </c>
      <c r="Q1" s="45">
        <v>2015</v>
      </c>
      <c r="R1" s="45">
        <v>2016</v>
      </c>
      <c r="S1" s="45">
        <v>2017</v>
      </c>
      <c r="T1" s="45">
        <v>2018</v>
      </c>
      <c r="U1" s="45">
        <v>2019</v>
      </c>
      <c r="V1" s="45">
        <v>2020</v>
      </c>
      <c r="W1" s="45">
        <v>2021</v>
      </c>
      <c r="DA1" s="47" t="s">
        <v>63</v>
      </c>
    </row>
    <row r="2" spans="1:105" x14ac:dyDescent="0.35">
      <c r="A2" s="48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DA2" s="49"/>
    </row>
    <row r="3" spans="1:105" ht="11.5" customHeight="1" x14ac:dyDescent="0.35">
      <c r="A3" s="50" t="s">
        <v>64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DA3" s="52"/>
    </row>
    <row r="4" spans="1:105" ht="11.5" customHeight="1" x14ac:dyDescent="0.35">
      <c r="A4" s="53" t="s">
        <v>65</v>
      </c>
      <c r="B4" s="54">
        <f t="shared" ref="B4:W4" si="0">B5+B9+B13</f>
        <v>5378408.69012189</v>
      </c>
      <c r="C4" s="54">
        <f t="shared" si="0"/>
        <v>5443869.2249760795</v>
      </c>
      <c r="D4" s="54">
        <f t="shared" si="0"/>
        <v>5479333.3450158518</v>
      </c>
      <c r="E4" s="54">
        <f t="shared" si="0"/>
        <v>5536316.7940890174</v>
      </c>
      <c r="F4" s="54">
        <f t="shared" si="0"/>
        <v>5680470.8880306892</v>
      </c>
      <c r="G4" s="54">
        <f t="shared" si="0"/>
        <v>5715831.7764256448</v>
      </c>
      <c r="H4" s="54">
        <f t="shared" si="0"/>
        <v>5801785.9439966744</v>
      </c>
      <c r="I4" s="54">
        <f t="shared" si="0"/>
        <v>5915759.9736202955</v>
      </c>
      <c r="J4" s="54">
        <f t="shared" si="0"/>
        <v>5960045.3827763898</v>
      </c>
      <c r="K4" s="54">
        <f t="shared" si="0"/>
        <v>5948232.0358761484</v>
      </c>
      <c r="L4" s="54">
        <f t="shared" si="0"/>
        <v>5957693.8460187791</v>
      </c>
      <c r="M4" s="54">
        <f t="shared" si="0"/>
        <v>6002195.3819037843</v>
      </c>
      <c r="N4" s="54">
        <f t="shared" si="0"/>
        <v>5964690.6996715572</v>
      </c>
      <c r="O4" s="54">
        <f t="shared" si="0"/>
        <v>6045841.9938543206</v>
      </c>
      <c r="P4" s="54">
        <f t="shared" si="0"/>
        <v>6148468.6283718813</v>
      </c>
      <c r="Q4" s="54">
        <f t="shared" si="0"/>
        <v>6300557.2987531694</v>
      </c>
      <c r="R4" s="54">
        <f t="shared" si="0"/>
        <v>6470193.529962033</v>
      </c>
      <c r="S4" s="54">
        <f t="shared" si="0"/>
        <v>6608233.8752055187</v>
      </c>
      <c r="T4" s="54">
        <f t="shared" si="0"/>
        <v>6730186.6914470019</v>
      </c>
      <c r="U4" s="54">
        <f t="shared" si="0"/>
        <v>6856261.4714949932</v>
      </c>
      <c r="V4" s="54">
        <f t="shared" si="0"/>
        <v>4593373.0058477325</v>
      </c>
      <c r="W4" s="54">
        <f t="shared" si="0"/>
        <v>5029112.6418815609</v>
      </c>
      <c r="DA4" s="55" t="s">
        <v>163</v>
      </c>
    </row>
    <row r="5" spans="1:105" ht="11.5" customHeight="1" x14ac:dyDescent="0.35">
      <c r="A5" s="56" t="s">
        <v>66</v>
      </c>
      <c r="B5" s="57">
        <f t="shared" ref="B5:W5" si="1">B6+B7+B8</f>
        <v>4255778.5267876135</v>
      </c>
      <c r="C5" s="57">
        <f t="shared" si="1"/>
        <v>4332733.4731196715</v>
      </c>
      <c r="D5" s="57">
        <f t="shared" si="1"/>
        <v>4386358.261823779</v>
      </c>
      <c r="E5" s="57">
        <f t="shared" si="1"/>
        <v>4429034.4311878597</v>
      </c>
      <c r="F5" s="57">
        <f t="shared" si="1"/>
        <v>4489126.1536739208</v>
      </c>
      <c r="G5" s="57">
        <f t="shared" si="1"/>
        <v>4451244.9661995107</v>
      </c>
      <c r="H5" s="57">
        <f t="shared" si="1"/>
        <v>4486342.6839444656</v>
      </c>
      <c r="I5" s="57">
        <f t="shared" si="1"/>
        <v>4538387.3719795225</v>
      </c>
      <c r="J5" s="57">
        <f t="shared" si="1"/>
        <v>4559930.8822908951</v>
      </c>
      <c r="K5" s="57">
        <f t="shared" si="1"/>
        <v>4610605.5825650133</v>
      </c>
      <c r="L5" s="57">
        <f t="shared" si="1"/>
        <v>4571506.2965019383</v>
      </c>
      <c r="M5" s="57">
        <f t="shared" si="1"/>
        <v>4546674.7052767808</v>
      </c>
      <c r="N5" s="57">
        <f t="shared" si="1"/>
        <v>4500404.4306472903</v>
      </c>
      <c r="O5" s="57">
        <f t="shared" si="1"/>
        <v>4558706.1411357643</v>
      </c>
      <c r="P5" s="57">
        <f t="shared" si="1"/>
        <v>4612474.1347943498</v>
      </c>
      <c r="Q5" s="57">
        <f t="shared" si="1"/>
        <v>4718416.3207819443</v>
      </c>
      <c r="R5" s="57">
        <f t="shared" si="1"/>
        <v>4810176.5546033951</v>
      </c>
      <c r="S5" s="57">
        <f t="shared" si="1"/>
        <v>4830486.885037885</v>
      </c>
      <c r="T5" s="57">
        <f t="shared" si="1"/>
        <v>4848443.9524085633</v>
      </c>
      <c r="U5" s="57">
        <f t="shared" si="1"/>
        <v>4896241.0591181982</v>
      </c>
      <c r="V5" s="57">
        <f t="shared" si="1"/>
        <v>3907970.6216857322</v>
      </c>
      <c r="W5" s="57">
        <f t="shared" si="1"/>
        <v>4174021.1888298811</v>
      </c>
      <c r="DA5" s="58" t="s">
        <v>164</v>
      </c>
    </row>
    <row r="6" spans="1:105" ht="11.5" customHeight="1" x14ac:dyDescent="0.35">
      <c r="A6" s="59" t="str">
        <f>[2]TrRoad_act!$A$5</f>
        <v>Powered two-wheelers</v>
      </c>
      <c r="B6" s="60">
        <f>[2]TrRoad_act!B$5</f>
        <v>98941.11886586019</v>
      </c>
      <c r="C6" s="60">
        <f>[2]TrRoad_act!C$5</f>
        <v>102907.77877467484</v>
      </c>
      <c r="D6" s="60">
        <f>[2]TrRoad_act!D$5</f>
        <v>104221.43765335812</v>
      </c>
      <c r="E6" s="60">
        <f>[2]TrRoad_act!E$5</f>
        <v>107273.62723268587</v>
      </c>
      <c r="F6" s="60">
        <f>[2]TrRoad_act!F$5</f>
        <v>110798.03852825334</v>
      </c>
      <c r="G6" s="60">
        <f>[2]TrRoad_act!G$5</f>
        <v>114310.05461044043</v>
      </c>
      <c r="H6" s="60">
        <f>[2]TrRoad_act!H$5</f>
        <v>113240.01948371352</v>
      </c>
      <c r="I6" s="60">
        <f>[2]TrRoad_act!I$5</f>
        <v>109248.06554776955</v>
      </c>
      <c r="J6" s="60">
        <f>[2]TrRoad_act!J$5</f>
        <v>114173.93516820222</v>
      </c>
      <c r="K6" s="60">
        <f>[2]TrRoad_act!K$5</f>
        <v>111644.51382255246</v>
      </c>
      <c r="L6" s="60">
        <f>[2]TrRoad_act!L$5</f>
        <v>113468.03968176561</v>
      </c>
      <c r="M6" s="60">
        <f>[2]TrRoad_act!M$5</f>
        <v>117394.95933156536</v>
      </c>
      <c r="N6" s="60">
        <f>[2]TrRoad_act!N$5</f>
        <v>114771.32204355873</v>
      </c>
      <c r="O6" s="60">
        <f>[2]TrRoad_act!O$5</f>
        <v>114303.80862898356</v>
      </c>
      <c r="P6" s="60">
        <f>[2]TrRoad_act!P$5</f>
        <v>117046.74852749721</v>
      </c>
      <c r="Q6" s="60">
        <f>[2]TrRoad_act!Q$5</f>
        <v>116981.97982151579</v>
      </c>
      <c r="R6" s="60">
        <f>[2]TrRoad_act!R$5</f>
        <v>118278.58662681941</v>
      </c>
      <c r="S6" s="60">
        <f>[2]TrRoad_act!S$5</f>
        <v>111812.09518179623</v>
      </c>
      <c r="T6" s="60">
        <f>[2]TrRoad_act!T$5</f>
        <v>106397.39533905862</v>
      </c>
      <c r="U6" s="60">
        <f>[2]TrRoad_act!U$5</f>
        <v>112972.8842398344</v>
      </c>
      <c r="V6" s="60">
        <f>[2]TrRoad_act!V$5</f>
        <v>100535.33138836388</v>
      </c>
      <c r="W6" s="60">
        <f>[2]TrRoad_act!W$5</f>
        <v>104773.51557530889</v>
      </c>
      <c r="DA6" s="49" t="s">
        <v>165</v>
      </c>
    </row>
    <row r="7" spans="1:105" ht="11.5" customHeight="1" x14ac:dyDescent="0.35">
      <c r="A7" s="59" t="str">
        <f>[2]TrRoad_act!$A$6</f>
        <v>Passenger cars</v>
      </c>
      <c r="B7" s="60">
        <f>[2]TrRoad_act!B$6</f>
        <v>3660355.0623140209</v>
      </c>
      <c r="C7" s="60">
        <f>[2]TrRoad_act!C$6</f>
        <v>3734215.7647230607</v>
      </c>
      <c r="D7" s="60">
        <f>[2]TrRoad_act!D$6</f>
        <v>3789305.0249260701</v>
      </c>
      <c r="E7" s="60">
        <f>[2]TrRoad_act!E$6</f>
        <v>3826195.6189610125</v>
      </c>
      <c r="F7" s="60">
        <f>[2]TrRoad_act!F$6</f>
        <v>3878162.7438382171</v>
      </c>
      <c r="G7" s="60">
        <f>[2]TrRoad_act!G$6</f>
        <v>3839179.4808863439</v>
      </c>
      <c r="H7" s="60">
        <f>[2]TrRoad_act!H$6</f>
        <v>3875261.4469870077</v>
      </c>
      <c r="I7" s="60">
        <f>[2]TrRoad_act!I$6</f>
        <v>3921256.0941458074</v>
      </c>
      <c r="J7" s="60">
        <f>[2]TrRoad_act!J$6</f>
        <v>3931623.9841889399</v>
      </c>
      <c r="K7" s="60">
        <f>[2]TrRoad_act!K$6</f>
        <v>4009212.0907480181</v>
      </c>
      <c r="L7" s="60">
        <f>[2]TrRoad_act!L$6</f>
        <v>3975850.9514257894</v>
      </c>
      <c r="M7" s="60">
        <f>[2]TrRoad_act!M$6</f>
        <v>3943643.4280371866</v>
      </c>
      <c r="N7" s="60">
        <f>[2]TrRoad_act!N$6</f>
        <v>3904543.1623219177</v>
      </c>
      <c r="O7" s="60">
        <f>[2]TrRoad_act!O$6</f>
        <v>3964794.9846715764</v>
      </c>
      <c r="P7" s="60">
        <f>[2]TrRoad_act!P$6</f>
        <v>4020261.7494762829</v>
      </c>
      <c r="Q7" s="60">
        <f>[2]TrRoad_act!Q$6</f>
        <v>4110545.0140439356</v>
      </c>
      <c r="R7" s="60">
        <f>[2]TrRoad_act!R$6</f>
        <v>4196601.7627940197</v>
      </c>
      <c r="S7" s="60">
        <f>[2]TrRoad_act!S$6</f>
        <v>4241357.8006787114</v>
      </c>
      <c r="T7" s="60">
        <f>[2]TrRoad_act!T$6</f>
        <v>4261043.2924775975</v>
      </c>
      <c r="U7" s="60">
        <f>[2]TrRoad_act!U$6</f>
        <v>4298322.1246594004</v>
      </c>
      <c r="V7" s="60">
        <f>[2]TrRoad_act!V$6</f>
        <v>3516899.2746836855</v>
      </c>
      <c r="W7" s="60">
        <f>[2]TrRoad_act!W$6</f>
        <v>3742236.2108397945</v>
      </c>
      <c r="DA7" s="49" t="s">
        <v>166</v>
      </c>
    </row>
    <row r="8" spans="1:105" ht="11.5" customHeight="1" x14ac:dyDescent="0.35">
      <c r="A8" s="59" t="str">
        <f>[2]TrRoad_act!$A$13</f>
        <v>Motor coaches, buses and trolley buses</v>
      </c>
      <c r="B8" s="60">
        <f>[2]TrRoad_act!B$13</f>
        <v>496482.34560773277</v>
      </c>
      <c r="C8" s="60">
        <f>[2]TrRoad_act!C$13</f>
        <v>495609.92962193594</v>
      </c>
      <c r="D8" s="60">
        <f>[2]TrRoad_act!D$13</f>
        <v>492831.79924435058</v>
      </c>
      <c r="E8" s="60">
        <f>[2]TrRoad_act!E$13</f>
        <v>495565.18499416119</v>
      </c>
      <c r="F8" s="60">
        <f>[2]TrRoad_act!F$13</f>
        <v>500165.37130745058</v>
      </c>
      <c r="G8" s="60">
        <f>[2]TrRoad_act!G$13</f>
        <v>497755.43070272659</v>
      </c>
      <c r="H8" s="60">
        <f>[2]TrRoad_act!H$13</f>
        <v>497841.2174737443</v>
      </c>
      <c r="I8" s="60">
        <f>[2]TrRoad_act!I$13</f>
        <v>507883.21228594572</v>
      </c>
      <c r="J8" s="60">
        <f>[2]TrRoad_act!J$13</f>
        <v>514132.96293375333</v>
      </c>
      <c r="K8" s="60">
        <f>[2]TrRoad_act!K$13</f>
        <v>489748.97799444327</v>
      </c>
      <c r="L8" s="60">
        <f>[2]TrRoad_act!L$13</f>
        <v>482187.30539438291</v>
      </c>
      <c r="M8" s="60">
        <f>[2]TrRoad_act!M$13</f>
        <v>485636.31790802866</v>
      </c>
      <c r="N8" s="60">
        <f>[2]TrRoad_act!N$13</f>
        <v>481089.94628181407</v>
      </c>
      <c r="O8" s="60">
        <f>[2]TrRoad_act!O$13</f>
        <v>479607.34783520486</v>
      </c>
      <c r="P8" s="60">
        <f>[2]TrRoad_act!P$13</f>
        <v>475165.63679056946</v>
      </c>
      <c r="Q8" s="60">
        <f>[2]TrRoad_act!Q$13</f>
        <v>490889.32691649272</v>
      </c>
      <c r="R8" s="60">
        <f>[2]TrRoad_act!R$13</f>
        <v>495296.20518255612</v>
      </c>
      <c r="S8" s="60">
        <f>[2]TrRoad_act!S$13</f>
        <v>477316.98917737685</v>
      </c>
      <c r="T8" s="60">
        <f>[2]TrRoad_act!T$13</f>
        <v>481003.26459190703</v>
      </c>
      <c r="U8" s="60">
        <f>[2]TrRoad_act!U$13</f>
        <v>484946.0502189633</v>
      </c>
      <c r="V8" s="60">
        <f>[2]TrRoad_act!V$13</f>
        <v>290536.01561368257</v>
      </c>
      <c r="W8" s="60">
        <f>[2]TrRoad_act!W$13</f>
        <v>327011.46241477772</v>
      </c>
      <c r="DA8" s="49" t="s">
        <v>167</v>
      </c>
    </row>
    <row r="9" spans="1:105" ht="11.5" customHeight="1" x14ac:dyDescent="0.35">
      <c r="A9" s="61" t="s">
        <v>67</v>
      </c>
      <c r="B9" s="62">
        <f t="shared" ref="B9:W9" si="2">B10+B11+B12</f>
        <v>406430.62558965239</v>
      </c>
      <c r="C9" s="62">
        <f t="shared" si="2"/>
        <v>408434.2368833418</v>
      </c>
      <c r="D9" s="62">
        <f t="shared" si="2"/>
        <v>401282.61538795469</v>
      </c>
      <c r="E9" s="62">
        <f t="shared" si="2"/>
        <v>396962.30946890975</v>
      </c>
      <c r="F9" s="62">
        <f t="shared" si="2"/>
        <v>404392.63288724411</v>
      </c>
      <c r="G9" s="62">
        <f t="shared" si="2"/>
        <v>412978.69745887868</v>
      </c>
      <c r="H9" s="62">
        <f t="shared" si="2"/>
        <v>423962.33421865781</v>
      </c>
      <c r="I9" s="62">
        <f t="shared" si="2"/>
        <v>428987.22303689853</v>
      </c>
      <c r="J9" s="62">
        <f t="shared" si="2"/>
        <v>444654.23177548207</v>
      </c>
      <c r="K9" s="62">
        <f t="shared" si="2"/>
        <v>436674.66252995451</v>
      </c>
      <c r="L9" s="62">
        <f t="shared" si="2"/>
        <v>437874.06184048974</v>
      </c>
      <c r="M9" s="62">
        <f t="shared" si="2"/>
        <v>444447.71246475773</v>
      </c>
      <c r="N9" s="62">
        <f t="shared" si="2"/>
        <v>448691.13365017122</v>
      </c>
      <c r="O9" s="62">
        <f t="shared" si="2"/>
        <v>452678.46281855559</v>
      </c>
      <c r="P9" s="62">
        <f t="shared" si="2"/>
        <v>457232.80085340323</v>
      </c>
      <c r="Q9" s="62">
        <f t="shared" si="2"/>
        <v>461046.03324622207</v>
      </c>
      <c r="R9" s="62">
        <f t="shared" si="2"/>
        <v>468669.88312119187</v>
      </c>
      <c r="S9" s="62">
        <f t="shared" si="2"/>
        <v>484862.02719136328</v>
      </c>
      <c r="T9" s="62">
        <f t="shared" si="2"/>
        <v>493404.91578995524</v>
      </c>
      <c r="U9" s="62">
        <f t="shared" si="2"/>
        <v>506885.4545650509</v>
      </c>
      <c r="V9" s="62">
        <f t="shared" si="2"/>
        <v>278866.38042821875</v>
      </c>
      <c r="W9" s="62">
        <f t="shared" si="2"/>
        <v>320779.80995115463</v>
      </c>
      <c r="DA9" s="63" t="s">
        <v>168</v>
      </c>
    </row>
    <row r="10" spans="1:105" ht="11.5" customHeight="1" x14ac:dyDescent="0.35">
      <c r="A10" s="59" t="str">
        <f>[2]TrRail_act!$A$5</f>
        <v>Metro and tram, urban light rail</v>
      </c>
      <c r="B10" s="60">
        <f>[2]TrRail_act!B$5</f>
        <v>67843.840564744096</v>
      </c>
      <c r="C10" s="60">
        <f>[2]TrRail_act!C$5</f>
        <v>68539.656573900225</v>
      </c>
      <c r="D10" s="60">
        <f>[2]TrRail_act!D$5</f>
        <v>69374.812774150167</v>
      </c>
      <c r="E10" s="60">
        <f>[2]TrRail_act!E$5</f>
        <v>70183.361905556143</v>
      </c>
      <c r="F10" s="60">
        <f>[2]TrRail_act!F$5</f>
        <v>72445.632887244108</v>
      </c>
      <c r="G10" s="60">
        <f>[2]TrRail_act!G$5</f>
        <v>73154.697458878698</v>
      </c>
      <c r="H10" s="60">
        <f>[2]TrRail_act!H$5</f>
        <v>74583.334218657837</v>
      </c>
      <c r="I10" s="60">
        <f>[2]TrRail_act!I$5</f>
        <v>76350.815575898509</v>
      </c>
      <c r="J10" s="60">
        <f>[2]TrRail_act!J$5</f>
        <v>79124.684832482046</v>
      </c>
      <c r="K10" s="60">
        <f>[2]TrRail_act!K$5</f>
        <v>78491.058768954535</v>
      </c>
      <c r="L10" s="60">
        <f>[2]TrRail_act!L$5</f>
        <v>80818.824573023419</v>
      </c>
      <c r="M10" s="60">
        <f>[2]TrRail_act!M$5</f>
        <v>81212.75915489922</v>
      </c>
      <c r="N10" s="60">
        <f>[2]TrRail_act!N$5</f>
        <v>82300.482448189461</v>
      </c>
      <c r="O10" s="60">
        <f>[2]TrRail_act!O$5</f>
        <v>81874.19394914154</v>
      </c>
      <c r="P10" s="60">
        <f>[2]TrRail_act!P$5</f>
        <v>82028.681334256587</v>
      </c>
      <c r="Q10" s="60">
        <f>[2]TrRail_act!Q$5</f>
        <v>79939.70388606796</v>
      </c>
      <c r="R10" s="60">
        <f>[2]TrRail_act!R$5</f>
        <v>82344.575219371458</v>
      </c>
      <c r="S10" s="60">
        <f>[2]TrRail_act!S$5</f>
        <v>84124.391371363308</v>
      </c>
      <c r="T10" s="60">
        <f>[2]TrRail_act!T$5</f>
        <v>86275.847035955259</v>
      </c>
      <c r="U10" s="60">
        <f>[2]TrRail_act!U$5</f>
        <v>86131.8096350509</v>
      </c>
      <c r="V10" s="60">
        <f>[2]TrRail_act!V$5</f>
        <v>51633.24688621876</v>
      </c>
      <c r="W10" s="60">
        <f>[2]TrRail_act!W$5</f>
        <v>55543.667320154651</v>
      </c>
      <c r="DA10" s="49" t="s">
        <v>169</v>
      </c>
    </row>
    <row r="11" spans="1:105" ht="11.5" customHeight="1" x14ac:dyDescent="0.35">
      <c r="A11" s="59" t="str">
        <f>[2]TrRail_act!$A$6</f>
        <v>Conventional passenger trains</v>
      </c>
      <c r="B11" s="60">
        <f>[2]TrRail_act!B$6</f>
        <v>279790.78502490831</v>
      </c>
      <c r="C11" s="60">
        <f>[2]TrRail_act!C$6</f>
        <v>274768.58030944155</v>
      </c>
      <c r="D11" s="60">
        <f>[2]TrRail_act!D$6</f>
        <v>263902.80261380452</v>
      </c>
      <c r="E11" s="60">
        <f>[2]TrRail_act!E$6</f>
        <v>256117.94756335358</v>
      </c>
      <c r="F11" s="60">
        <f>[2]TrRail_act!F$6</f>
        <v>256276</v>
      </c>
      <c r="G11" s="60">
        <f>[2]TrRail_act!G$6</f>
        <v>260160.99999999997</v>
      </c>
      <c r="H11" s="60">
        <f>[2]TrRail_act!H$6</f>
        <v>265968</v>
      </c>
      <c r="I11" s="60">
        <f>[2]TrRail_act!I$6</f>
        <v>265333.40746100002</v>
      </c>
      <c r="J11" s="60">
        <f>[2]TrRail_act!J$6</f>
        <v>268919.54694299999</v>
      </c>
      <c r="K11" s="60">
        <f>[2]TrRail_act!K$6</f>
        <v>255097.60376099998</v>
      </c>
      <c r="L11" s="60">
        <f>[2]TrRail_act!L$6</f>
        <v>252199.85892402832</v>
      </c>
      <c r="M11" s="60">
        <f>[2]TrRail_act!M$6</f>
        <v>259539.61330985857</v>
      </c>
      <c r="N11" s="60">
        <f>[2]TrRail_act!N$6</f>
        <v>260950.77120198178</v>
      </c>
      <c r="O11" s="60">
        <f>[2]TrRail_act!O$6</f>
        <v>263500.21886941406</v>
      </c>
      <c r="P11" s="60">
        <f>[2]TrRail_act!P$6</f>
        <v>268824.41951914661</v>
      </c>
      <c r="Q11" s="60">
        <f>[2]TrRail_act!Q$6</f>
        <v>271182.72936015407</v>
      </c>
      <c r="R11" s="60">
        <f>[2]TrRail_act!R$6</f>
        <v>272009.8079018204</v>
      </c>
      <c r="S11" s="60">
        <f>[2]TrRail_act!S$6</f>
        <v>276503.09581999999</v>
      </c>
      <c r="T11" s="60">
        <f>[2]TrRail_act!T$6</f>
        <v>281054.27875400003</v>
      </c>
      <c r="U11" s="60">
        <f>[2]TrRail_act!U$6</f>
        <v>288745.90493000002</v>
      </c>
      <c r="V11" s="60">
        <f>[2]TrRail_act!V$6</f>
        <v>157860.8458726622</v>
      </c>
      <c r="W11" s="60">
        <f>[2]TrRail_act!W$6</f>
        <v>180012.79495499231</v>
      </c>
      <c r="DA11" s="49" t="s">
        <v>170</v>
      </c>
    </row>
    <row r="12" spans="1:105" ht="11.5" customHeight="1" x14ac:dyDescent="0.35">
      <c r="A12" s="59" t="str">
        <f>[2]TrRail_act!$A$9</f>
        <v>High speed passenger trains</v>
      </c>
      <c r="B12" s="60">
        <f>[2]TrRail_act!B$9</f>
        <v>58796</v>
      </c>
      <c r="C12" s="60">
        <f>[2]TrRail_act!C$9</f>
        <v>65126</v>
      </c>
      <c r="D12" s="60">
        <f>[2]TrRail_act!D$9</f>
        <v>68005</v>
      </c>
      <c r="E12" s="60">
        <f>[2]TrRail_act!E$9</f>
        <v>70661</v>
      </c>
      <c r="F12" s="60">
        <f>[2]TrRail_act!F$9</f>
        <v>75671</v>
      </c>
      <c r="G12" s="60">
        <f>[2]TrRail_act!G$9</f>
        <v>79663</v>
      </c>
      <c r="H12" s="60">
        <f>[2]TrRail_act!H$9</f>
        <v>83411</v>
      </c>
      <c r="I12" s="60">
        <f>[2]TrRail_act!I$9</f>
        <v>87303</v>
      </c>
      <c r="J12" s="60">
        <f>[2]TrRail_act!J$9</f>
        <v>96610</v>
      </c>
      <c r="K12" s="60">
        <f>[2]TrRail_act!K$9</f>
        <v>103086</v>
      </c>
      <c r="L12" s="60">
        <f>[2]TrRail_act!L$9</f>
        <v>104855.378343438</v>
      </c>
      <c r="M12" s="60">
        <f>[2]TrRail_act!M$9</f>
        <v>103695.34</v>
      </c>
      <c r="N12" s="60">
        <f>[2]TrRail_act!N$9</f>
        <v>105439.88</v>
      </c>
      <c r="O12" s="60">
        <f>[2]TrRail_act!O$9</f>
        <v>107304.05</v>
      </c>
      <c r="P12" s="60">
        <f>[2]TrRail_act!P$9</f>
        <v>106379.7</v>
      </c>
      <c r="Q12" s="60">
        <f>[2]TrRail_act!Q$9</f>
        <v>109923.6</v>
      </c>
      <c r="R12" s="60">
        <f>[2]TrRail_act!R$9</f>
        <v>114315.5</v>
      </c>
      <c r="S12" s="60">
        <f>[2]TrRail_act!S$9</f>
        <v>124234.54</v>
      </c>
      <c r="T12" s="60">
        <f>[2]TrRail_act!T$9</f>
        <v>126074.79</v>
      </c>
      <c r="U12" s="60">
        <f>[2]TrRail_act!U$9</f>
        <v>132007.74</v>
      </c>
      <c r="V12" s="60">
        <f>[2]TrRail_act!V$9</f>
        <v>69372.287669337777</v>
      </c>
      <c r="W12" s="60">
        <f>[2]TrRail_act!W$9</f>
        <v>85223.347676007645</v>
      </c>
      <c r="DA12" s="49" t="s">
        <v>171</v>
      </c>
    </row>
    <row r="13" spans="1:105" ht="11.5" customHeight="1" x14ac:dyDescent="0.35">
      <c r="A13" s="61" t="s">
        <v>68</v>
      </c>
      <c r="B13" s="62">
        <f t="shared" ref="B13:W13" si="3">B14+B15+B16</f>
        <v>716199.53774462477</v>
      </c>
      <c r="C13" s="62">
        <f t="shared" si="3"/>
        <v>702701.5149730664</v>
      </c>
      <c r="D13" s="62">
        <f t="shared" si="3"/>
        <v>691692.46780411829</v>
      </c>
      <c r="E13" s="62">
        <f t="shared" si="3"/>
        <v>710320.05343224725</v>
      </c>
      <c r="F13" s="62">
        <f t="shared" si="3"/>
        <v>786952.10146952374</v>
      </c>
      <c r="G13" s="62">
        <f t="shared" si="3"/>
        <v>851608.1127672554</v>
      </c>
      <c r="H13" s="62">
        <f t="shared" si="3"/>
        <v>891480.92583355145</v>
      </c>
      <c r="I13" s="62">
        <f t="shared" si="3"/>
        <v>948385.37860387494</v>
      </c>
      <c r="J13" s="62">
        <f t="shared" si="3"/>
        <v>955460.26871001243</v>
      </c>
      <c r="K13" s="62">
        <f t="shared" si="3"/>
        <v>900951.79078118061</v>
      </c>
      <c r="L13" s="62">
        <f t="shared" si="3"/>
        <v>948313.48767635156</v>
      </c>
      <c r="M13" s="62">
        <f t="shared" si="3"/>
        <v>1011072.9641622459</v>
      </c>
      <c r="N13" s="62">
        <f t="shared" si="3"/>
        <v>1015595.1353740951</v>
      </c>
      <c r="O13" s="62">
        <f t="shared" si="3"/>
        <v>1034457.3899000011</v>
      </c>
      <c r="P13" s="62">
        <f t="shared" si="3"/>
        <v>1078761.6927241287</v>
      </c>
      <c r="Q13" s="62">
        <f t="shared" si="3"/>
        <v>1121094.9447250029</v>
      </c>
      <c r="R13" s="62">
        <f t="shared" si="3"/>
        <v>1191347.092237446</v>
      </c>
      <c r="S13" s="62">
        <f t="shared" si="3"/>
        <v>1292884.9629762708</v>
      </c>
      <c r="T13" s="62">
        <f t="shared" si="3"/>
        <v>1388337.8232484832</v>
      </c>
      <c r="U13" s="62">
        <f t="shared" si="3"/>
        <v>1453134.9578117444</v>
      </c>
      <c r="V13" s="62">
        <f t="shared" si="3"/>
        <v>406536.0037337814</v>
      </c>
      <c r="W13" s="62">
        <f t="shared" si="3"/>
        <v>534311.64310052525</v>
      </c>
      <c r="DA13" s="63" t="s">
        <v>172</v>
      </c>
    </row>
    <row r="14" spans="1:105" ht="11.5" customHeight="1" x14ac:dyDescent="0.35">
      <c r="A14" s="59" t="s">
        <v>69</v>
      </c>
      <c r="B14" s="60">
        <f>[2]TrAvia_act!B$5</f>
        <v>82338.13263915779</v>
      </c>
      <c r="C14" s="60">
        <f>[2]TrAvia_act!C$5</f>
        <v>79436.399846937245</v>
      </c>
      <c r="D14" s="60">
        <f>[2]TrAvia_act!D$5</f>
        <v>80334.159801210801</v>
      </c>
      <c r="E14" s="60">
        <f>[2]TrAvia_act!E$5</f>
        <v>82499.599847427715</v>
      </c>
      <c r="F14" s="60">
        <f>[2]TrAvia_act!F$5</f>
        <v>85968.387331822261</v>
      </c>
      <c r="G14" s="60">
        <f>[2]TrAvia_act!G$5</f>
        <v>89851.225520774533</v>
      </c>
      <c r="H14" s="60">
        <f>[2]TrAvia_act!H$5</f>
        <v>93342.474127942638</v>
      </c>
      <c r="I14" s="60">
        <f>[2]TrAvia_act!I$5</f>
        <v>99980.35047151029</v>
      </c>
      <c r="J14" s="60">
        <f>[2]TrAvia_act!J$5</f>
        <v>96178.174589889852</v>
      </c>
      <c r="K14" s="60">
        <f>[2]TrAvia_act!K$5</f>
        <v>93860.581772900943</v>
      </c>
      <c r="L14" s="60">
        <f>[2]TrAvia_act!L$5</f>
        <v>96690.657490001977</v>
      </c>
      <c r="M14" s="60">
        <f>[2]TrAvia_act!M$5</f>
        <v>99620.061922682624</v>
      </c>
      <c r="N14" s="60">
        <f>[2]TrAvia_act!N$5</f>
        <v>93829.836969139593</v>
      </c>
      <c r="O14" s="60">
        <f>[2]TrAvia_act!O$5</f>
        <v>89350.721861301194</v>
      </c>
      <c r="P14" s="60">
        <f>[2]TrAvia_act!P$5</f>
        <v>89252.902634975297</v>
      </c>
      <c r="Q14" s="60">
        <f>[2]TrAvia_act!Q$5</f>
        <v>93857.833057810058</v>
      </c>
      <c r="R14" s="60">
        <f>[2]TrAvia_act!R$5</f>
        <v>99825.85302994329</v>
      </c>
      <c r="S14" s="60">
        <f>[2]TrAvia_act!S$5</f>
        <v>105723.81490283168</v>
      </c>
      <c r="T14" s="60">
        <f>[2]TrAvia_act!T$5</f>
        <v>111868.56176820378</v>
      </c>
      <c r="U14" s="60">
        <f>[2]TrAvia_act!U$5</f>
        <v>114681.00020464537</v>
      </c>
      <c r="V14" s="60">
        <f>[2]TrAvia_act!V$5</f>
        <v>45844.97419315904</v>
      </c>
      <c r="W14" s="60">
        <f>[2]TrAvia_act!W$5</f>
        <v>68551.550106408307</v>
      </c>
      <c r="DA14" s="49" t="s">
        <v>173</v>
      </c>
    </row>
    <row r="15" spans="1:105" ht="11.5" customHeight="1" x14ac:dyDescent="0.35">
      <c r="A15" s="59" t="s">
        <v>70</v>
      </c>
      <c r="B15" s="60">
        <f>[2]TrAvia_act!B$6</f>
        <v>306172.9291438543</v>
      </c>
      <c r="C15" s="60">
        <f>[2]TrAvia_act!C$6</f>
        <v>305381.90207946062</v>
      </c>
      <c r="D15" s="60">
        <f>[2]TrAvia_act!D$6</f>
        <v>295991.4376759681</v>
      </c>
      <c r="E15" s="60">
        <f>[2]TrAvia_act!E$6</f>
        <v>310109.51525955868</v>
      </c>
      <c r="F15" s="60">
        <f>[2]TrAvia_act!F$6</f>
        <v>332477.50154098193</v>
      </c>
      <c r="G15" s="60">
        <f>[2]TrAvia_act!G$6</f>
        <v>357593.62254114007</v>
      </c>
      <c r="H15" s="60">
        <f>[2]TrAvia_act!H$6</f>
        <v>373354.14440862497</v>
      </c>
      <c r="I15" s="60">
        <f>[2]TrAvia_act!I$6</f>
        <v>387145.48929547123</v>
      </c>
      <c r="J15" s="60">
        <f>[2]TrAvia_act!J$6</f>
        <v>378136.70382675598</v>
      </c>
      <c r="K15" s="60">
        <f>[2]TrAvia_act!K$6</f>
        <v>349601.12512606301</v>
      </c>
      <c r="L15" s="60">
        <f>[2]TrAvia_act!L$6</f>
        <v>361468.37557870039</v>
      </c>
      <c r="M15" s="60">
        <f>[2]TrAvia_act!M$6</f>
        <v>396517.93670652737</v>
      </c>
      <c r="N15" s="60">
        <f>[2]TrAvia_act!N$6</f>
        <v>396914.91741850402</v>
      </c>
      <c r="O15" s="60">
        <f>[2]TrAvia_act!O$6</f>
        <v>408240.02228308714</v>
      </c>
      <c r="P15" s="60">
        <f>[2]TrAvia_act!P$6</f>
        <v>434420.82606916764</v>
      </c>
      <c r="Q15" s="60">
        <f>[2]TrAvia_act!Q$6</f>
        <v>457365.18676886871</v>
      </c>
      <c r="R15" s="60">
        <f>[2]TrAvia_act!R$6</f>
        <v>510018.1179450627</v>
      </c>
      <c r="S15" s="60">
        <f>[2]TrAvia_act!S$6</f>
        <v>558891.66414181876</v>
      </c>
      <c r="T15" s="60">
        <f>[2]TrAvia_act!T$6</f>
        <v>587402.90823263023</v>
      </c>
      <c r="U15" s="60">
        <f>[2]TrAvia_act!U$6</f>
        <v>599350.45484837051</v>
      </c>
      <c r="V15" s="60">
        <f>[2]TrAvia_act!V$6</f>
        <v>162678.00551652178</v>
      </c>
      <c r="W15" s="60">
        <f>[2]TrAvia_act!W$6</f>
        <v>233384.25973631896</v>
      </c>
      <c r="DA15" s="49" t="s">
        <v>174</v>
      </c>
    </row>
    <row r="16" spans="1:105" ht="11.5" customHeight="1" x14ac:dyDescent="0.35">
      <c r="A16" s="59" t="s">
        <v>71</v>
      </c>
      <c r="B16" s="60">
        <f>[2]TrAvia_act!B$7</f>
        <v>327688.47596161265</v>
      </c>
      <c r="C16" s="60">
        <f>[2]TrAvia_act!C$7</f>
        <v>317883.21304666856</v>
      </c>
      <c r="D16" s="60">
        <f>[2]TrAvia_act!D$7</f>
        <v>315366.87032693939</v>
      </c>
      <c r="E16" s="60">
        <f>[2]TrAvia_act!E$7</f>
        <v>317710.93832526088</v>
      </c>
      <c r="F16" s="60">
        <f>[2]TrAvia_act!F$7</f>
        <v>368506.21259671956</v>
      </c>
      <c r="G16" s="60">
        <f>[2]TrAvia_act!G$7</f>
        <v>404163.26470534079</v>
      </c>
      <c r="H16" s="60">
        <f>[2]TrAvia_act!H$7</f>
        <v>424784.30729698378</v>
      </c>
      <c r="I16" s="60">
        <f>[2]TrAvia_act!I$7</f>
        <v>461259.53883689339</v>
      </c>
      <c r="J16" s="60">
        <f>[2]TrAvia_act!J$7</f>
        <v>481145.39029336662</v>
      </c>
      <c r="K16" s="60">
        <f>[2]TrAvia_act!K$7</f>
        <v>457490.08388221671</v>
      </c>
      <c r="L16" s="60">
        <f>[2]TrAvia_act!L$7</f>
        <v>490154.45460764918</v>
      </c>
      <c r="M16" s="60">
        <f>[2]TrAvia_act!M$7</f>
        <v>514934.96553303581</v>
      </c>
      <c r="N16" s="60">
        <f>[2]TrAvia_act!N$7</f>
        <v>524850.3809864514</v>
      </c>
      <c r="O16" s="60">
        <f>[2]TrAvia_act!O$7</f>
        <v>536866.64575561276</v>
      </c>
      <c r="P16" s="60">
        <f>[2]TrAvia_act!P$7</f>
        <v>555087.96401998575</v>
      </c>
      <c r="Q16" s="60">
        <f>[2]TrAvia_act!Q$7</f>
        <v>569871.92489832407</v>
      </c>
      <c r="R16" s="60">
        <f>[2]TrAvia_act!R$7</f>
        <v>581503.12126244011</v>
      </c>
      <c r="S16" s="60">
        <f>[2]TrAvia_act!S$7</f>
        <v>628269.48393162049</v>
      </c>
      <c r="T16" s="60">
        <f>[2]TrAvia_act!T$7</f>
        <v>689066.35324764939</v>
      </c>
      <c r="U16" s="60">
        <f>[2]TrAvia_act!U$7</f>
        <v>739103.50275872857</v>
      </c>
      <c r="V16" s="60">
        <f>[2]TrAvia_act!V$7</f>
        <v>198013.02402410054</v>
      </c>
      <c r="W16" s="60">
        <f>[2]TrAvia_act!W$7</f>
        <v>232375.83325779802</v>
      </c>
      <c r="DA16" s="49" t="s">
        <v>175</v>
      </c>
    </row>
    <row r="17" spans="1:105" ht="11.5" customHeight="1" x14ac:dyDescent="0.35">
      <c r="A17" s="53" t="s">
        <v>72</v>
      </c>
      <c r="B17" s="54">
        <f t="shared" ref="B17:W17" si="4">B18+B21+B22+B26</f>
        <v>1998922.5688827711</v>
      </c>
      <c r="C17" s="54">
        <f t="shared" si="4"/>
        <v>2013107.1383190535</v>
      </c>
      <c r="D17" s="54">
        <f t="shared" si="4"/>
        <v>2064046.2074902689</v>
      </c>
      <c r="E17" s="54">
        <f t="shared" si="4"/>
        <v>2069079.7804630096</v>
      </c>
      <c r="F17" s="54">
        <f t="shared" si="4"/>
        <v>2244425.7792409714</v>
      </c>
      <c r="G17" s="54">
        <f t="shared" si="4"/>
        <v>2303016.8196818391</v>
      </c>
      <c r="H17" s="54">
        <f t="shared" si="4"/>
        <v>2388450.0324504389</v>
      </c>
      <c r="I17" s="54">
        <f t="shared" si="4"/>
        <v>2469552.2746019824</v>
      </c>
      <c r="J17" s="54">
        <f t="shared" si="4"/>
        <v>2442149.465868508</v>
      </c>
      <c r="K17" s="54">
        <f t="shared" si="4"/>
        <v>2179718.9963584743</v>
      </c>
      <c r="L17" s="54">
        <f t="shared" si="4"/>
        <v>2286274.0684973351</v>
      </c>
      <c r="M17" s="54">
        <f t="shared" si="4"/>
        <v>2289159.6694508418</v>
      </c>
      <c r="N17" s="54">
        <f t="shared" si="4"/>
        <v>2210035.8437227583</v>
      </c>
      <c r="O17" s="54">
        <f t="shared" si="4"/>
        <v>2238781.0355958608</v>
      </c>
      <c r="P17" s="54">
        <f t="shared" si="4"/>
        <v>2266874.272425679</v>
      </c>
      <c r="Q17" s="54">
        <f t="shared" si="4"/>
        <v>2311295.3896432323</v>
      </c>
      <c r="R17" s="54">
        <f t="shared" si="4"/>
        <v>2380751.4970449992</v>
      </c>
      <c r="S17" s="54">
        <f t="shared" si="4"/>
        <v>2480520.2738920888</v>
      </c>
      <c r="T17" s="54">
        <f t="shared" si="4"/>
        <v>2477330.0704461159</v>
      </c>
      <c r="U17" s="54">
        <f t="shared" si="4"/>
        <v>2534320.3145007612</v>
      </c>
      <c r="V17" s="54">
        <f t="shared" si="4"/>
        <v>2463717.4966393448</v>
      </c>
      <c r="W17" s="54">
        <f t="shared" si="4"/>
        <v>2628148.8232091102</v>
      </c>
      <c r="DA17" s="55" t="s">
        <v>176</v>
      </c>
    </row>
    <row r="18" spans="1:105" ht="11.5" customHeight="1" x14ac:dyDescent="0.35">
      <c r="A18" s="56" t="s">
        <v>66</v>
      </c>
      <c r="B18" s="57">
        <f t="shared" ref="B18:W18" si="5">B19+B20</f>
        <v>1374700.2702759397</v>
      </c>
      <c r="C18" s="57">
        <f t="shared" si="5"/>
        <v>1422266.4131931425</v>
      </c>
      <c r="D18" s="57">
        <f t="shared" si="5"/>
        <v>1471063.4045199703</v>
      </c>
      <c r="E18" s="57">
        <f t="shared" si="5"/>
        <v>1475814.0367281705</v>
      </c>
      <c r="F18" s="57">
        <f t="shared" si="5"/>
        <v>1622092.6437263703</v>
      </c>
      <c r="G18" s="57">
        <f t="shared" si="5"/>
        <v>1667102.4268618999</v>
      </c>
      <c r="H18" s="57">
        <f t="shared" si="5"/>
        <v>1718593.4494376108</v>
      </c>
      <c r="I18" s="57">
        <f t="shared" si="5"/>
        <v>1781545.5076992214</v>
      </c>
      <c r="J18" s="57">
        <f t="shared" si="5"/>
        <v>1760089.1576255755</v>
      </c>
      <c r="K18" s="57">
        <f t="shared" si="5"/>
        <v>1598033.5414493796</v>
      </c>
      <c r="L18" s="57">
        <f t="shared" si="5"/>
        <v>1642569.145345157</v>
      </c>
      <c r="M18" s="57">
        <f t="shared" si="5"/>
        <v>1627018.7114889943</v>
      </c>
      <c r="N18" s="57">
        <f t="shared" si="5"/>
        <v>1564233.8874188245</v>
      </c>
      <c r="O18" s="57">
        <f t="shared" si="5"/>
        <v>1598822.8241047328</v>
      </c>
      <c r="P18" s="57">
        <f t="shared" si="5"/>
        <v>1612248.0545356213</v>
      </c>
      <c r="Q18" s="57">
        <f t="shared" si="5"/>
        <v>1647652.2991759316</v>
      </c>
      <c r="R18" s="57">
        <f t="shared" si="5"/>
        <v>1706462.0171498004</v>
      </c>
      <c r="S18" s="57">
        <f t="shared" si="5"/>
        <v>1796884.2921336174</v>
      </c>
      <c r="T18" s="57">
        <f t="shared" si="5"/>
        <v>1798734.5721756504</v>
      </c>
      <c r="U18" s="57">
        <f t="shared" si="5"/>
        <v>1858167.9549452392</v>
      </c>
      <c r="V18" s="57">
        <f t="shared" si="5"/>
        <v>1832942.1712359914</v>
      </c>
      <c r="W18" s="57">
        <f t="shared" si="5"/>
        <v>1959068.510891106</v>
      </c>
      <c r="DA18" s="58" t="s">
        <v>177</v>
      </c>
    </row>
    <row r="19" spans="1:105" ht="11.5" customHeight="1" x14ac:dyDescent="0.35">
      <c r="A19" s="59" t="str">
        <f>[2]TrRoad_act!$A$20</f>
        <v>Light commercial vehicles</v>
      </c>
      <c r="B19" s="60">
        <f>[2]TrRoad_act!B$20</f>
        <v>67104.703262425566</v>
      </c>
      <c r="C19" s="60">
        <f>[2]TrRoad_act!C$20</f>
        <v>70599.78065310065</v>
      </c>
      <c r="D19" s="60">
        <f>[2]TrRoad_act!D$20</f>
        <v>71782.892358628844</v>
      </c>
      <c r="E19" s="60">
        <f>[2]TrRoad_act!E$20</f>
        <v>74503.485281039699</v>
      </c>
      <c r="F19" s="60">
        <f>[2]TrRoad_act!F$20</f>
        <v>76766.808987321449</v>
      </c>
      <c r="G19" s="60">
        <f>[2]TrRoad_act!G$20</f>
        <v>78469.885293370666</v>
      </c>
      <c r="H19" s="60">
        <f>[2]TrRoad_act!H$20</f>
        <v>79352.372349876328</v>
      </c>
      <c r="I19" s="60">
        <f>[2]TrRoad_act!I$20</f>
        <v>83381.785458391169</v>
      </c>
      <c r="J19" s="60">
        <f>[2]TrRoad_act!J$20</f>
        <v>83087.02297828169</v>
      </c>
      <c r="K19" s="60">
        <f>[2]TrRoad_act!K$20</f>
        <v>82183.784600064959</v>
      </c>
      <c r="L19" s="60">
        <f>[2]TrRoad_act!L$20</f>
        <v>83856.305028275601</v>
      </c>
      <c r="M19" s="60">
        <f>[2]TrRoad_act!M$20</f>
        <v>84994.279007460558</v>
      </c>
      <c r="N19" s="60">
        <f>[2]TrRoad_act!N$20</f>
        <v>82181.742019867248</v>
      </c>
      <c r="O19" s="60">
        <f>[2]TrRoad_act!O$20</f>
        <v>82095.201825651427</v>
      </c>
      <c r="P19" s="60">
        <f>[2]TrRoad_act!P$20</f>
        <v>84466.741241530297</v>
      </c>
      <c r="Q19" s="60">
        <f>[2]TrRoad_act!Q$20</f>
        <v>85334.940455657939</v>
      </c>
      <c r="R19" s="60">
        <f>[2]TrRoad_act!R$20</f>
        <v>86377.673453126365</v>
      </c>
      <c r="S19" s="60">
        <f>[2]TrRoad_act!S$20</f>
        <v>89237.305009327858</v>
      </c>
      <c r="T19" s="60">
        <f>[2]TrRoad_act!T$20</f>
        <v>90922.062399519156</v>
      </c>
      <c r="U19" s="60">
        <f>[2]TrRoad_act!U$20</f>
        <v>93051.253882592733</v>
      </c>
      <c r="V19" s="60">
        <f>[2]TrRoad_act!V$20</f>
        <v>87281.470173344904</v>
      </c>
      <c r="W19" s="60">
        <f>[2]TrRoad_act!W$20</f>
        <v>96224.809828459576</v>
      </c>
      <c r="DA19" s="49" t="s">
        <v>178</v>
      </c>
    </row>
    <row r="20" spans="1:105" ht="11.5" customHeight="1" x14ac:dyDescent="0.35">
      <c r="A20" s="59" t="str">
        <f>[2]TrRoad_act!$A$26</f>
        <v>Heavy goods vehicles</v>
      </c>
      <c r="B20" s="60">
        <f>[2]TrRoad_act!B$26</f>
        <v>1307595.5670135142</v>
      </c>
      <c r="C20" s="60">
        <f>[2]TrRoad_act!C$26</f>
        <v>1351666.6325400418</v>
      </c>
      <c r="D20" s="60">
        <f>[2]TrRoad_act!D$26</f>
        <v>1399280.5121613415</v>
      </c>
      <c r="E20" s="60">
        <f>[2]TrRoad_act!E$26</f>
        <v>1401310.5514471307</v>
      </c>
      <c r="F20" s="60">
        <f>[2]TrRoad_act!F$26</f>
        <v>1545325.8347390487</v>
      </c>
      <c r="G20" s="60">
        <f>[2]TrRoad_act!G$26</f>
        <v>1588632.5415685293</v>
      </c>
      <c r="H20" s="60">
        <f>[2]TrRoad_act!H$26</f>
        <v>1639241.0770877344</v>
      </c>
      <c r="I20" s="60">
        <f>[2]TrRoad_act!I$26</f>
        <v>1698163.7222408303</v>
      </c>
      <c r="J20" s="60">
        <f>[2]TrRoad_act!J$26</f>
        <v>1677002.1346472939</v>
      </c>
      <c r="K20" s="60">
        <f>[2]TrRoad_act!K$26</f>
        <v>1515849.7568493148</v>
      </c>
      <c r="L20" s="60">
        <f>[2]TrRoad_act!L$26</f>
        <v>1558712.8403168814</v>
      </c>
      <c r="M20" s="60">
        <f>[2]TrRoad_act!M$26</f>
        <v>1542024.4324815338</v>
      </c>
      <c r="N20" s="60">
        <f>[2]TrRoad_act!N$26</f>
        <v>1482052.1453989572</v>
      </c>
      <c r="O20" s="60">
        <f>[2]TrRoad_act!O$26</f>
        <v>1516727.6222790815</v>
      </c>
      <c r="P20" s="60">
        <f>[2]TrRoad_act!P$26</f>
        <v>1527781.313294091</v>
      </c>
      <c r="Q20" s="60">
        <f>[2]TrRoad_act!Q$26</f>
        <v>1562317.3587202737</v>
      </c>
      <c r="R20" s="60">
        <f>[2]TrRoad_act!R$26</f>
        <v>1620084.3436966741</v>
      </c>
      <c r="S20" s="60">
        <f>[2]TrRoad_act!S$26</f>
        <v>1707646.9871242896</v>
      </c>
      <c r="T20" s="60">
        <f>[2]TrRoad_act!T$26</f>
        <v>1707812.5097761312</v>
      </c>
      <c r="U20" s="60">
        <f>[2]TrRoad_act!U$26</f>
        <v>1765116.7010626465</v>
      </c>
      <c r="V20" s="60">
        <f>[2]TrRoad_act!V$26</f>
        <v>1745660.7010626465</v>
      </c>
      <c r="W20" s="60">
        <f>[2]TrRoad_act!W$26</f>
        <v>1862843.7010626465</v>
      </c>
      <c r="DA20" s="49" t="s">
        <v>179</v>
      </c>
    </row>
    <row r="21" spans="1:105" ht="11.5" customHeight="1" x14ac:dyDescent="0.35">
      <c r="A21" s="61" t="s">
        <v>73</v>
      </c>
      <c r="B21" s="62">
        <f>[2]TrRail_act!B$10</f>
        <v>387920.754642224</v>
      </c>
      <c r="C21" s="62">
        <f>[2]TrRail_act!C$10</f>
        <v>369253.30225225695</v>
      </c>
      <c r="D21" s="62">
        <f>[2]TrRail_act!D$10</f>
        <v>368161.19255303108</v>
      </c>
      <c r="E21" s="62">
        <f>[2]TrRail_act!E$10</f>
        <v>376309.26875462406</v>
      </c>
      <c r="F21" s="62">
        <f>[2]TrRail_act!F$10</f>
        <v>390035</v>
      </c>
      <c r="G21" s="62">
        <f>[2]TrRail_act!G$10</f>
        <v>394596.99999999994</v>
      </c>
      <c r="H21" s="62">
        <f>[2]TrRail_act!H$10</f>
        <v>416246</v>
      </c>
      <c r="I21" s="62">
        <f>[2]TrRail_act!I$10</f>
        <v>430724.00000000006</v>
      </c>
      <c r="J21" s="62">
        <f>[2]TrRail_act!J$10</f>
        <v>421685.99999999988</v>
      </c>
      <c r="K21" s="62">
        <f>[2]TrRail_act!K$10</f>
        <v>344369.00000000006</v>
      </c>
      <c r="L21" s="62">
        <f>[2]TrRail_act!L$10</f>
        <v>374955</v>
      </c>
      <c r="M21" s="62">
        <f>[2]TrRail_act!M$10</f>
        <v>401122</v>
      </c>
      <c r="N21" s="62">
        <f>[2]TrRail_act!N$10</f>
        <v>385189.00000000006</v>
      </c>
      <c r="O21" s="62">
        <f>[2]TrRail_act!O$10</f>
        <v>384319</v>
      </c>
      <c r="P21" s="62">
        <f>[2]TrRail_act!P$10</f>
        <v>388931.99999999994</v>
      </c>
      <c r="Q21" s="62">
        <f>[2]TrRail_act!Q$10</f>
        <v>398517</v>
      </c>
      <c r="R21" s="62">
        <f>[2]TrRail_act!R$10</f>
        <v>407458</v>
      </c>
      <c r="S21" s="62">
        <f>[2]TrRail_act!S$10</f>
        <v>411278.00000000006</v>
      </c>
      <c r="T21" s="62">
        <f>[2]TrRail_act!T$10</f>
        <v>418314</v>
      </c>
      <c r="U21" s="62">
        <f>[2]TrRail_act!U$10</f>
        <v>407921.00000000006</v>
      </c>
      <c r="V21" s="62">
        <f>[2]TrRail_act!V$10</f>
        <v>377307</v>
      </c>
      <c r="W21" s="62">
        <f>[2]TrRail_act!W$10</f>
        <v>409571.98254603677</v>
      </c>
      <c r="DA21" s="63" t="s">
        <v>180</v>
      </c>
    </row>
    <row r="22" spans="1:105" ht="11.5" customHeight="1" x14ac:dyDescent="0.35">
      <c r="A22" s="61" t="s">
        <v>68</v>
      </c>
      <c r="B22" s="62">
        <f t="shared" ref="B22:W22" si="6">B23+B24+B25</f>
        <v>25990.504364607496</v>
      </c>
      <c r="C22" s="62">
        <f t="shared" si="6"/>
        <v>25150.487273653893</v>
      </c>
      <c r="D22" s="62">
        <f t="shared" si="6"/>
        <v>25611.901417267523</v>
      </c>
      <c r="E22" s="62">
        <f t="shared" si="6"/>
        <v>25775.984780215138</v>
      </c>
      <c r="F22" s="62">
        <f t="shared" si="6"/>
        <v>27337.70051460098</v>
      </c>
      <c r="G22" s="62">
        <f t="shared" si="6"/>
        <v>29161.590419939268</v>
      </c>
      <c r="H22" s="62">
        <f t="shared" si="6"/>
        <v>31258.293912827739</v>
      </c>
      <c r="I22" s="62">
        <f t="shared" si="6"/>
        <v>33677.920902761107</v>
      </c>
      <c r="J22" s="62">
        <f t="shared" si="6"/>
        <v>34432.291242932326</v>
      </c>
      <c r="K22" s="62">
        <f t="shared" si="6"/>
        <v>30636.013909094465</v>
      </c>
      <c r="L22" s="62">
        <f t="shared" si="6"/>
        <v>36538.745152178075</v>
      </c>
      <c r="M22" s="62">
        <f t="shared" si="6"/>
        <v>39490.256961847736</v>
      </c>
      <c r="N22" s="62">
        <f t="shared" si="6"/>
        <v>37754.571303933873</v>
      </c>
      <c r="O22" s="62">
        <f t="shared" si="6"/>
        <v>37513.182491128173</v>
      </c>
      <c r="P22" s="62">
        <f t="shared" si="6"/>
        <v>41902.932890057717</v>
      </c>
      <c r="Q22" s="62">
        <f t="shared" si="6"/>
        <v>43383.701467300671</v>
      </c>
      <c r="R22" s="62">
        <f t="shared" si="6"/>
        <v>44015.691895198426</v>
      </c>
      <c r="S22" s="62">
        <f t="shared" si="6"/>
        <v>47277.198425138136</v>
      </c>
      <c r="T22" s="62">
        <f t="shared" si="6"/>
        <v>48756.504492687745</v>
      </c>
      <c r="U22" s="62">
        <f t="shared" si="6"/>
        <v>47794.32055552191</v>
      </c>
      <c r="V22" s="62">
        <f t="shared" si="6"/>
        <v>44687.26540335294</v>
      </c>
      <c r="W22" s="62">
        <f t="shared" si="6"/>
        <v>46525.464771967258</v>
      </c>
      <c r="DA22" s="63" t="s">
        <v>181</v>
      </c>
    </row>
    <row r="23" spans="1:105" ht="11.5" customHeight="1" x14ac:dyDescent="0.35">
      <c r="A23" s="59" t="s">
        <v>69</v>
      </c>
      <c r="B23" s="60">
        <f>[2]TrAvia_act!B$9</f>
        <v>415.25356894718698</v>
      </c>
      <c r="C23" s="60">
        <f>[2]TrAvia_act!C$9</f>
        <v>449.1262276439117</v>
      </c>
      <c r="D23" s="60">
        <f>[2]TrAvia_act!D$9</f>
        <v>415.26836419307125</v>
      </c>
      <c r="E23" s="60">
        <f>[2]TrAvia_act!E$9</f>
        <v>378.82428268026786</v>
      </c>
      <c r="F23" s="60">
        <f>[2]TrAvia_act!F$9</f>
        <v>380.32000827410417</v>
      </c>
      <c r="G23" s="60">
        <f>[2]TrAvia_act!G$9</f>
        <v>360.57705964383183</v>
      </c>
      <c r="H23" s="60">
        <f>[2]TrAvia_act!H$9</f>
        <v>346.13194447818967</v>
      </c>
      <c r="I23" s="60">
        <f>[2]TrAvia_act!I$9</f>
        <v>331.94181890986505</v>
      </c>
      <c r="J23" s="60">
        <f>[2]TrAvia_act!J$9</f>
        <v>309.42791310132645</v>
      </c>
      <c r="K23" s="60">
        <f>[2]TrAvia_act!K$9</f>
        <v>278.91789452663943</v>
      </c>
      <c r="L23" s="60">
        <f>[2]TrAvia_act!L$9</f>
        <v>255.87337828657297</v>
      </c>
      <c r="M23" s="60">
        <f>[2]TrAvia_act!M$9</f>
        <v>254.51253353605449</v>
      </c>
      <c r="N23" s="60">
        <f>[2]TrAvia_act!N$9</f>
        <v>234.1304633693222</v>
      </c>
      <c r="O23" s="60">
        <f>[2]TrAvia_act!O$9</f>
        <v>222.93694548451836</v>
      </c>
      <c r="P23" s="60">
        <f>[2]TrAvia_act!P$9</f>
        <v>250.57875135431195</v>
      </c>
      <c r="Q23" s="60">
        <f>[2]TrAvia_act!Q$9</f>
        <v>245.71006561027897</v>
      </c>
      <c r="R23" s="60">
        <f>[2]TrAvia_act!R$9</f>
        <v>249.16581900703417</v>
      </c>
      <c r="S23" s="60">
        <f>[2]TrAvia_act!S$9</f>
        <v>249.38452671630412</v>
      </c>
      <c r="T23" s="60">
        <f>[2]TrAvia_act!T$9</f>
        <v>252.96236049529722</v>
      </c>
      <c r="U23" s="60">
        <f>[2]TrAvia_act!U$9</f>
        <v>262.67151572750964</v>
      </c>
      <c r="V23" s="60">
        <f>[2]TrAvia_act!V$9</f>
        <v>228.45080186810708</v>
      </c>
      <c r="W23" s="60">
        <f>[2]TrAvia_act!W$9</f>
        <v>272.01753324348954</v>
      </c>
      <c r="DA23" s="49" t="s">
        <v>182</v>
      </c>
    </row>
    <row r="24" spans="1:105" ht="11.5" customHeight="1" x14ac:dyDescent="0.35">
      <c r="A24" s="59" t="s">
        <v>70</v>
      </c>
      <c r="B24" s="60">
        <f>[2]TrAvia_act!B$10</f>
        <v>1584.2301623788003</v>
      </c>
      <c r="C24" s="60">
        <f>[2]TrAvia_act!C$10</f>
        <v>1548.4561318122164</v>
      </c>
      <c r="D24" s="60">
        <f>[2]TrAvia_act!D$10</f>
        <v>1535.2549470385038</v>
      </c>
      <c r="E24" s="60">
        <f>[2]TrAvia_act!E$10</f>
        <v>1581.5275406198557</v>
      </c>
      <c r="F24" s="60">
        <f>[2]TrAvia_act!F$10</f>
        <v>1654.9073079083378</v>
      </c>
      <c r="G24" s="60">
        <f>[2]TrAvia_act!G$10</f>
        <v>1736.1596102198839</v>
      </c>
      <c r="H24" s="60">
        <f>[2]TrAvia_act!H$10</f>
        <v>1852.1548762277093</v>
      </c>
      <c r="I24" s="60">
        <f>[2]TrAvia_act!I$10</f>
        <v>1933.562251827381</v>
      </c>
      <c r="J24" s="60">
        <f>[2]TrAvia_act!J$10</f>
        <v>1903.6870929808006</v>
      </c>
      <c r="K24" s="60">
        <f>[2]TrAvia_act!K$10</f>
        <v>1776.8115156524784</v>
      </c>
      <c r="L24" s="60">
        <f>[2]TrAvia_act!L$10</f>
        <v>1853.6420323263114</v>
      </c>
      <c r="M24" s="60">
        <f>[2]TrAvia_act!M$10</f>
        <v>1860.1834212164858</v>
      </c>
      <c r="N24" s="60">
        <f>[2]TrAvia_act!N$10</f>
        <v>1878.9685740053615</v>
      </c>
      <c r="O24" s="60">
        <f>[2]TrAvia_act!O$10</f>
        <v>1875.0013508322518</v>
      </c>
      <c r="P24" s="60">
        <f>[2]TrAvia_act!P$10</f>
        <v>2137.4599238597216</v>
      </c>
      <c r="Q24" s="60">
        <f>[2]TrAvia_act!Q$10</f>
        <v>2168.8837952995168</v>
      </c>
      <c r="R24" s="60">
        <f>[2]TrAvia_act!R$10</f>
        <v>2191.4782196800415</v>
      </c>
      <c r="S24" s="60">
        <f>[2]TrAvia_act!S$10</f>
        <v>2227.8357503763091</v>
      </c>
      <c r="T24" s="60">
        <f>[2]TrAvia_act!T$10</f>
        <v>2276.3267130228228</v>
      </c>
      <c r="U24" s="60">
        <f>[2]TrAvia_act!U$10</f>
        <v>2374.5443351496892</v>
      </c>
      <c r="V24" s="60">
        <f>[2]TrAvia_act!V$10</f>
        <v>2153.2466091142114</v>
      </c>
      <c r="W24" s="60">
        <f>[2]TrAvia_act!W$10</f>
        <v>2490.2632392567934</v>
      </c>
      <c r="DA24" s="49" t="s">
        <v>183</v>
      </c>
    </row>
    <row r="25" spans="1:105" ht="11.5" customHeight="1" x14ac:dyDescent="0.35">
      <c r="A25" s="59" t="s">
        <v>71</v>
      </c>
      <c r="B25" s="60">
        <f>[2]TrAvia_act!B$11</f>
        <v>23991.020633281507</v>
      </c>
      <c r="C25" s="60">
        <f>[2]TrAvia_act!C$11</f>
        <v>23152.904914197763</v>
      </c>
      <c r="D25" s="60">
        <f>[2]TrAvia_act!D$11</f>
        <v>23661.378106035947</v>
      </c>
      <c r="E25" s="60">
        <f>[2]TrAvia_act!E$11</f>
        <v>23815.632956915015</v>
      </c>
      <c r="F25" s="60">
        <f>[2]TrAvia_act!F$11</f>
        <v>25302.473198418538</v>
      </c>
      <c r="G25" s="60">
        <f>[2]TrAvia_act!G$11</f>
        <v>27064.853750075552</v>
      </c>
      <c r="H25" s="60">
        <f>[2]TrAvia_act!H$11</f>
        <v>29060.007092121839</v>
      </c>
      <c r="I25" s="60">
        <f>[2]TrAvia_act!I$11</f>
        <v>31412.41683202386</v>
      </c>
      <c r="J25" s="60">
        <f>[2]TrAvia_act!J$11</f>
        <v>32219.176236850202</v>
      </c>
      <c r="K25" s="60">
        <f>[2]TrAvia_act!K$11</f>
        <v>28580.284498915345</v>
      </c>
      <c r="L25" s="60">
        <f>[2]TrAvia_act!L$11</f>
        <v>34429.229741565192</v>
      </c>
      <c r="M25" s="60">
        <f>[2]TrAvia_act!M$11</f>
        <v>37375.561007095195</v>
      </c>
      <c r="N25" s="60">
        <f>[2]TrAvia_act!N$11</f>
        <v>35641.472266559191</v>
      </c>
      <c r="O25" s="60">
        <f>[2]TrAvia_act!O$11</f>
        <v>35415.244194811399</v>
      </c>
      <c r="P25" s="60">
        <f>[2]TrAvia_act!P$11</f>
        <v>39514.894214843684</v>
      </c>
      <c r="Q25" s="60">
        <f>[2]TrAvia_act!Q$11</f>
        <v>40969.107606390877</v>
      </c>
      <c r="R25" s="60">
        <f>[2]TrAvia_act!R$11</f>
        <v>41575.047856511352</v>
      </c>
      <c r="S25" s="60">
        <f>[2]TrAvia_act!S$11</f>
        <v>44799.97814804552</v>
      </c>
      <c r="T25" s="60">
        <f>[2]TrAvia_act!T$11</f>
        <v>46227.215419169625</v>
      </c>
      <c r="U25" s="60">
        <f>[2]TrAvia_act!U$11</f>
        <v>45157.104704644713</v>
      </c>
      <c r="V25" s="60">
        <f>[2]TrAvia_act!V$11</f>
        <v>42305.567992370619</v>
      </c>
      <c r="W25" s="60">
        <f>[2]TrAvia_act!W$11</f>
        <v>43763.183999466972</v>
      </c>
      <c r="DA25" s="49" t="s">
        <v>184</v>
      </c>
    </row>
    <row r="26" spans="1:105" ht="11.5" customHeight="1" x14ac:dyDescent="0.35">
      <c r="A26" s="61" t="s">
        <v>74</v>
      </c>
      <c r="B26" s="62">
        <f t="shared" ref="B26:W26" si="7">B27+B28</f>
        <v>210311.03959999999</v>
      </c>
      <c r="C26" s="62">
        <f t="shared" si="7"/>
        <v>196436.93560000003</v>
      </c>
      <c r="D26" s="62">
        <f t="shared" si="7"/>
        <v>199209.70899999997</v>
      </c>
      <c r="E26" s="62">
        <f t="shared" si="7"/>
        <v>191180.4902</v>
      </c>
      <c r="F26" s="62">
        <f t="shared" si="7"/>
        <v>204960.43500000003</v>
      </c>
      <c r="G26" s="62">
        <f t="shared" si="7"/>
        <v>212155.80239999999</v>
      </c>
      <c r="H26" s="62">
        <f t="shared" si="7"/>
        <v>222352.28909999999</v>
      </c>
      <c r="I26" s="62">
        <f t="shared" si="7"/>
        <v>223604.84600000002</v>
      </c>
      <c r="J26" s="62">
        <f t="shared" si="7"/>
        <v>225942.01699999999</v>
      </c>
      <c r="K26" s="62">
        <f t="shared" si="7"/>
        <v>206680.44099999999</v>
      </c>
      <c r="L26" s="62">
        <f t="shared" si="7"/>
        <v>232211.17799999996</v>
      </c>
      <c r="M26" s="62">
        <f t="shared" si="7"/>
        <v>221528.701</v>
      </c>
      <c r="N26" s="62">
        <f t="shared" si="7"/>
        <v>222858.38500000001</v>
      </c>
      <c r="O26" s="62">
        <f t="shared" si="7"/>
        <v>218126.02900000001</v>
      </c>
      <c r="P26" s="62">
        <f t="shared" si="7"/>
        <v>223791.28500000003</v>
      </c>
      <c r="Q26" s="62">
        <f t="shared" si="7"/>
        <v>221742.38900000002</v>
      </c>
      <c r="R26" s="62">
        <f t="shared" si="7"/>
        <v>222815.788</v>
      </c>
      <c r="S26" s="62">
        <f t="shared" si="7"/>
        <v>225080.78333333333</v>
      </c>
      <c r="T26" s="62">
        <f t="shared" si="7"/>
        <v>211524.9937777778</v>
      </c>
      <c r="U26" s="62">
        <f t="shared" si="7"/>
        <v>220437.03899999999</v>
      </c>
      <c r="V26" s="62">
        <f t="shared" si="7"/>
        <v>208781.06000000003</v>
      </c>
      <c r="W26" s="62">
        <f t="shared" si="7"/>
        <v>212982.86500000002</v>
      </c>
      <c r="DA26" s="63" t="s">
        <v>185</v>
      </c>
    </row>
    <row r="27" spans="1:105" ht="11.5" customHeight="1" x14ac:dyDescent="0.35">
      <c r="A27" s="59" t="str">
        <f>[2]TrNavi_act!$A$4</f>
        <v>Domestic coastal shipping</v>
      </c>
      <c r="B27" s="60">
        <f>[2]TrNavi_act!B4</f>
        <v>76596.15400000001</v>
      </c>
      <c r="C27" s="60">
        <f>[2]TrNavi_act!C4</f>
        <v>64020.692000000003</v>
      </c>
      <c r="D27" s="60">
        <f>[2]TrNavi_act!D4</f>
        <v>66795.686000000002</v>
      </c>
      <c r="E27" s="60">
        <f>[2]TrNavi_act!E4</f>
        <v>67745.404999999999</v>
      </c>
      <c r="F27" s="60">
        <f>[2]TrNavi_act!F4</f>
        <v>68197.284000000014</v>
      </c>
      <c r="G27" s="60">
        <f>[2]TrNavi_act!G4</f>
        <v>73544.827999999994</v>
      </c>
      <c r="H27" s="60">
        <f>[2]TrNavi_act!H4</f>
        <v>83935.32</v>
      </c>
      <c r="I27" s="60">
        <f>[2]TrNavi_act!I4</f>
        <v>78202.846000000034</v>
      </c>
      <c r="J27" s="60">
        <f>[2]TrNavi_act!J4</f>
        <v>79039.016999999993</v>
      </c>
      <c r="K27" s="60">
        <f>[2]TrNavi_act!K4</f>
        <v>74074.441000000006</v>
      </c>
      <c r="L27" s="60">
        <f>[2]TrNavi_act!L4</f>
        <v>76846.177999999971</v>
      </c>
      <c r="M27" s="60">
        <f>[2]TrNavi_act!M4</f>
        <v>79703.701000000001</v>
      </c>
      <c r="N27" s="60">
        <f>[2]TrNavi_act!N4</f>
        <v>73036.384999999995</v>
      </c>
      <c r="O27" s="60">
        <f>[2]TrNavi_act!O4</f>
        <v>65542.02900000001</v>
      </c>
      <c r="P27" s="60">
        <f>[2]TrNavi_act!P4</f>
        <v>73084.285000000018</v>
      </c>
      <c r="Q27" s="60">
        <f>[2]TrNavi_act!Q4</f>
        <v>74391.38900000001</v>
      </c>
      <c r="R27" s="60">
        <f>[2]TrNavi_act!R4</f>
        <v>76206.787999999986</v>
      </c>
      <c r="S27" s="60">
        <f>[2]TrNavi_act!S4</f>
        <v>77857.45</v>
      </c>
      <c r="T27" s="60">
        <f>[2]TrNavi_act!T4</f>
        <v>80222.216000000015</v>
      </c>
      <c r="U27" s="60">
        <f>[2]TrNavi_act!U4</f>
        <v>80740.039000000004</v>
      </c>
      <c r="V27" s="60">
        <f>[2]TrNavi_act!V4</f>
        <v>77040.050000000017</v>
      </c>
      <c r="W27" s="60">
        <f>[2]TrNavi_act!W4</f>
        <v>76906.86500000002</v>
      </c>
      <c r="DA27" s="49" t="s">
        <v>186</v>
      </c>
    </row>
    <row r="28" spans="1:105" ht="11.5" customHeight="1" x14ac:dyDescent="0.35">
      <c r="A28" s="64" t="str">
        <f>[2]TrNavi_act!$A$5</f>
        <v>Inland waterways</v>
      </c>
      <c r="B28" s="65">
        <f>[2]TrNavi_act!B5</f>
        <v>133714.88559999998</v>
      </c>
      <c r="C28" s="65">
        <f>[2]TrNavi_act!C5</f>
        <v>132416.24360000002</v>
      </c>
      <c r="D28" s="65">
        <f>[2]TrNavi_act!D5</f>
        <v>132414.02299999999</v>
      </c>
      <c r="E28" s="65">
        <f>[2]TrNavi_act!E5</f>
        <v>123435.08520000002</v>
      </c>
      <c r="F28" s="65">
        <f>[2]TrNavi_act!F5</f>
        <v>136763.15100000001</v>
      </c>
      <c r="G28" s="65">
        <f>[2]TrNavi_act!G5</f>
        <v>138610.97440000001</v>
      </c>
      <c r="H28" s="65">
        <f>[2]TrNavi_act!H5</f>
        <v>138416.96909999999</v>
      </c>
      <c r="I28" s="65">
        <f>[2]TrNavi_act!I5</f>
        <v>145402</v>
      </c>
      <c r="J28" s="65">
        <f>[2]TrNavi_act!J5</f>
        <v>146903</v>
      </c>
      <c r="K28" s="65">
        <f>[2]TrNavi_act!K5</f>
        <v>132606</v>
      </c>
      <c r="L28" s="65">
        <f>[2]TrNavi_act!L5</f>
        <v>155365</v>
      </c>
      <c r="M28" s="65">
        <f>[2]TrNavi_act!M5</f>
        <v>141825</v>
      </c>
      <c r="N28" s="65">
        <f>[2]TrNavi_act!N5</f>
        <v>149822</v>
      </c>
      <c r="O28" s="65">
        <f>[2]TrNavi_act!O5</f>
        <v>152584</v>
      </c>
      <c r="P28" s="65">
        <f>[2]TrNavi_act!P5</f>
        <v>150707</v>
      </c>
      <c r="Q28" s="65">
        <f>[2]TrNavi_act!Q5</f>
        <v>147351</v>
      </c>
      <c r="R28" s="65">
        <f>[2]TrNavi_act!R5</f>
        <v>146609</v>
      </c>
      <c r="S28" s="65">
        <f>[2]TrNavi_act!S5</f>
        <v>147223.33333333331</v>
      </c>
      <c r="T28" s="65">
        <f>[2]TrNavi_act!T5</f>
        <v>131302.77777777778</v>
      </c>
      <c r="U28" s="65">
        <f>[2]TrNavi_act!U5</f>
        <v>139697</v>
      </c>
      <c r="V28" s="65">
        <f>[2]TrNavi_act!V5</f>
        <v>131741.01</v>
      </c>
      <c r="W28" s="65">
        <f>[2]TrNavi_act!W5</f>
        <v>136076</v>
      </c>
      <c r="DA28" s="66" t="s">
        <v>187</v>
      </c>
    </row>
    <row r="29" spans="1:105" ht="11.5" customHeight="1" x14ac:dyDescent="0.35">
      <c r="A29" s="53" t="s">
        <v>75</v>
      </c>
      <c r="B29" s="54">
        <f t="shared" ref="B29:W29" si="8">B30+B31</f>
        <v>5326857.4465439999</v>
      </c>
      <c r="C29" s="54">
        <f t="shared" si="8"/>
        <v>5600580.8933119997</v>
      </c>
      <c r="D29" s="54">
        <f t="shared" si="8"/>
        <v>5760396.7518229997</v>
      </c>
      <c r="E29" s="54">
        <f t="shared" si="8"/>
        <v>5971481.5426449999</v>
      </c>
      <c r="F29" s="54">
        <f t="shared" si="8"/>
        <v>6310605.0556279998</v>
      </c>
      <c r="G29" s="54">
        <f t="shared" si="8"/>
        <v>6787911.1454270007</v>
      </c>
      <c r="H29" s="54">
        <f t="shared" si="8"/>
        <v>7119228.0933020003</v>
      </c>
      <c r="I29" s="54">
        <f t="shared" si="8"/>
        <v>7369718.9251739997</v>
      </c>
      <c r="J29" s="54">
        <f t="shared" si="8"/>
        <v>7603280.8803650001</v>
      </c>
      <c r="K29" s="54">
        <f t="shared" si="8"/>
        <v>6448510.9093880001</v>
      </c>
      <c r="L29" s="54">
        <f t="shared" si="8"/>
        <v>6942996.0965500008</v>
      </c>
      <c r="M29" s="54">
        <f t="shared" si="8"/>
        <v>7483459.4286740012</v>
      </c>
      <c r="N29" s="54">
        <f t="shared" si="8"/>
        <v>7468630.6677689981</v>
      </c>
      <c r="O29" s="54">
        <f t="shared" si="8"/>
        <v>7295288.9737370005</v>
      </c>
      <c r="P29" s="54">
        <f t="shared" si="8"/>
        <v>7635673.2099049995</v>
      </c>
      <c r="Q29" s="54">
        <f t="shared" si="8"/>
        <v>7708235.5194420023</v>
      </c>
      <c r="R29" s="54">
        <f t="shared" si="8"/>
        <v>7724186.3726279996</v>
      </c>
      <c r="S29" s="54">
        <f t="shared" si="8"/>
        <v>7986547.7088090023</v>
      </c>
      <c r="T29" s="54">
        <f t="shared" si="8"/>
        <v>8213749.9319819994</v>
      </c>
      <c r="U29" s="54">
        <f t="shared" si="8"/>
        <v>8422478.3690099996</v>
      </c>
      <c r="V29" s="54">
        <f t="shared" si="8"/>
        <v>7741503.7297410006</v>
      </c>
      <c r="W29" s="54">
        <f t="shared" si="8"/>
        <v>8135819.1880959999</v>
      </c>
      <c r="DA29" s="55" t="s">
        <v>188</v>
      </c>
    </row>
    <row r="30" spans="1:105" ht="11.5" customHeight="1" x14ac:dyDescent="0.35">
      <c r="A30" s="59" t="s">
        <v>76</v>
      </c>
      <c r="B30" s="60">
        <f>[2]MBunk_act!B$4</f>
        <v>753767.24071499996</v>
      </c>
      <c r="C30" s="60">
        <f>[2]MBunk_act!C$4</f>
        <v>780873.54106299998</v>
      </c>
      <c r="D30" s="60">
        <f>[2]MBunk_act!D$4</f>
        <v>793361.74395400006</v>
      </c>
      <c r="E30" s="60">
        <f>[2]MBunk_act!E$4</f>
        <v>807199.90117699991</v>
      </c>
      <c r="F30" s="60">
        <f>[2]MBunk_act!F$4</f>
        <v>831866.44911899988</v>
      </c>
      <c r="G30" s="60">
        <f>[2]MBunk_act!G$4</f>
        <v>834011.02166099998</v>
      </c>
      <c r="H30" s="60">
        <f>[2]MBunk_act!H$4</f>
        <v>820751.74994500016</v>
      </c>
      <c r="I30" s="60">
        <f>[2]MBunk_act!I$4</f>
        <v>821736.85036699986</v>
      </c>
      <c r="J30" s="60">
        <f>[2]MBunk_act!J$4</f>
        <v>823455.9682560002</v>
      </c>
      <c r="K30" s="60">
        <f>[2]MBunk_act!K$4</f>
        <v>749736.74779499997</v>
      </c>
      <c r="L30" s="60">
        <f>[2]MBunk_act!L$4</f>
        <v>810990.88261199987</v>
      </c>
      <c r="M30" s="60">
        <f>[2]MBunk_act!M$4</f>
        <v>819202.74876200012</v>
      </c>
      <c r="N30" s="60">
        <f>[2]MBunk_act!N$4</f>
        <v>813110.6150639999</v>
      </c>
      <c r="O30" s="60">
        <f>[2]MBunk_act!O$4</f>
        <v>831474.02015</v>
      </c>
      <c r="P30" s="60">
        <f>[2]MBunk_act!P$4</f>
        <v>858027.52009200002</v>
      </c>
      <c r="Q30" s="60">
        <f>[2]MBunk_act!Q$4</f>
        <v>847483.61328800011</v>
      </c>
      <c r="R30" s="60">
        <f>[2]MBunk_act!R$4</f>
        <v>885484.94313100004</v>
      </c>
      <c r="S30" s="60">
        <f>[2]MBunk_act!S$4</f>
        <v>892626.678526</v>
      </c>
      <c r="T30" s="60">
        <f>[2]MBunk_act!T$4</f>
        <v>949847.57712200028</v>
      </c>
      <c r="U30" s="60">
        <f>[2]MBunk_act!U$4</f>
        <v>955169.91404700011</v>
      </c>
      <c r="V30" s="60">
        <f>[2]MBunk_act!V$4</f>
        <v>893950.70762199978</v>
      </c>
      <c r="W30" s="60">
        <f>[2]MBunk_act!W$4</f>
        <v>910620.84579399996</v>
      </c>
      <c r="DA30" s="49" t="s">
        <v>189</v>
      </c>
    </row>
    <row r="31" spans="1:105" ht="11.5" customHeight="1" x14ac:dyDescent="0.35">
      <c r="A31" s="67" t="s">
        <v>77</v>
      </c>
      <c r="B31" s="68">
        <f>[2]MBunk_act!B$5</f>
        <v>4573090.2058290001</v>
      </c>
      <c r="C31" s="68">
        <f>[2]MBunk_act!C$5</f>
        <v>4819707.3522489993</v>
      </c>
      <c r="D31" s="68">
        <f>[2]MBunk_act!D$5</f>
        <v>4967035.0078689996</v>
      </c>
      <c r="E31" s="68">
        <f>[2]MBunk_act!E$5</f>
        <v>5164281.6414679997</v>
      </c>
      <c r="F31" s="68">
        <f>[2]MBunk_act!F$5</f>
        <v>5478738.6065090001</v>
      </c>
      <c r="G31" s="68">
        <f>[2]MBunk_act!G$5</f>
        <v>5953900.1237660004</v>
      </c>
      <c r="H31" s="68">
        <f>[2]MBunk_act!H$5</f>
        <v>6298476.3433570005</v>
      </c>
      <c r="I31" s="68">
        <f>[2]MBunk_act!I$5</f>
        <v>6547982.0748070003</v>
      </c>
      <c r="J31" s="68">
        <f>[2]MBunk_act!J$5</f>
        <v>6779824.9121089997</v>
      </c>
      <c r="K31" s="68">
        <f>[2]MBunk_act!K$5</f>
        <v>5698774.1615930004</v>
      </c>
      <c r="L31" s="68">
        <f>[2]MBunk_act!L$5</f>
        <v>6132005.2139380006</v>
      </c>
      <c r="M31" s="68">
        <f>[2]MBunk_act!M$5</f>
        <v>6664256.6799120009</v>
      </c>
      <c r="N31" s="68">
        <f>[2]MBunk_act!N$5</f>
        <v>6655520.0527049983</v>
      </c>
      <c r="O31" s="68">
        <f>[2]MBunk_act!O$5</f>
        <v>6463814.9535870003</v>
      </c>
      <c r="P31" s="68">
        <f>[2]MBunk_act!P$5</f>
        <v>6777645.6898129992</v>
      </c>
      <c r="Q31" s="68">
        <f>[2]MBunk_act!Q$5</f>
        <v>6860751.9061540021</v>
      </c>
      <c r="R31" s="68">
        <f>[2]MBunk_act!R$5</f>
        <v>6838701.4294969998</v>
      </c>
      <c r="S31" s="68">
        <f>[2]MBunk_act!S$5</f>
        <v>7093921.0302830022</v>
      </c>
      <c r="T31" s="68">
        <f>[2]MBunk_act!T$5</f>
        <v>7263902.3548599994</v>
      </c>
      <c r="U31" s="68">
        <f>[2]MBunk_act!U$5</f>
        <v>7467308.4549629986</v>
      </c>
      <c r="V31" s="68">
        <f>[2]MBunk_act!V$5</f>
        <v>6847553.0221190006</v>
      </c>
      <c r="W31" s="68">
        <f>[2]MBunk_act!W$5</f>
        <v>7225198.3423020002</v>
      </c>
      <c r="DA31" s="69" t="s">
        <v>190</v>
      </c>
    </row>
    <row r="32" spans="1:105" ht="11.5" customHeight="1" x14ac:dyDescent="0.35">
      <c r="A32" s="48"/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DA32" s="49"/>
    </row>
    <row r="33" spans="1:105" ht="11.5" customHeight="1" x14ac:dyDescent="0.35">
      <c r="A33" s="50" t="s">
        <v>24</v>
      </c>
      <c r="B33" s="70"/>
      <c r="C33" s="70"/>
      <c r="D33" s="70"/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DA33" s="52"/>
    </row>
    <row r="34" spans="1:105" ht="11.5" customHeight="1" x14ac:dyDescent="0.35">
      <c r="A34" s="53" t="s">
        <v>78</v>
      </c>
      <c r="B34" s="54">
        <f t="shared" ref="B34:W34" si="9">B35+B39+B43</f>
        <v>203854.54794832657</v>
      </c>
      <c r="C34" s="54">
        <f t="shared" si="9"/>
        <v>205123.88493185915</v>
      </c>
      <c r="D34" s="54">
        <f t="shared" si="9"/>
        <v>207135.60974081821</v>
      </c>
      <c r="E34" s="54">
        <f t="shared" si="9"/>
        <v>208430.44065125412</v>
      </c>
      <c r="F34" s="54">
        <f t="shared" si="9"/>
        <v>212832.93926256601</v>
      </c>
      <c r="G34" s="54">
        <f t="shared" si="9"/>
        <v>212662.0489089663</v>
      </c>
      <c r="H34" s="54">
        <f t="shared" si="9"/>
        <v>216583.56219416385</v>
      </c>
      <c r="I34" s="54">
        <f t="shared" si="9"/>
        <v>220391.82074489765</v>
      </c>
      <c r="J34" s="54">
        <f t="shared" si="9"/>
        <v>219822.73348115262</v>
      </c>
      <c r="K34" s="54">
        <f t="shared" si="9"/>
        <v>217063.00651632587</v>
      </c>
      <c r="L34" s="54">
        <f t="shared" si="9"/>
        <v>214810.58264540293</v>
      </c>
      <c r="M34" s="54">
        <f t="shared" si="9"/>
        <v>215712.84517095139</v>
      </c>
      <c r="N34" s="54">
        <f t="shared" si="9"/>
        <v>210031.79987949747</v>
      </c>
      <c r="O34" s="54">
        <f t="shared" si="9"/>
        <v>208887.50958083145</v>
      </c>
      <c r="P34" s="54">
        <f t="shared" si="9"/>
        <v>213731.56738439531</v>
      </c>
      <c r="Q34" s="54">
        <f t="shared" si="9"/>
        <v>217810.87680725276</v>
      </c>
      <c r="R34" s="54">
        <f t="shared" si="9"/>
        <v>222571.01990510727</v>
      </c>
      <c r="S34" s="54">
        <f t="shared" si="9"/>
        <v>227113.35256601538</v>
      </c>
      <c r="T34" s="54">
        <f t="shared" si="9"/>
        <v>228690.61097808339</v>
      </c>
      <c r="U34" s="54">
        <f t="shared" si="9"/>
        <v>231597.07827704871</v>
      </c>
      <c r="V34" s="54">
        <f t="shared" si="9"/>
        <v>176845.91704264499</v>
      </c>
      <c r="W34" s="54">
        <f t="shared" si="9"/>
        <v>191798.3964155736</v>
      </c>
      <c r="DA34" s="55"/>
    </row>
    <row r="35" spans="1:105" ht="11.5" customHeight="1" x14ac:dyDescent="0.35">
      <c r="A35" s="56" t="str">
        <f>$A$5</f>
        <v>Road transport</v>
      </c>
      <c r="B35" s="57">
        <f t="shared" ref="B35:W35" si="10">B36+B37+B38</f>
        <v>167049.4683900722</v>
      </c>
      <c r="C35" s="57">
        <f t="shared" si="10"/>
        <v>169193.65615544032</v>
      </c>
      <c r="D35" s="57">
        <f t="shared" si="10"/>
        <v>172155.91129380953</v>
      </c>
      <c r="E35" s="57">
        <f t="shared" si="10"/>
        <v>173089.10715568549</v>
      </c>
      <c r="F35" s="57">
        <f t="shared" si="10"/>
        <v>175497.35170608346</v>
      </c>
      <c r="G35" s="57">
        <f t="shared" si="10"/>
        <v>174055.0482994311</v>
      </c>
      <c r="H35" s="57">
        <f t="shared" si="10"/>
        <v>176899.17587936061</v>
      </c>
      <c r="I35" s="57">
        <f t="shared" si="10"/>
        <v>179052.23059731466</v>
      </c>
      <c r="J35" s="57">
        <f t="shared" si="10"/>
        <v>178174.63017366175</v>
      </c>
      <c r="K35" s="57">
        <f t="shared" si="10"/>
        <v>178352.21496911944</v>
      </c>
      <c r="L35" s="57">
        <f t="shared" si="10"/>
        <v>176078.96326934602</v>
      </c>
      <c r="M35" s="57">
        <f t="shared" si="10"/>
        <v>175617.27103063752</v>
      </c>
      <c r="N35" s="57">
        <f t="shared" si="10"/>
        <v>170498.58893396688</v>
      </c>
      <c r="O35" s="57">
        <f t="shared" si="10"/>
        <v>170034.35724344754</v>
      </c>
      <c r="P35" s="57">
        <f t="shared" si="10"/>
        <v>174466.59493377034</v>
      </c>
      <c r="Q35" s="57">
        <f t="shared" si="10"/>
        <v>177086.08451629322</v>
      </c>
      <c r="R35" s="57">
        <f t="shared" si="10"/>
        <v>179677.46353677945</v>
      </c>
      <c r="S35" s="57">
        <f t="shared" si="10"/>
        <v>181596.49559033834</v>
      </c>
      <c r="T35" s="57">
        <f t="shared" si="10"/>
        <v>180951.90969254196</v>
      </c>
      <c r="U35" s="57">
        <f t="shared" si="10"/>
        <v>182656.84615755503</v>
      </c>
      <c r="V35" s="57">
        <f t="shared" si="10"/>
        <v>156741.83396874275</v>
      </c>
      <c r="W35" s="57">
        <f t="shared" si="10"/>
        <v>166999.30846937286</v>
      </c>
      <c r="DA35" s="58" t="s">
        <v>191</v>
      </c>
    </row>
    <row r="36" spans="1:105" ht="11.5" customHeight="1" x14ac:dyDescent="0.35">
      <c r="A36" s="59" t="str">
        <f>$A$6</f>
        <v>Powered two-wheelers</v>
      </c>
      <c r="B36" s="60">
        <f>[2]TrRoad_ene!B$19</f>
        <v>3405.2524978711281</v>
      </c>
      <c r="C36" s="60">
        <f>[2]TrRoad_ene!C$19</f>
        <v>3482.8462312535921</v>
      </c>
      <c r="D36" s="60">
        <f>[2]TrRoad_ene!D$19</f>
        <v>3502.2502177883889</v>
      </c>
      <c r="E36" s="60">
        <f>[2]TrRoad_ene!E$19</f>
        <v>3559.2388570995472</v>
      </c>
      <c r="F36" s="60">
        <f>[2]TrRoad_ene!F$19</f>
        <v>3625.4333148614178</v>
      </c>
      <c r="G36" s="60">
        <f>[2]TrRoad_ene!G$19</f>
        <v>3699.6045614803447</v>
      </c>
      <c r="H36" s="60">
        <f>[2]TrRoad_ene!H$19</f>
        <v>3624.2287889147105</v>
      </c>
      <c r="I36" s="60">
        <f>[2]TrRoad_ene!I$19</f>
        <v>3473.6671831717799</v>
      </c>
      <c r="J36" s="60">
        <f>[2]TrRoad_ene!J$19</f>
        <v>3580.4361790254534</v>
      </c>
      <c r="K36" s="60">
        <f>[2]TrRoad_ene!K$19</f>
        <v>3516.4558454765843</v>
      </c>
      <c r="L36" s="60">
        <f>[2]TrRoad_ene!L$19</f>
        <v>3577.9422822922202</v>
      </c>
      <c r="M36" s="60">
        <f>[2]TrRoad_ene!M$19</f>
        <v>3572.5989157514646</v>
      </c>
      <c r="N36" s="60">
        <f>[2]TrRoad_ene!N$19</f>
        <v>3484.1139694852895</v>
      </c>
      <c r="O36" s="60">
        <f>[2]TrRoad_ene!O$19</f>
        <v>3445.9145597869738</v>
      </c>
      <c r="P36" s="60">
        <f>[2]TrRoad_ene!P$19</f>
        <v>3528.1513822885363</v>
      </c>
      <c r="Q36" s="60">
        <f>[2]TrRoad_ene!Q$19</f>
        <v>3563.4150863828181</v>
      </c>
      <c r="R36" s="60">
        <f>[2]TrRoad_ene!R$19</f>
        <v>3564.8188872358655</v>
      </c>
      <c r="S36" s="60">
        <f>[2]TrRoad_ene!S$19</f>
        <v>3381.2569290030924</v>
      </c>
      <c r="T36" s="60">
        <f>[2]TrRoad_ene!T$19</f>
        <v>3226.1397661589654</v>
      </c>
      <c r="U36" s="60">
        <f>[2]TrRoad_ene!U$19</f>
        <v>3368.9220758774613</v>
      </c>
      <c r="V36" s="60">
        <f>[2]TrRoad_ene!V$19</f>
        <v>2954.9556918445373</v>
      </c>
      <c r="W36" s="60">
        <f>[2]TrRoad_ene!W$19</f>
        <v>2939.8796506624867</v>
      </c>
      <c r="DA36" s="49" t="s">
        <v>192</v>
      </c>
    </row>
    <row r="37" spans="1:105" ht="11.5" customHeight="1" x14ac:dyDescent="0.35">
      <c r="A37" s="59" t="str">
        <f>$A$7</f>
        <v>Passenger cars</v>
      </c>
      <c r="B37" s="60">
        <f>[2]TrRoad_ene!B$21</f>
        <v>149935.38249775683</v>
      </c>
      <c r="C37" s="60">
        <f>[2]TrRoad_ene!C$21</f>
        <v>152093.15745184777</v>
      </c>
      <c r="D37" s="60">
        <f>[2]TrRoad_ene!D$21</f>
        <v>155147.7300060472</v>
      </c>
      <c r="E37" s="60">
        <f>[2]TrRoad_ene!E$21</f>
        <v>155902.75206987155</v>
      </c>
      <c r="F37" s="60">
        <f>[2]TrRoad_ene!F$21</f>
        <v>158342.91626938019</v>
      </c>
      <c r="G37" s="60">
        <f>[2]TrRoad_ene!G$21</f>
        <v>157061.47452220417</v>
      </c>
      <c r="H37" s="60">
        <f>[2]TrRoad_ene!H$21</f>
        <v>159856.05305984779</v>
      </c>
      <c r="I37" s="60">
        <f>[2]TrRoad_ene!I$21</f>
        <v>162101.7112659172</v>
      </c>
      <c r="J37" s="60">
        <f>[2]TrRoad_ene!J$21</f>
        <v>161053.33715289619</v>
      </c>
      <c r="K37" s="60">
        <f>[2]TrRoad_ene!K$21</f>
        <v>161282.30094452683</v>
      </c>
      <c r="L37" s="60">
        <f>[2]TrRoad_ene!L$21</f>
        <v>158883.98056794284</v>
      </c>
      <c r="M37" s="60">
        <f>[2]TrRoad_ene!M$21</f>
        <v>158234.47650428402</v>
      </c>
      <c r="N37" s="60">
        <f>[2]TrRoad_ene!N$21</f>
        <v>153403.21660443893</v>
      </c>
      <c r="O37" s="60">
        <f>[2]TrRoad_ene!O$21</f>
        <v>152974.29983633509</v>
      </c>
      <c r="P37" s="60">
        <f>[2]TrRoad_ene!P$21</f>
        <v>157076.63887012229</v>
      </c>
      <c r="Q37" s="60">
        <f>[2]TrRoad_ene!Q$21</f>
        <v>159218.79237634217</v>
      </c>
      <c r="R37" s="60">
        <f>[2]TrRoad_ene!R$21</f>
        <v>161556.8392505681</v>
      </c>
      <c r="S37" s="60">
        <f>[2]TrRoad_ene!S$21</f>
        <v>163869.88804132355</v>
      </c>
      <c r="T37" s="60">
        <f>[2]TrRoad_ene!T$21</f>
        <v>163300.34131917977</v>
      </c>
      <c r="U37" s="60">
        <f>[2]TrRoad_ene!U$21</f>
        <v>164672.37057016953</v>
      </c>
      <c r="V37" s="60">
        <f>[2]TrRoad_ene!V$21</f>
        <v>140478.30527407263</v>
      </c>
      <c r="W37" s="60">
        <f>[2]TrRoad_ene!W$21</f>
        <v>150346.72987449047</v>
      </c>
      <c r="DA37" s="49" t="s">
        <v>193</v>
      </c>
    </row>
    <row r="38" spans="1:105" ht="11.5" customHeight="1" x14ac:dyDescent="0.35">
      <c r="A38" s="59" t="str">
        <f>$A$8</f>
        <v>Motor coaches, buses and trolley buses</v>
      </c>
      <c r="B38" s="60">
        <f>[2]TrRoad_ene!B$33</f>
        <v>13708.833394444267</v>
      </c>
      <c r="C38" s="60">
        <f>[2]TrRoad_ene!C$33</f>
        <v>13617.652472338954</v>
      </c>
      <c r="D38" s="60">
        <f>[2]TrRoad_ene!D$33</f>
        <v>13505.931069973931</v>
      </c>
      <c r="E38" s="60">
        <f>[2]TrRoad_ene!E$33</f>
        <v>13627.11622871438</v>
      </c>
      <c r="F38" s="60">
        <f>[2]TrRoad_ene!F$33</f>
        <v>13529.002121841857</v>
      </c>
      <c r="G38" s="60">
        <f>[2]TrRoad_ene!G$33</f>
        <v>13293.969215746594</v>
      </c>
      <c r="H38" s="60">
        <f>[2]TrRoad_ene!H$33</f>
        <v>13418.894030598103</v>
      </c>
      <c r="I38" s="60">
        <f>[2]TrRoad_ene!I$33</f>
        <v>13476.852148225673</v>
      </c>
      <c r="J38" s="60">
        <f>[2]TrRoad_ene!J$33</f>
        <v>13540.856841740118</v>
      </c>
      <c r="K38" s="60">
        <f>[2]TrRoad_ene!K$33</f>
        <v>13553.458179116016</v>
      </c>
      <c r="L38" s="60">
        <f>[2]TrRoad_ene!L$33</f>
        <v>13617.040419110976</v>
      </c>
      <c r="M38" s="60">
        <f>[2]TrRoad_ene!M$33</f>
        <v>13810.195610602033</v>
      </c>
      <c r="N38" s="60">
        <f>[2]TrRoad_ene!N$33</f>
        <v>13611.258360042682</v>
      </c>
      <c r="O38" s="60">
        <f>[2]TrRoad_ene!O$33</f>
        <v>13614.142847325475</v>
      </c>
      <c r="P38" s="60">
        <f>[2]TrRoad_ene!P$33</f>
        <v>13861.804681359512</v>
      </c>
      <c r="Q38" s="60">
        <f>[2]TrRoad_ene!Q$33</f>
        <v>14303.877053568222</v>
      </c>
      <c r="R38" s="60">
        <f>[2]TrRoad_ene!R$33</f>
        <v>14555.805398975504</v>
      </c>
      <c r="S38" s="60">
        <f>[2]TrRoad_ene!S$33</f>
        <v>14345.350620011699</v>
      </c>
      <c r="T38" s="60">
        <f>[2]TrRoad_ene!T$33</f>
        <v>14425.428607203203</v>
      </c>
      <c r="U38" s="60">
        <f>[2]TrRoad_ene!U$33</f>
        <v>14615.553511508031</v>
      </c>
      <c r="V38" s="60">
        <f>[2]TrRoad_ene!V$33</f>
        <v>13308.573002825578</v>
      </c>
      <c r="W38" s="60">
        <f>[2]TrRoad_ene!W$33</f>
        <v>13712.698944219923</v>
      </c>
      <c r="DA38" s="49" t="s">
        <v>194</v>
      </c>
    </row>
    <row r="39" spans="1:105" ht="11.5" customHeight="1" x14ac:dyDescent="0.35">
      <c r="A39" s="61" t="str">
        <f>$A$9</f>
        <v>Rail, metro and tram</v>
      </c>
      <c r="B39" s="62">
        <f t="shared" ref="B39:W39" si="11">B40+B41+B42</f>
        <v>5202.4468798892431</v>
      </c>
      <c r="C39" s="62">
        <f t="shared" si="11"/>
        <v>4957.6995030498219</v>
      </c>
      <c r="D39" s="62">
        <f t="shared" si="11"/>
        <v>5011.132747872608</v>
      </c>
      <c r="E39" s="62">
        <f t="shared" si="11"/>
        <v>4959.4342922688229</v>
      </c>
      <c r="F39" s="62">
        <f t="shared" si="11"/>
        <v>5034.9384219977283</v>
      </c>
      <c r="G39" s="62">
        <f t="shared" si="11"/>
        <v>4993.3211921015691</v>
      </c>
      <c r="H39" s="62">
        <f t="shared" si="11"/>
        <v>4685.223488249876</v>
      </c>
      <c r="I39" s="62">
        <f t="shared" si="11"/>
        <v>4805.5554509031253</v>
      </c>
      <c r="J39" s="62">
        <f t="shared" si="11"/>
        <v>4793.9356465711089</v>
      </c>
      <c r="K39" s="62">
        <f t="shared" si="11"/>
        <v>4694.9632884530265</v>
      </c>
      <c r="L39" s="62">
        <f t="shared" si="11"/>
        <v>4677.2665443295855</v>
      </c>
      <c r="M39" s="62">
        <f t="shared" si="11"/>
        <v>4655.5452088115035</v>
      </c>
      <c r="N39" s="62">
        <f t="shared" si="11"/>
        <v>4726.6310574788276</v>
      </c>
      <c r="O39" s="62">
        <f t="shared" si="11"/>
        <v>4259.8630675977975</v>
      </c>
      <c r="P39" s="62">
        <f t="shared" si="11"/>
        <v>4126.0746689728921</v>
      </c>
      <c r="Q39" s="62">
        <f t="shared" si="11"/>
        <v>4154.4069442668806</v>
      </c>
      <c r="R39" s="62">
        <f t="shared" si="11"/>
        <v>4203.8583429191731</v>
      </c>
      <c r="S39" s="62">
        <f t="shared" si="11"/>
        <v>4175.7273287452972</v>
      </c>
      <c r="T39" s="62">
        <f t="shared" si="11"/>
        <v>4103.2232300164296</v>
      </c>
      <c r="U39" s="62">
        <f t="shared" si="11"/>
        <v>4061.0835636885886</v>
      </c>
      <c r="V39" s="62">
        <f t="shared" si="11"/>
        <v>3464.3772250999673</v>
      </c>
      <c r="W39" s="62">
        <f t="shared" si="11"/>
        <v>3861.1785048215384</v>
      </c>
      <c r="DA39" s="63" t="s">
        <v>195</v>
      </c>
    </row>
    <row r="40" spans="1:105" ht="11.5" customHeight="1" x14ac:dyDescent="0.35">
      <c r="A40" s="59" t="str">
        <f>$A$10</f>
        <v>Metro and tram, urban light rail</v>
      </c>
      <c r="B40" s="60">
        <f>[2]TrRail_ene!B$12</f>
        <v>374.66872104241804</v>
      </c>
      <c r="C40" s="60">
        <f>[2]TrRail_ene!C$12</f>
        <v>377.04704357921105</v>
      </c>
      <c r="D40" s="60">
        <f>[2]TrRail_ene!D$12</f>
        <v>378.1660251198125</v>
      </c>
      <c r="E40" s="60">
        <f>[2]TrRail_ene!E$12</f>
        <v>385.24981657032123</v>
      </c>
      <c r="F40" s="60">
        <f>[2]TrRail_ene!F$12</f>
        <v>390.64880592324772</v>
      </c>
      <c r="G40" s="60">
        <f>[2]TrRail_ene!G$12</f>
        <v>374.70225754876498</v>
      </c>
      <c r="H40" s="60">
        <f>[2]TrRail_ene!H$12</f>
        <v>374.42952450614354</v>
      </c>
      <c r="I40" s="60">
        <f>[2]TrRail_ene!I$12</f>
        <v>377.42842663054017</v>
      </c>
      <c r="J40" s="60">
        <f>[2]TrRail_ene!J$12</f>
        <v>382.08405171197381</v>
      </c>
      <c r="K40" s="60">
        <f>[2]TrRail_ene!K$12</f>
        <v>380.45795455253108</v>
      </c>
      <c r="L40" s="60">
        <f>[2]TrRail_ene!L$12</f>
        <v>386.16577570279526</v>
      </c>
      <c r="M40" s="60">
        <f>[2]TrRail_ene!M$12</f>
        <v>381.84666294815349</v>
      </c>
      <c r="N40" s="60">
        <f>[2]TrRail_ene!N$12</f>
        <v>379.94087539024457</v>
      </c>
      <c r="O40" s="60">
        <f>[2]TrRail_ene!O$12</f>
        <v>372.96428376314304</v>
      </c>
      <c r="P40" s="60">
        <f>[2]TrRail_ene!P$12</f>
        <v>364.77742716565609</v>
      </c>
      <c r="Q40" s="60">
        <f>[2]TrRail_ene!Q$12</f>
        <v>344.84436868026637</v>
      </c>
      <c r="R40" s="60">
        <f>[2]TrRail_ene!R$12</f>
        <v>347.75370205092463</v>
      </c>
      <c r="S40" s="60">
        <f>[2]TrRail_ene!S$12</f>
        <v>347.20108610157888</v>
      </c>
      <c r="T40" s="60">
        <f>[2]TrRail_ene!T$12</f>
        <v>347.0700085323312</v>
      </c>
      <c r="U40" s="60">
        <f>[2]TrRail_ene!U$12</f>
        <v>344.73801871007441</v>
      </c>
      <c r="V40" s="60">
        <f>[2]TrRail_ene!V$12</f>
        <v>298.67933256064413</v>
      </c>
      <c r="W40" s="60">
        <f>[2]TrRail_ene!W$12</f>
        <v>305.65638544534727</v>
      </c>
      <c r="DA40" s="49" t="s">
        <v>196</v>
      </c>
    </row>
    <row r="41" spans="1:105" ht="11.5" customHeight="1" x14ac:dyDescent="0.35">
      <c r="A41" s="59" t="str">
        <f>$A$11</f>
        <v>Conventional passenger trains</v>
      </c>
      <c r="B41" s="60">
        <f>[2]TrRail_ene!B$13</f>
        <v>4377.187393385233</v>
      </c>
      <c r="C41" s="60">
        <f>[2]TrRail_ene!C$13</f>
        <v>4069.2162929653396</v>
      </c>
      <c r="D41" s="60">
        <f>[2]TrRail_ene!D$13</f>
        <v>4103.9354714460915</v>
      </c>
      <c r="E41" s="60">
        <f>[2]TrRail_ene!E$13</f>
        <v>4034.3981941345269</v>
      </c>
      <c r="F41" s="60">
        <f>[2]TrRail_ene!F$13</f>
        <v>4066.2076440824549</v>
      </c>
      <c r="G41" s="60">
        <f>[2]TrRail_ene!G$13</f>
        <v>4030.2290830179209</v>
      </c>
      <c r="H41" s="60">
        <f>[2]TrRail_ene!H$13</f>
        <v>3721.8386692902973</v>
      </c>
      <c r="I41" s="60">
        <f>[2]TrRail_ene!I$13</f>
        <v>3831.0585494035668</v>
      </c>
      <c r="J41" s="60">
        <f>[2]TrRail_ene!J$13</f>
        <v>3745.6188106764689</v>
      </c>
      <c r="K41" s="60">
        <f>[2]TrRail_ene!K$13</f>
        <v>3559.2225405386112</v>
      </c>
      <c r="L41" s="60">
        <f>[2]TrRail_ene!L$13</f>
        <v>3538.9223926111126</v>
      </c>
      <c r="M41" s="60">
        <f>[2]TrRail_ene!M$13</f>
        <v>3545.2566891225865</v>
      </c>
      <c r="N41" s="60">
        <f>[2]TrRail_ene!N$13</f>
        <v>3608.9135706616007</v>
      </c>
      <c r="O41" s="60">
        <f>[2]TrRail_ene!O$13</f>
        <v>3153.0088339514432</v>
      </c>
      <c r="P41" s="60">
        <f>[2]TrRail_ene!P$13</f>
        <v>3049.2537911537975</v>
      </c>
      <c r="Q41" s="60">
        <f>[2]TrRail_ene!Q$13</f>
        <v>3087.8374450898755</v>
      </c>
      <c r="R41" s="60">
        <f>[2]TrRail_ene!R$13</f>
        <v>3142.9325354542343</v>
      </c>
      <c r="S41" s="60">
        <f>[2]TrRail_ene!S$13</f>
        <v>3096.2500451517567</v>
      </c>
      <c r="T41" s="60">
        <f>[2]TrRail_ene!T$13</f>
        <v>3043.4838193717096</v>
      </c>
      <c r="U41" s="60">
        <f>[2]TrRail_ene!U$13</f>
        <v>2978.8895247333535</v>
      </c>
      <c r="V41" s="60">
        <f>[2]TrRail_ene!V$13</f>
        <v>2588.0215319679928</v>
      </c>
      <c r="W41" s="60">
        <f>[2]TrRail_ene!W$13</f>
        <v>2908.9141488829355</v>
      </c>
      <c r="DA41" s="49" t="s">
        <v>197</v>
      </c>
    </row>
    <row r="42" spans="1:105" ht="11.5" customHeight="1" x14ac:dyDescent="0.35">
      <c r="A42" s="59" t="str">
        <f>$A$12</f>
        <v>High speed passenger trains</v>
      </c>
      <c r="B42" s="60">
        <f>[2]TrRail_ene!B$16</f>
        <v>450.59076546159241</v>
      </c>
      <c r="C42" s="60">
        <f>[2]TrRail_ene!C$16</f>
        <v>511.43616650527105</v>
      </c>
      <c r="D42" s="60">
        <f>[2]TrRail_ene!D$16</f>
        <v>529.03125130670401</v>
      </c>
      <c r="E42" s="60">
        <f>[2]TrRail_ene!E$16</f>
        <v>539.78628156397451</v>
      </c>
      <c r="F42" s="60">
        <f>[2]TrRail_ene!F$16</f>
        <v>578.0819719920255</v>
      </c>
      <c r="G42" s="60">
        <f>[2]TrRail_ene!G$16</f>
        <v>588.38985153488295</v>
      </c>
      <c r="H42" s="60">
        <f>[2]TrRail_ene!H$16</f>
        <v>588.95529445343516</v>
      </c>
      <c r="I42" s="60">
        <f>[2]TrRail_ene!I$16</f>
        <v>597.06847486901859</v>
      </c>
      <c r="J42" s="60">
        <f>[2]TrRail_ene!J$16</f>
        <v>666.23278418266625</v>
      </c>
      <c r="K42" s="60">
        <f>[2]TrRail_ene!K$16</f>
        <v>755.28279336188405</v>
      </c>
      <c r="L42" s="60">
        <f>[2]TrRail_ene!L$16</f>
        <v>752.17837601567794</v>
      </c>
      <c r="M42" s="60">
        <f>[2]TrRail_ene!M$16</f>
        <v>728.44185674076346</v>
      </c>
      <c r="N42" s="60">
        <f>[2]TrRail_ene!N$16</f>
        <v>737.77661142698287</v>
      </c>
      <c r="O42" s="60">
        <f>[2]TrRail_ene!O$16</f>
        <v>733.88994988321099</v>
      </c>
      <c r="P42" s="60">
        <f>[2]TrRail_ene!P$16</f>
        <v>712.04345065343853</v>
      </c>
      <c r="Q42" s="60">
        <f>[2]TrRail_ene!Q$16</f>
        <v>721.72513049673842</v>
      </c>
      <c r="R42" s="60">
        <f>[2]TrRail_ene!R$16</f>
        <v>713.17210541401482</v>
      </c>
      <c r="S42" s="60">
        <f>[2]TrRail_ene!S$16</f>
        <v>732.27619749196208</v>
      </c>
      <c r="T42" s="60">
        <f>[2]TrRail_ene!T$16</f>
        <v>712.66940211238898</v>
      </c>
      <c r="U42" s="60">
        <f>[2]TrRail_ene!U$16</f>
        <v>737.45602024516063</v>
      </c>
      <c r="V42" s="60">
        <f>[2]TrRail_ene!V$16</f>
        <v>577.67636057133052</v>
      </c>
      <c r="W42" s="60">
        <f>[2]TrRail_ene!W$16</f>
        <v>646.60797049325572</v>
      </c>
      <c r="DA42" s="49" t="s">
        <v>198</v>
      </c>
    </row>
    <row r="43" spans="1:105" ht="11.5" customHeight="1" x14ac:dyDescent="0.35">
      <c r="A43" s="61" t="str">
        <f>$A$13</f>
        <v>Aviation</v>
      </c>
      <c r="B43" s="62">
        <f t="shared" ref="B43:W43" si="12">B44+B45+B46</f>
        <v>31602.632678365146</v>
      </c>
      <c r="C43" s="62">
        <f t="shared" si="12"/>
        <v>30972.529273369015</v>
      </c>
      <c r="D43" s="62">
        <f t="shared" si="12"/>
        <v>29968.565699136059</v>
      </c>
      <c r="E43" s="62">
        <f t="shared" si="12"/>
        <v>30381.899203299818</v>
      </c>
      <c r="F43" s="62">
        <f t="shared" si="12"/>
        <v>32300.649134484825</v>
      </c>
      <c r="G43" s="62">
        <f t="shared" si="12"/>
        <v>33613.679417433617</v>
      </c>
      <c r="H43" s="62">
        <f t="shared" si="12"/>
        <v>34999.162826553365</v>
      </c>
      <c r="I43" s="62">
        <f t="shared" si="12"/>
        <v>36534.034696679839</v>
      </c>
      <c r="J43" s="62">
        <f t="shared" si="12"/>
        <v>36854.16766091976</v>
      </c>
      <c r="K43" s="62">
        <f t="shared" si="12"/>
        <v>34015.828258753405</v>
      </c>
      <c r="L43" s="62">
        <f t="shared" si="12"/>
        <v>34054.352831727345</v>
      </c>
      <c r="M43" s="62">
        <f t="shared" si="12"/>
        <v>35440.028931502377</v>
      </c>
      <c r="N43" s="62">
        <f t="shared" si="12"/>
        <v>34806.579888051754</v>
      </c>
      <c r="O43" s="62">
        <f t="shared" si="12"/>
        <v>34593.289269786124</v>
      </c>
      <c r="P43" s="62">
        <f t="shared" si="12"/>
        <v>35138.897781652078</v>
      </c>
      <c r="Q43" s="62">
        <f t="shared" si="12"/>
        <v>36570.385346692667</v>
      </c>
      <c r="R43" s="62">
        <f t="shared" si="12"/>
        <v>38689.698025408637</v>
      </c>
      <c r="S43" s="62">
        <f t="shared" si="12"/>
        <v>41341.12964693176</v>
      </c>
      <c r="T43" s="62">
        <f t="shared" si="12"/>
        <v>43635.478055525018</v>
      </c>
      <c r="U43" s="62">
        <f t="shared" si="12"/>
        <v>44879.148555805092</v>
      </c>
      <c r="V43" s="62">
        <f t="shared" si="12"/>
        <v>16639.705848802267</v>
      </c>
      <c r="W43" s="62">
        <f t="shared" si="12"/>
        <v>20937.909441379223</v>
      </c>
      <c r="DA43" s="63" t="s">
        <v>199</v>
      </c>
    </row>
    <row r="44" spans="1:105" ht="11.5" customHeight="1" x14ac:dyDescent="0.35">
      <c r="A44" s="59" t="str">
        <f>$A$14</f>
        <v>Domestic</v>
      </c>
      <c r="B44" s="60">
        <f>[2]TrAvia_ene!B$7</f>
        <v>5480.6112647712825</v>
      </c>
      <c r="C44" s="60">
        <f>[2]TrAvia_ene!C$7</f>
        <v>5323.5778538382365</v>
      </c>
      <c r="D44" s="60">
        <f>[2]TrAvia_ene!D$7</f>
        <v>5008.5835954514569</v>
      </c>
      <c r="E44" s="60">
        <f>[2]TrAvia_ene!E$7</f>
        <v>5079.1841298094923</v>
      </c>
      <c r="F44" s="60">
        <f>[2]TrAvia_ene!F$7</f>
        <v>5256.7915018685862</v>
      </c>
      <c r="G44" s="60">
        <f>[2]TrAvia_ene!G$7</f>
        <v>5631.1969421902986</v>
      </c>
      <c r="H44" s="60">
        <f>[2]TrAvia_ene!H$7</f>
        <v>5768.5374825181052</v>
      </c>
      <c r="I44" s="60">
        <f>[2]TrAvia_ene!I$7</f>
        <v>6063.2672255694069</v>
      </c>
      <c r="J44" s="60">
        <f>[2]TrAvia_ene!J$7</f>
        <v>5868.7442355897801</v>
      </c>
      <c r="K44" s="60">
        <f>[2]TrAvia_ene!K$7</f>
        <v>5334.3214076825479</v>
      </c>
      <c r="L44" s="60">
        <f>[2]TrAvia_ene!L$7</f>
        <v>5501.6319934655976</v>
      </c>
      <c r="M44" s="60">
        <f>[2]TrAvia_ene!M$7</f>
        <v>5860.9231616247507</v>
      </c>
      <c r="N44" s="60">
        <f>[2]TrAvia_ene!N$7</f>
        <v>5425.7097119113096</v>
      </c>
      <c r="O44" s="60">
        <f>[2]TrAvia_ene!O$7</f>
        <v>5069.9466234149386</v>
      </c>
      <c r="P44" s="60">
        <f>[2]TrAvia_ene!P$7</f>
        <v>5090.3053933896463</v>
      </c>
      <c r="Q44" s="60">
        <f>[2]TrAvia_ene!Q$7</f>
        <v>5294.1040088697373</v>
      </c>
      <c r="R44" s="60">
        <f>[2]TrAvia_ene!R$7</f>
        <v>5625.462486092074</v>
      </c>
      <c r="S44" s="60">
        <f>[2]TrAvia_ene!S$7</f>
        <v>5876.3172045975834</v>
      </c>
      <c r="T44" s="60">
        <f>[2]TrAvia_ene!T$7</f>
        <v>6141.9751931462861</v>
      </c>
      <c r="U44" s="60">
        <f>[2]TrAvia_ene!U$7</f>
        <v>6379.19436405331</v>
      </c>
      <c r="V44" s="60">
        <f>[2]TrAvia_ene!V$7</f>
        <v>2915.0848518675398</v>
      </c>
      <c r="W44" s="60">
        <f>[2]TrAvia_ene!W$7</f>
        <v>4152.5020121266016</v>
      </c>
      <c r="DA44" s="49" t="s">
        <v>200</v>
      </c>
    </row>
    <row r="45" spans="1:105" ht="11.5" customHeight="1" x14ac:dyDescent="0.35">
      <c r="A45" s="59" t="str">
        <f>$A$15</f>
        <v>International - Intra-EEAwUK</v>
      </c>
      <c r="B45" s="60">
        <f>[2]TrAvia_ene!B$8</f>
        <v>10936.747853450281</v>
      </c>
      <c r="C45" s="60">
        <f>[2]TrAvia_ene!C$8</f>
        <v>10960.315970801794</v>
      </c>
      <c r="D45" s="60">
        <f>[2]TrAvia_ene!D$8</f>
        <v>10424.234189278601</v>
      </c>
      <c r="E45" s="60">
        <f>[2]TrAvia_ene!E$8</f>
        <v>11161.415837080169</v>
      </c>
      <c r="F45" s="60">
        <f>[2]TrAvia_ene!F$8</f>
        <v>11738.626346383644</v>
      </c>
      <c r="G45" s="60">
        <f>[2]TrAvia_ene!G$8</f>
        <v>12212.729039314214</v>
      </c>
      <c r="H45" s="60">
        <f>[2]TrAvia_ene!H$8</f>
        <v>13011.081264034627</v>
      </c>
      <c r="I45" s="60">
        <f>[2]TrAvia_ene!I$8</f>
        <v>13800.912886125305</v>
      </c>
      <c r="J45" s="60">
        <f>[2]TrAvia_ene!J$8</f>
        <v>13957.049831363765</v>
      </c>
      <c r="K45" s="60">
        <f>[2]TrAvia_ene!K$8</f>
        <v>12320.264232748901</v>
      </c>
      <c r="L45" s="60">
        <f>[2]TrAvia_ene!L$8</f>
        <v>12232.329292562048</v>
      </c>
      <c r="M45" s="60">
        <f>[2]TrAvia_ene!M$8</f>
        <v>12922.598345526763</v>
      </c>
      <c r="N45" s="60">
        <f>[2]TrAvia_ene!N$8</f>
        <v>12561.109070446266</v>
      </c>
      <c r="O45" s="60">
        <f>[2]TrAvia_ene!O$8</f>
        <v>12649.60427062501</v>
      </c>
      <c r="P45" s="60">
        <f>[2]TrAvia_ene!P$8</f>
        <v>13080.338126802539</v>
      </c>
      <c r="Q45" s="60">
        <f>[2]TrAvia_ene!Q$8</f>
        <v>13745.73099236145</v>
      </c>
      <c r="R45" s="60">
        <f>[2]TrAvia_ene!R$8</f>
        <v>15123.525996034155</v>
      </c>
      <c r="S45" s="60">
        <f>[2]TrAvia_ene!S$8</f>
        <v>16746.845312164198</v>
      </c>
      <c r="T45" s="60">
        <f>[2]TrAvia_ene!T$8</f>
        <v>17679.091386137941</v>
      </c>
      <c r="U45" s="60">
        <f>[2]TrAvia_ene!U$8</f>
        <v>17850.446564115435</v>
      </c>
      <c r="V45" s="60">
        <f>[2]TrAvia_ene!V$8</f>
        <v>5388.795048361334</v>
      </c>
      <c r="W45" s="60">
        <f>[2]TrAvia_ene!W$8</f>
        <v>7236.0424200724938</v>
      </c>
      <c r="DA45" s="49" t="s">
        <v>201</v>
      </c>
    </row>
    <row r="46" spans="1:105" ht="11.5" customHeight="1" x14ac:dyDescent="0.35">
      <c r="A46" s="59" t="str">
        <f>$A$16</f>
        <v>International - Extra-EEAwUK</v>
      </c>
      <c r="B46" s="60">
        <f>[2]TrAvia_ene!B$9</f>
        <v>15185.273560143583</v>
      </c>
      <c r="C46" s="60">
        <f>[2]TrAvia_ene!C$9</f>
        <v>14688.635448728985</v>
      </c>
      <c r="D46" s="60">
        <f>[2]TrAvia_ene!D$9</f>
        <v>14535.747914406</v>
      </c>
      <c r="E46" s="60">
        <f>[2]TrAvia_ene!E$9</f>
        <v>14141.299236410156</v>
      </c>
      <c r="F46" s="60">
        <f>[2]TrAvia_ene!F$9</f>
        <v>15305.231286232596</v>
      </c>
      <c r="G46" s="60">
        <f>[2]TrAvia_ene!G$9</f>
        <v>15769.753435929108</v>
      </c>
      <c r="H46" s="60">
        <f>[2]TrAvia_ene!H$9</f>
        <v>16219.544080000629</v>
      </c>
      <c r="I46" s="60">
        <f>[2]TrAvia_ene!I$9</f>
        <v>16669.854584985129</v>
      </c>
      <c r="J46" s="60">
        <f>[2]TrAvia_ene!J$9</f>
        <v>17028.373593966211</v>
      </c>
      <c r="K46" s="60">
        <f>[2]TrAvia_ene!K$9</f>
        <v>16361.242618321956</v>
      </c>
      <c r="L46" s="60">
        <f>[2]TrAvia_ene!L$9</f>
        <v>16320.391545699695</v>
      </c>
      <c r="M46" s="60">
        <f>[2]TrAvia_ene!M$9</f>
        <v>16656.507424350864</v>
      </c>
      <c r="N46" s="60">
        <f>[2]TrAvia_ene!N$9</f>
        <v>16819.761105694175</v>
      </c>
      <c r="O46" s="60">
        <f>[2]TrAvia_ene!O$9</f>
        <v>16873.738375746176</v>
      </c>
      <c r="P46" s="60">
        <f>[2]TrAvia_ene!P$9</f>
        <v>16968.25426145989</v>
      </c>
      <c r="Q46" s="60">
        <f>[2]TrAvia_ene!Q$9</f>
        <v>17530.550345461477</v>
      </c>
      <c r="R46" s="60">
        <f>[2]TrAvia_ene!R$9</f>
        <v>17940.709543282406</v>
      </c>
      <c r="S46" s="60">
        <f>[2]TrAvia_ene!S$9</f>
        <v>18717.967130169978</v>
      </c>
      <c r="T46" s="60">
        <f>[2]TrAvia_ene!T$9</f>
        <v>19814.411476240792</v>
      </c>
      <c r="U46" s="60">
        <f>[2]TrAvia_ene!U$9</f>
        <v>20649.507627636343</v>
      </c>
      <c r="V46" s="60">
        <f>[2]TrAvia_ene!V$9</f>
        <v>8335.8259485733943</v>
      </c>
      <c r="W46" s="60">
        <f>[2]TrAvia_ene!W$9</f>
        <v>9549.3650091801283</v>
      </c>
      <c r="DA46" s="49" t="s">
        <v>202</v>
      </c>
    </row>
    <row r="47" spans="1:105" ht="11.5" customHeight="1" x14ac:dyDescent="0.35">
      <c r="A47" s="53" t="s">
        <v>79</v>
      </c>
      <c r="B47" s="54">
        <f t="shared" ref="B47:W47" si="13">B48+B51+B52+B56</f>
        <v>86295.32923968423</v>
      </c>
      <c r="C47" s="54">
        <f t="shared" si="13"/>
        <v>88501.398270198319</v>
      </c>
      <c r="D47" s="54">
        <f t="shared" si="13"/>
        <v>89039.388499827415</v>
      </c>
      <c r="E47" s="54">
        <f t="shared" si="13"/>
        <v>91068.56361078404</v>
      </c>
      <c r="F47" s="54">
        <f t="shared" si="13"/>
        <v>95196.571626121542</v>
      </c>
      <c r="G47" s="54">
        <f t="shared" si="13"/>
        <v>96985.898047945826</v>
      </c>
      <c r="H47" s="54">
        <f t="shared" si="13"/>
        <v>100526.59354665587</v>
      </c>
      <c r="I47" s="54">
        <f t="shared" si="13"/>
        <v>102850.63514140664</v>
      </c>
      <c r="J47" s="54">
        <f t="shared" si="13"/>
        <v>100002.45993525787</v>
      </c>
      <c r="K47" s="54">
        <f t="shared" si="13"/>
        <v>93105.77304845734</v>
      </c>
      <c r="L47" s="54">
        <f t="shared" si="13"/>
        <v>95017.570033980053</v>
      </c>
      <c r="M47" s="54">
        <f t="shared" si="13"/>
        <v>93610.036891272728</v>
      </c>
      <c r="N47" s="54">
        <f t="shared" si="13"/>
        <v>89369.638362576137</v>
      </c>
      <c r="O47" s="54">
        <f t="shared" si="13"/>
        <v>86753.257228689428</v>
      </c>
      <c r="P47" s="54">
        <f t="shared" si="13"/>
        <v>85951.317442205822</v>
      </c>
      <c r="Q47" s="54">
        <f t="shared" si="13"/>
        <v>86974.503232280025</v>
      </c>
      <c r="R47" s="54">
        <f t="shared" si="13"/>
        <v>90024.956502780944</v>
      </c>
      <c r="S47" s="54">
        <f t="shared" si="13"/>
        <v>93923.514053839681</v>
      </c>
      <c r="T47" s="54">
        <f t="shared" si="13"/>
        <v>95687.403887450957</v>
      </c>
      <c r="U47" s="54">
        <f t="shared" si="13"/>
        <v>96316.400043249596</v>
      </c>
      <c r="V47" s="54">
        <f t="shared" si="13"/>
        <v>90717.826731705674</v>
      </c>
      <c r="W47" s="54">
        <f t="shared" si="13"/>
        <v>100046.66194671975</v>
      </c>
      <c r="DA47" s="55"/>
    </row>
    <row r="48" spans="1:105" ht="11.5" customHeight="1" x14ac:dyDescent="0.35">
      <c r="A48" s="56" t="str">
        <f>$A$18</f>
        <v>Road transport</v>
      </c>
      <c r="B48" s="57">
        <f t="shared" ref="B48:W48" si="14">B49+B50</f>
        <v>76189.706292349627</v>
      </c>
      <c r="C48" s="57">
        <f t="shared" si="14"/>
        <v>78460.40584971261</v>
      </c>
      <c r="D48" s="57">
        <f t="shared" si="14"/>
        <v>78867.137723370921</v>
      </c>
      <c r="E48" s="57">
        <f t="shared" si="14"/>
        <v>80647.151648055165</v>
      </c>
      <c r="F48" s="57">
        <f t="shared" si="14"/>
        <v>84414.12823677437</v>
      </c>
      <c r="G48" s="57">
        <f t="shared" si="14"/>
        <v>86185.95324561515</v>
      </c>
      <c r="H48" s="57">
        <f t="shared" si="14"/>
        <v>89228.92363016076</v>
      </c>
      <c r="I48" s="57">
        <f t="shared" si="14"/>
        <v>91445.68258133698</v>
      </c>
      <c r="J48" s="57">
        <f t="shared" si="14"/>
        <v>88723.453753496811</v>
      </c>
      <c r="K48" s="57">
        <f t="shared" si="14"/>
        <v>82903.555483883887</v>
      </c>
      <c r="L48" s="57">
        <f t="shared" si="14"/>
        <v>84577.694291378342</v>
      </c>
      <c r="M48" s="57">
        <f t="shared" si="14"/>
        <v>83813.36206855996</v>
      </c>
      <c r="N48" s="57">
        <f t="shared" si="14"/>
        <v>80043.709002001822</v>
      </c>
      <c r="O48" s="57">
        <f t="shared" si="14"/>
        <v>77959.298216976196</v>
      </c>
      <c r="P48" s="57">
        <f t="shared" si="14"/>
        <v>77614.674916906457</v>
      </c>
      <c r="Q48" s="57">
        <f t="shared" si="14"/>
        <v>78279.364657375452</v>
      </c>
      <c r="R48" s="57">
        <f t="shared" si="14"/>
        <v>81318.77333714487</v>
      </c>
      <c r="S48" s="57">
        <f t="shared" si="14"/>
        <v>84627.034171391191</v>
      </c>
      <c r="T48" s="57">
        <f t="shared" si="14"/>
        <v>86470.615980387069</v>
      </c>
      <c r="U48" s="57">
        <f t="shared" si="14"/>
        <v>87328.524510980598</v>
      </c>
      <c r="V48" s="57">
        <f t="shared" si="14"/>
        <v>81316.712992194327</v>
      </c>
      <c r="W48" s="57">
        <f t="shared" si="14"/>
        <v>89835.679306506063</v>
      </c>
      <c r="DA48" s="58" t="s">
        <v>203</v>
      </c>
    </row>
    <row r="49" spans="1:105" ht="11.5" customHeight="1" x14ac:dyDescent="0.35">
      <c r="A49" s="59" t="str">
        <f>$A$19</f>
        <v>Light commercial vehicles</v>
      </c>
      <c r="B49" s="60">
        <f>[2]TrRoad_ene!B$43</f>
        <v>31812.205057209605</v>
      </c>
      <c r="C49" s="60">
        <f>[2]TrRoad_ene!C$43</f>
        <v>31766.738819263694</v>
      </c>
      <c r="D49" s="60">
        <f>[2]TrRoad_ene!D$43</f>
        <v>31587.17643246887</v>
      </c>
      <c r="E49" s="60">
        <f>[2]TrRoad_ene!E$43</f>
        <v>32035.041011913683</v>
      </c>
      <c r="F49" s="60">
        <f>[2]TrRoad_ene!F$43</f>
        <v>32341.027680656527</v>
      </c>
      <c r="G49" s="60">
        <f>[2]TrRoad_ene!G$43</f>
        <v>32551.874871227559</v>
      </c>
      <c r="H49" s="60">
        <f>[2]TrRoad_ene!H$43</f>
        <v>31866.559651522999</v>
      </c>
      <c r="I49" s="60">
        <f>[2]TrRoad_ene!I$43</f>
        <v>32807.128033931949</v>
      </c>
      <c r="J49" s="60">
        <f>[2]TrRoad_ene!J$43</f>
        <v>32290.385163912626</v>
      </c>
      <c r="K49" s="60">
        <f>[2]TrRoad_ene!K$43</f>
        <v>31566.992668406663</v>
      </c>
      <c r="L49" s="60">
        <f>[2]TrRoad_ene!L$43</f>
        <v>32161.59472338104</v>
      </c>
      <c r="M49" s="60">
        <f>[2]TrRoad_ene!M$43</f>
        <v>32439.042554579053</v>
      </c>
      <c r="N49" s="60">
        <f>[2]TrRoad_ene!N$43</f>
        <v>30775.708433331594</v>
      </c>
      <c r="O49" s="60">
        <f>[2]TrRoad_ene!O$43</f>
        <v>30007.388235604791</v>
      </c>
      <c r="P49" s="60">
        <f>[2]TrRoad_ene!P$43</f>
        <v>30477.587455624038</v>
      </c>
      <c r="Q49" s="60">
        <f>[2]TrRoad_ene!Q$43</f>
        <v>30271.176685667418</v>
      </c>
      <c r="R49" s="60">
        <f>[2]TrRoad_ene!R$43</f>
        <v>30038.905852421267</v>
      </c>
      <c r="S49" s="60">
        <f>[2]TrRoad_ene!S$43</f>
        <v>30620.535658885728</v>
      </c>
      <c r="T49" s="60">
        <f>[2]TrRoad_ene!T$43</f>
        <v>30870.983134985094</v>
      </c>
      <c r="U49" s="60">
        <f>[2]TrRoad_ene!U$43</f>
        <v>31217.739868472294</v>
      </c>
      <c r="V49" s="60">
        <f>[2]TrRoad_ene!V$43</f>
        <v>28979.82081169778</v>
      </c>
      <c r="W49" s="60">
        <f>[2]TrRoad_ene!W$43</f>
        <v>32318.074680845122</v>
      </c>
      <c r="DA49" s="49" t="s">
        <v>204</v>
      </c>
    </row>
    <row r="50" spans="1:105" ht="11.5" customHeight="1" x14ac:dyDescent="0.35">
      <c r="A50" s="59" t="str">
        <f>$A$20</f>
        <v>Heavy goods vehicles</v>
      </c>
      <c r="B50" s="60">
        <f>[2]TrRoad_ene!B$52</f>
        <v>44377.501235140022</v>
      </c>
      <c r="C50" s="60">
        <f>[2]TrRoad_ene!C$52</f>
        <v>46693.667030448923</v>
      </c>
      <c r="D50" s="60">
        <f>[2]TrRoad_ene!D$52</f>
        <v>47279.961290902051</v>
      </c>
      <c r="E50" s="60">
        <f>[2]TrRoad_ene!E$52</f>
        <v>48612.110636141486</v>
      </c>
      <c r="F50" s="60">
        <f>[2]TrRoad_ene!F$52</f>
        <v>52073.100556117846</v>
      </c>
      <c r="G50" s="60">
        <f>[2]TrRoad_ene!G$52</f>
        <v>53634.078374387587</v>
      </c>
      <c r="H50" s="60">
        <f>[2]TrRoad_ene!H$52</f>
        <v>57362.363978637761</v>
      </c>
      <c r="I50" s="60">
        <f>[2]TrRoad_ene!I$52</f>
        <v>58638.55454740503</v>
      </c>
      <c r="J50" s="60">
        <f>[2]TrRoad_ene!J$52</f>
        <v>56433.068589584189</v>
      </c>
      <c r="K50" s="60">
        <f>[2]TrRoad_ene!K$52</f>
        <v>51336.562815477228</v>
      </c>
      <c r="L50" s="60">
        <f>[2]TrRoad_ene!L$52</f>
        <v>52416.099567997298</v>
      </c>
      <c r="M50" s="60">
        <f>[2]TrRoad_ene!M$52</f>
        <v>51374.31951398091</v>
      </c>
      <c r="N50" s="60">
        <f>[2]TrRoad_ene!N$52</f>
        <v>49268.000568670235</v>
      </c>
      <c r="O50" s="60">
        <f>[2]TrRoad_ene!O$52</f>
        <v>47951.909981371398</v>
      </c>
      <c r="P50" s="60">
        <f>[2]TrRoad_ene!P$52</f>
        <v>47137.087461282412</v>
      </c>
      <c r="Q50" s="60">
        <f>[2]TrRoad_ene!Q$52</f>
        <v>48008.18797170803</v>
      </c>
      <c r="R50" s="60">
        <f>[2]TrRoad_ene!R$52</f>
        <v>51279.867484723596</v>
      </c>
      <c r="S50" s="60">
        <f>[2]TrRoad_ene!S$52</f>
        <v>54006.498512505466</v>
      </c>
      <c r="T50" s="60">
        <f>[2]TrRoad_ene!T$52</f>
        <v>55599.632845401975</v>
      </c>
      <c r="U50" s="60">
        <f>[2]TrRoad_ene!U$52</f>
        <v>56110.784642508304</v>
      </c>
      <c r="V50" s="60">
        <f>[2]TrRoad_ene!V$52</f>
        <v>52336.892180496543</v>
      </c>
      <c r="W50" s="60">
        <f>[2]TrRoad_ene!W$52</f>
        <v>57517.604625660941</v>
      </c>
      <c r="DA50" s="49" t="s">
        <v>205</v>
      </c>
    </row>
    <row r="51" spans="1:105" ht="11.5" customHeight="1" x14ac:dyDescent="0.35">
      <c r="A51" s="61" t="str">
        <f>$A$21</f>
        <v>Rail transport</v>
      </c>
      <c r="B51" s="62">
        <f>[2]TrRail_ene!B$17</f>
        <v>2181.6855362758456</v>
      </c>
      <c r="C51" s="62">
        <f>[2]TrRail_ene!C$17</f>
        <v>2126.7818383087329</v>
      </c>
      <c r="D51" s="62">
        <f>[2]TrRail_ene!D$17</f>
        <v>2132.340081018192</v>
      </c>
      <c r="E51" s="62">
        <f>[2]TrRail_ene!E$17</f>
        <v>1957.3530680063263</v>
      </c>
      <c r="F51" s="62">
        <f>[2]TrRail_ene!F$17</f>
        <v>1968.0775711235096</v>
      </c>
      <c r="G51" s="62">
        <f>[2]TrRail_ene!G$17</f>
        <v>1817.2037434100398</v>
      </c>
      <c r="H51" s="62">
        <f>[2]TrRail_ene!H$17</f>
        <v>1850.4857120940617</v>
      </c>
      <c r="I51" s="62">
        <f>[2]TrRail_ene!I$17</f>
        <v>1932.3157442817408</v>
      </c>
      <c r="J51" s="62">
        <f>[2]TrRail_ene!J$17</f>
        <v>1768.5168039877904</v>
      </c>
      <c r="K51" s="62">
        <f>[2]TrRail_ene!K$17</f>
        <v>1503.4539944360531</v>
      </c>
      <c r="L51" s="62">
        <f>[2]TrRail_ene!L$17</f>
        <v>1621.0730945354185</v>
      </c>
      <c r="M51" s="62">
        <f>[2]TrRail_ene!M$17</f>
        <v>1584.4730199073274</v>
      </c>
      <c r="N51" s="62">
        <f>[2]TrRail_ene!N$17</f>
        <v>1515.7306794085321</v>
      </c>
      <c r="O51" s="62">
        <f>[2]TrRail_ene!O$17</f>
        <v>1394.5917045432177</v>
      </c>
      <c r="P51" s="62">
        <f>[2]TrRail_ene!P$17</f>
        <v>1334.7768357562557</v>
      </c>
      <c r="Q51" s="62">
        <f>[2]TrRail_ene!Q$17</f>
        <v>1291.132006721941</v>
      </c>
      <c r="R51" s="62">
        <f>[2]TrRail_ene!R$17</f>
        <v>1287.8919580266554</v>
      </c>
      <c r="S51" s="62">
        <f>[2]TrRail_ene!S$17</f>
        <v>1335.3693178583139</v>
      </c>
      <c r="T51" s="62">
        <f>[2]TrRail_ene!T$17</f>
        <v>1362.1672257015412</v>
      </c>
      <c r="U51" s="62">
        <f>[2]TrRail_ene!U$17</f>
        <v>1300.7140287447733</v>
      </c>
      <c r="V51" s="62">
        <f>[2]TrRail_ene!V$17</f>
        <v>1320.9797826386398</v>
      </c>
      <c r="W51" s="62">
        <f>[2]TrRail_ene!W$17</f>
        <v>1386.1161641380486</v>
      </c>
      <c r="DA51" s="63" t="s">
        <v>206</v>
      </c>
    </row>
    <row r="52" spans="1:105" ht="11.5" customHeight="1" x14ac:dyDescent="0.35">
      <c r="A52" s="61" t="str">
        <f>$A$22</f>
        <v>Aviation</v>
      </c>
      <c r="B52" s="62">
        <f t="shared" ref="B52:W52" si="15">B53+B54+B55</f>
        <v>2658.5926010845465</v>
      </c>
      <c r="C52" s="62">
        <f t="shared" si="15"/>
        <v>2486.8309157969347</v>
      </c>
      <c r="D52" s="62">
        <f t="shared" si="15"/>
        <v>2663.423810752156</v>
      </c>
      <c r="E52" s="62">
        <f t="shared" si="15"/>
        <v>2815.0126625643288</v>
      </c>
      <c r="F52" s="62">
        <f t="shared" si="15"/>
        <v>3066.6468242425958</v>
      </c>
      <c r="G52" s="62">
        <f t="shared" si="15"/>
        <v>3338.4191208294897</v>
      </c>
      <c r="H52" s="62">
        <f t="shared" si="15"/>
        <v>3677.7745767140464</v>
      </c>
      <c r="I52" s="62">
        <f t="shared" si="15"/>
        <v>3846.6850797603984</v>
      </c>
      <c r="J52" s="62">
        <f t="shared" si="15"/>
        <v>3963.6296735600226</v>
      </c>
      <c r="K52" s="62">
        <f t="shared" si="15"/>
        <v>3303.4950430522695</v>
      </c>
      <c r="L52" s="62">
        <f t="shared" si="15"/>
        <v>3689.2966093732593</v>
      </c>
      <c r="M52" s="62">
        <f t="shared" si="15"/>
        <v>3605.6603204322701</v>
      </c>
      <c r="N52" s="62">
        <f t="shared" si="15"/>
        <v>3339.713749093562</v>
      </c>
      <c r="O52" s="62">
        <f t="shared" si="15"/>
        <v>3333.6041094056118</v>
      </c>
      <c r="P52" s="62">
        <f t="shared" si="15"/>
        <v>3228.3664487864407</v>
      </c>
      <c r="Q52" s="62">
        <f t="shared" si="15"/>
        <v>3394.70932226691</v>
      </c>
      <c r="R52" s="62">
        <f t="shared" si="15"/>
        <v>3256.956574763336</v>
      </c>
      <c r="S52" s="62">
        <f t="shared" si="15"/>
        <v>3593.6836806692681</v>
      </c>
      <c r="T52" s="62">
        <f t="shared" si="15"/>
        <v>3621.7025979573527</v>
      </c>
      <c r="U52" s="62">
        <f t="shared" si="15"/>
        <v>3393.8664914863975</v>
      </c>
      <c r="V52" s="62">
        <f t="shared" si="15"/>
        <v>4411.2527926422736</v>
      </c>
      <c r="W52" s="62">
        <f t="shared" si="15"/>
        <v>4846.8141183800162</v>
      </c>
      <c r="DA52" s="63" t="s">
        <v>207</v>
      </c>
    </row>
    <row r="53" spans="1:105" ht="11.5" customHeight="1" x14ac:dyDescent="0.35">
      <c r="A53" s="59" t="s">
        <v>69</v>
      </c>
      <c r="B53" s="60">
        <f>[2]TrAvia_ene!B$11</f>
        <v>205.76784098968031</v>
      </c>
      <c r="C53" s="60">
        <f>[2]TrAvia_ene!C$11</f>
        <v>221.47786413252865</v>
      </c>
      <c r="D53" s="60">
        <f>[2]TrAvia_ene!D$11</f>
        <v>192.1214776353865</v>
      </c>
      <c r="E53" s="60">
        <f>[2]TrAvia_ene!E$11</f>
        <v>161.45017801509854</v>
      </c>
      <c r="F53" s="60">
        <f>[2]TrAvia_ene!F$11</f>
        <v>172.68820578403637</v>
      </c>
      <c r="G53" s="60">
        <f>[2]TrAvia_ene!G$11</f>
        <v>172.70030630496964</v>
      </c>
      <c r="H53" s="60">
        <f>[2]TrAvia_ene!H$11</f>
        <v>171.25305918438963</v>
      </c>
      <c r="I53" s="60">
        <f>[2]TrAvia_ene!I$11</f>
        <v>161.31592146412564</v>
      </c>
      <c r="J53" s="60">
        <f>[2]TrAvia_ene!J$11</f>
        <v>158.17863629328087</v>
      </c>
      <c r="K53" s="60">
        <f>[2]TrAvia_ene!K$11</f>
        <v>131.36354502596475</v>
      </c>
      <c r="L53" s="60">
        <f>[2]TrAvia_ene!L$11</f>
        <v>121.98090421281933</v>
      </c>
      <c r="M53" s="60">
        <f>[2]TrAvia_ene!M$11</f>
        <v>114.49326141909896</v>
      </c>
      <c r="N53" s="60">
        <f>[2]TrAvia_ene!N$11</f>
        <v>107.15830184621295</v>
      </c>
      <c r="O53" s="60">
        <f>[2]TrAvia_ene!O$11</f>
        <v>100.55174287912891</v>
      </c>
      <c r="P53" s="60">
        <f>[2]TrAvia_ene!P$11</f>
        <v>105.17801159745676</v>
      </c>
      <c r="Q53" s="60">
        <f>[2]TrAvia_ene!Q$11</f>
        <v>103.00992062295228</v>
      </c>
      <c r="R53" s="60">
        <f>[2]TrAvia_ene!R$11</f>
        <v>93.407161371381875</v>
      </c>
      <c r="S53" s="60">
        <f>[2]TrAvia_ene!S$11</f>
        <v>101.21142824850466</v>
      </c>
      <c r="T53" s="60">
        <f>[2]TrAvia_ene!T$11</f>
        <v>100.26289799730765</v>
      </c>
      <c r="U53" s="60">
        <f>[2]TrAvia_ene!U$11</f>
        <v>101.88835305760968</v>
      </c>
      <c r="V53" s="60">
        <f>[2]TrAvia_ene!V$11</f>
        <v>96.22684202755886</v>
      </c>
      <c r="W53" s="60">
        <f>[2]TrAvia_ene!W$11</f>
        <v>103.62146164811843</v>
      </c>
      <c r="DA53" s="49" t="s">
        <v>208</v>
      </c>
    </row>
    <row r="54" spans="1:105" ht="11.5" customHeight="1" x14ac:dyDescent="0.35">
      <c r="A54" s="59" t="str">
        <f>$A$24</f>
        <v>International - Intra-EEAwUK</v>
      </c>
      <c r="B54" s="60">
        <f>[2]TrAvia_ene!B$12</f>
        <v>287.54705812223074</v>
      </c>
      <c r="C54" s="60">
        <f>[2]TrAvia_ene!C$12</f>
        <v>257.2144040819453</v>
      </c>
      <c r="D54" s="60">
        <f>[2]TrAvia_ene!D$12</f>
        <v>274.56749577687975</v>
      </c>
      <c r="E54" s="60">
        <f>[2]TrAvia_ene!E$12</f>
        <v>272.93932121458755</v>
      </c>
      <c r="F54" s="60">
        <f>[2]TrAvia_ene!F$12</f>
        <v>306.20405967021554</v>
      </c>
      <c r="G54" s="60">
        <f>[2]TrAvia_ene!G$12</f>
        <v>327.71215960347109</v>
      </c>
      <c r="H54" s="60">
        <f>[2]TrAvia_ene!H$12</f>
        <v>414.10973422508692</v>
      </c>
      <c r="I54" s="60">
        <f>[2]TrAvia_ene!I$12</f>
        <v>444.18586720366091</v>
      </c>
      <c r="J54" s="60">
        <f>[2]TrAvia_ene!J$12</f>
        <v>450.73718178968414</v>
      </c>
      <c r="K54" s="60">
        <f>[2]TrAvia_ene!K$12</f>
        <v>398.00757394654431</v>
      </c>
      <c r="L54" s="60">
        <f>[2]TrAvia_ene!L$12</f>
        <v>403.93821239151777</v>
      </c>
      <c r="M54" s="60">
        <f>[2]TrAvia_ene!M$12</f>
        <v>378.64036324216943</v>
      </c>
      <c r="N54" s="60">
        <f>[2]TrAvia_ene!N$12</f>
        <v>359.95522042717357</v>
      </c>
      <c r="O54" s="60">
        <f>[2]TrAvia_ene!O$12</f>
        <v>364.74717733311093</v>
      </c>
      <c r="P54" s="60">
        <f>[2]TrAvia_ene!P$12</f>
        <v>358.54034964985482</v>
      </c>
      <c r="Q54" s="60">
        <f>[2]TrAvia_ene!Q$12</f>
        <v>373.42222285775102</v>
      </c>
      <c r="R54" s="60">
        <f>[2]TrAvia_ene!R$12</f>
        <v>349.10279451208964</v>
      </c>
      <c r="S54" s="60">
        <f>[2]TrAvia_ene!S$12</f>
        <v>412.21636709204586</v>
      </c>
      <c r="T54" s="60">
        <f>[2]TrAvia_ene!T$12</f>
        <v>423.57614129015911</v>
      </c>
      <c r="U54" s="60">
        <f>[2]TrAvia_ene!U$12</f>
        <v>425.69068473532894</v>
      </c>
      <c r="V54" s="60">
        <f>[2]TrAvia_ene!V$12</f>
        <v>434.93559291337158</v>
      </c>
      <c r="W54" s="60">
        <f>[2]TrAvia_ene!W$12</f>
        <v>581.77801285750218</v>
      </c>
      <c r="DA54" s="49" t="s">
        <v>209</v>
      </c>
    </row>
    <row r="55" spans="1:105" ht="11.5" customHeight="1" x14ac:dyDescent="0.35">
      <c r="A55" s="59" t="str">
        <f>$A$25</f>
        <v>International - Extra-EEAwUK</v>
      </c>
      <c r="B55" s="60">
        <f>[2]TrAvia_ene!B$13</f>
        <v>2165.2777019726354</v>
      </c>
      <c r="C55" s="60">
        <f>[2]TrAvia_ene!C$13</f>
        <v>2008.1386475824606</v>
      </c>
      <c r="D55" s="60">
        <f>[2]TrAvia_ene!D$13</f>
        <v>2196.7348373398895</v>
      </c>
      <c r="E55" s="60">
        <f>[2]TrAvia_ene!E$13</f>
        <v>2380.6231633346429</v>
      </c>
      <c r="F55" s="60">
        <f>[2]TrAvia_ene!F$13</f>
        <v>2587.7545587883437</v>
      </c>
      <c r="G55" s="60">
        <f>[2]TrAvia_ene!G$13</f>
        <v>2838.0066549210487</v>
      </c>
      <c r="H55" s="60">
        <f>[2]TrAvia_ene!H$13</f>
        <v>3092.4117833045698</v>
      </c>
      <c r="I55" s="60">
        <f>[2]TrAvia_ene!I$13</f>
        <v>3241.1832910926119</v>
      </c>
      <c r="J55" s="60">
        <f>[2]TrAvia_ene!J$13</f>
        <v>3354.7138554770577</v>
      </c>
      <c r="K55" s="60">
        <f>[2]TrAvia_ene!K$13</f>
        <v>2774.1239240797604</v>
      </c>
      <c r="L55" s="60">
        <f>[2]TrAvia_ene!L$13</f>
        <v>3163.3774927689224</v>
      </c>
      <c r="M55" s="60">
        <f>[2]TrAvia_ene!M$13</f>
        <v>3112.5266957710014</v>
      </c>
      <c r="N55" s="60">
        <f>[2]TrAvia_ene!N$13</f>
        <v>2872.6002268201755</v>
      </c>
      <c r="O55" s="60">
        <f>[2]TrAvia_ene!O$13</f>
        <v>2868.3051891933719</v>
      </c>
      <c r="P55" s="60">
        <f>[2]TrAvia_ene!P$13</f>
        <v>2764.6480875391294</v>
      </c>
      <c r="Q55" s="60">
        <f>[2]TrAvia_ene!Q$13</f>
        <v>2918.2771787862066</v>
      </c>
      <c r="R55" s="60">
        <f>[2]TrAvia_ene!R$13</f>
        <v>2814.4466188798642</v>
      </c>
      <c r="S55" s="60">
        <f>[2]TrAvia_ene!S$13</f>
        <v>3080.2558853287178</v>
      </c>
      <c r="T55" s="60">
        <f>[2]TrAvia_ene!T$13</f>
        <v>3097.8635586698861</v>
      </c>
      <c r="U55" s="60">
        <f>[2]TrAvia_ene!U$13</f>
        <v>2866.2874536934592</v>
      </c>
      <c r="V55" s="60">
        <f>[2]TrAvia_ene!V$13</f>
        <v>3880.0903577013432</v>
      </c>
      <c r="W55" s="60">
        <f>[2]TrAvia_ene!W$13</f>
        <v>4161.4146438743956</v>
      </c>
      <c r="DA55" s="49" t="s">
        <v>210</v>
      </c>
    </row>
    <row r="56" spans="1:105" ht="11.5" customHeight="1" x14ac:dyDescent="0.35">
      <c r="A56" s="61" t="s">
        <v>74</v>
      </c>
      <c r="B56" s="62">
        <f t="shared" ref="B56:W56" si="16">B57+B58</f>
        <v>5265.3448099742045</v>
      </c>
      <c r="C56" s="62">
        <f t="shared" si="16"/>
        <v>5427.3796663800504</v>
      </c>
      <c r="D56" s="62">
        <f t="shared" si="16"/>
        <v>5376.4868846861555</v>
      </c>
      <c r="E56" s="62">
        <f t="shared" si="16"/>
        <v>5649.0462321582099</v>
      </c>
      <c r="F56" s="62">
        <f t="shared" si="16"/>
        <v>5747.7189939810842</v>
      </c>
      <c r="G56" s="62">
        <f t="shared" si="16"/>
        <v>5644.3219380911432</v>
      </c>
      <c r="H56" s="62">
        <f t="shared" si="16"/>
        <v>5769.4096276870159</v>
      </c>
      <c r="I56" s="62">
        <f t="shared" si="16"/>
        <v>5625.9517360275149</v>
      </c>
      <c r="J56" s="62">
        <f t="shared" si="16"/>
        <v>5546.8597042132405</v>
      </c>
      <c r="K56" s="62">
        <f t="shared" si="16"/>
        <v>5395.2685270851252</v>
      </c>
      <c r="L56" s="62">
        <f t="shared" si="16"/>
        <v>5129.5060386930354</v>
      </c>
      <c r="M56" s="62">
        <f t="shared" si="16"/>
        <v>4606.5414823731726</v>
      </c>
      <c r="N56" s="62">
        <f t="shared" si="16"/>
        <v>4470.4849320722269</v>
      </c>
      <c r="O56" s="62">
        <f t="shared" si="16"/>
        <v>4065.7631977644023</v>
      </c>
      <c r="P56" s="62">
        <f t="shared" si="16"/>
        <v>3773.4992407566642</v>
      </c>
      <c r="Q56" s="62">
        <f t="shared" si="16"/>
        <v>4009.2972459157354</v>
      </c>
      <c r="R56" s="62">
        <f t="shared" si="16"/>
        <v>4161.3346328460866</v>
      </c>
      <c r="S56" s="62">
        <f t="shared" si="16"/>
        <v>4367.4268839208935</v>
      </c>
      <c r="T56" s="62">
        <f t="shared" si="16"/>
        <v>4232.9180834049866</v>
      </c>
      <c r="U56" s="62">
        <f t="shared" si="16"/>
        <v>4293.2950120378327</v>
      </c>
      <c r="V56" s="62">
        <f t="shared" si="16"/>
        <v>3668.8811642304381</v>
      </c>
      <c r="W56" s="62">
        <f t="shared" si="16"/>
        <v>3978.0523576956148</v>
      </c>
      <c r="DA56" s="63" t="s">
        <v>211</v>
      </c>
    </row>
    <row r="57" spans="1:105" ht="11.5" customHeight="1" x14ac:dyDescent="0.35">
      <c r="A57" s="59" t="str">
        <f>$A$27</f>
        <v>Domestic coastal shipping</v>
      </c>
      <c r="B57" s="60">
        <f>[2]TrNavi_ene!B4</f>
        <v>4168.4487887096711</v>
      </c>
      <c r="C57" s="60">
        <f>[2]TrNavi_ene!C4</f>
        <v>4330.5174690010663</v>
      </c>
      <c r="D57" s="60">
        <f>[2]TrNavi_ene!D4</f>
        <v>4336.8269894484692</v>
      </c>
      <c r="E57" s="60">
        <f>[2]TrNavi_ene!E4</f>
        <v>4591.3173814220481</v>
      </c>
      <c r="F57" s="60">
        <f>[2]TrNavi_ene!F4</f>
        <v>4664.825581959165</v>
      </c>
      <c r="G57" s="60">
        <f>[2]TrNavi_ene!G4</f>
        <v>4560.8716004743055</v>
      </c>
      <c r="H57" s="60">
        <f>[2]TrNavi_ene!H4</f>
        <v>4840.1188272991321</v>
      </c>
      <c r="I57" s="60">
        <f>[2]TrNavi_ene!I4</f>
        <v>4552.125678496569</v>
      </c>
      <c r="J57" s="60">
        <f>[2]TrNavi_ene!J4</f>
        <v>4485.4879053790319</v>
      </c>
      <c r="K57" s="60">
        <f>[2]TrNavi_ene!K4</f>
        <v>4337.2265272388267</v>
      </c>
      <c r="L57" s="60">
        <f>[2]TrNavi_ene!L4</f>
        <v>4025.8101965393125</v>
      </c>
      <c r="M57" s="60">
        <f>[2]TrNavi_ene!M4</f>
        <v>3503.3222278893668</v>
      </c>
      <c r="N57" s="60">
        <f>[2]TrNavi_ene!N4</f>
        <v>3393.9620425810303</v>
      </c>
      <c r="O57" s="60">
        <f>[2]TrNavi_ene!O4</f>
        <v>2893.4427922941404</v>
      </c>
      <c r="P57" s="60">
        <f>[2]TrNavi_ene!P4</f>
        <v>2703.094129002784</v>
      </c>
      <c r="Q57" s="60">
        <f>[2]TrNavi_ene!Q4</f>
        <v>2894.824639511171</v>
      </c>
      <c r="R57" s="60">
        <f>[2]TrNavi_ene!R4</f>
        <v>3105.5765870557725</v>
      </c>
      <c r="S57" s="60">
        <f>[2]TrNavi_ene!S4</f>
        <v>3363.776059342566</v>
      </c>
      <c r="T57" s="60">
        <f>[2]TrNavi_ene!T4</f>
        <v>3233.7281006838825</v>
      </c>
      <c r="U57" s="60">
        <f>[2]TrNavi_ene!U4</f>
        <v>3283.5886017829625</v>
      </c>
      <c r="V57" s="60">
        <f>[2]TrNavi_ene!V4</f>
        <v>2771.1539409265265</v>
      </c>
      <c r="W57" s="60">
        <f>[2]TrNavi_ene!W4</f>
        <v>2999.9797285867112</v>
      </c>
      <c r="DA57" s="49" t="s">
        <v>212</v>
      </c>
    </row>
    <row r="58" spans="1:105" ht="11.5" customHeight="1" x14ac:dyDescent="0.35">
      <c r="A58" s="64" t="str">
        <f>$A$28</f>
        <v>Inland waterways</v>
      </c>
      <c r="B58" s="65">
        <f>[2]TrNavi_ene!B10</f>
        <v>1096.8960212645334</v>
      </c>
      <c r="C58" s="65">
        <f>[2]TrNavi_ene!C10</f>
        <v>1096.8621973789841</v>
      </c>
      <c r="D58" s="65">
        <f>[2]TrNavi_ene!D10</f>
        <v>1039.659895237686</v>
      </c>
      <c r="E58" s="65">
        <f>[2]TrNavi_ene!E10</f>
        <v>1057.7288507361618</v>
      </c>
      <c r="F58" s="65">
        <f>[2]TrNavi_ene!F10</f>
        <v>1082.8934120219192</v>
      </c>
      <c r="G58" s="65">
        <f>[2]TrNavi_ene!G10</f>
        <v>1083.4503376168373</v>
      </c>
      <c r="H58" s="65">
        <f>[2]TrNavi_ene!H10</f>
        <v>929.29080038788345</v>
      </c>
      <c r="I58" s="65">
        <f>[2]TrNavi_ene!I10</f>
        <v>1073.8260575309459</v>
      </c>
      <c r="J58" s="65">
        <f>[2]TrNavi_ene!J10</f>
        <v>1061.3717988342091</v>
      </c>
      <c r="K58" s="65">
        <f>[2]TrNavi_ene!K10</f>
        <v>1058.0419998462983</v>
      </c>
      <c r="L58" s="65">
        <f>[2]TrNavi_ene!L10</f>
        <v>1103.6958421537227</v>
      </c>
      <c r="M58" s="65">
        <f>[2]TrNavi_ene!M10</f>
        <v>1103.2192544838056</v>
      </c>
      <c r="N58" s="65">
        <f>[2]TrNavi_ene!N10</f>
        <v>1076.5228894911966</v>
      </c>
      <c r="O58" s="65">
        <f>[2]TrNavi_ene!O10</f>
        <v>1172.3204054702617</v>
      </c>
      <c r="P58" s="65">
        <f>[2]TrNavi_ene!P10</f>
        <v>1070.40511175388</v>
      </c>
      <c r="Q58" s="65">
        <f>[2]TrNavi_ene!Q10</f>
        <v>1114.4726064045644</v>
      </c>
      <c r="R58" s="65">
        <f>[2]TrNavi_ene!R10</f>
        <v>1055.7580457903146</v>
      </c>
      <c r="S58" s="65">
        <f>[2]TrNavi_ene!S10</f>
        <v>1003.6508245783275</v>
      </c>
      <c r="T58" s="65">
        <f>[2]TrNavi_ene!T10</f>
        <v>999.18998272110423</v>
      </c>
      <c r="U58" s="65">
        <f>[2]TrNavi_ene!U10</f>
        <v>1009.7064102548705</v>
      </c>
      <c r="V58" s="65">
        <f>[2]TrNavi_ene!V10</f>
        <v>897.7272233039115</v>
      </c>
      <c r="W58" s="65">
        <f>[2]TrNavi_ene!W10</f>
        <v>978.07262910890347</v>
      </c>
      <c r="DA58" s="66" t="s">
        <v>213</v>
      </c>
    </row>
    <row r="59" spans="1:105" ht="11.5" customHeight="1" x14ac:dyDescent="0.35">
      <c r="A59" s="53" t="s">
        <v>80</v>
      </c>
      <c r="B59" s="54">
        <f>B60+B61</f>
        <v>40355.426741186588</v>
      </c>
      <c r="C59" s="54">
        <f t="shared" ref="C59:W59" si="17">C60+C61</f>
        <v>41594.502149613065</v>
      </c>
      <c r="D59" s="54">
        <f t="shared" si="17"/>
        <v>42789.17497850387</v>
      </c>
      <c r="E59" s="54">
        <f t="shared" si="17"/>
        <v>44042.576182287186</v>
      </c>
      <c r="F59" s="54">
        <f t="shared" si="17"/>
        <v>46270.016423043839</v>
      </c>
      <c r="G59" s="54">
        <f t="shared" si="17"/>
        <v>47173.609630266554</v>
      </c>
      <c r="H59" s="54">
        <f t="shared" si="17"/>
        <v>50290.71513327599</v>
      </c>
      <c r="I59" s="54">
        <f t="shared" si="17"/>
        <v>52441.627601031811</v>
      </c>
      <c r="J59" s="54">
        <f t="shared" si="17"/>
        <v>51863.230696474639</v>
      </c>
      <c r="K59" s="54">
        <f t="shared" si="17"/>
        <v>46316.960103181416</v>
      </c>
      <c r="L59" s="54">
        <f t="shared" si="17"/>
        <v>46679.747893379201</v>
      </c>
      <c r="M59" s="54">
        <f t="shared" si="17"/>
        <v>46542.884522785898</v>
      </c>
      <c r="N59" s="54">
        <f t="shared" si="17"/>
        <v>43494.096646603597</v>
      </c>
      <c r="O59" s="54">
        <f t="shared" si="17"/>
        <v>41036.854256233884</v>
      </c>
      <c r="P59" s="54">
        <f t="shared" si="17"/>
        <v>39843.793895098876</v>
      </c>
      <c r="Q59" s="54">
        <f t="shared" si="17"/>
        <v>39590.780739466893</v>
      </c>
      <c r="R59" s="54">
        <f t="shared" si="17"/>
        <v>41549.934737747208</v>
      </c>
      <c r="S59" s="54">
        <f t="shared" si="17"/>
        <v>42190.327343078243</v>
      </c>
      <c r="T59" s="54">
        <f t="shared" si="17"/>
        <v>43425.13499570077</v>
      </c>
      <c r="U59" s="54">
        <f t="shared" si="17"/>
        <v>43115.967927773003</v>
      </c>
      <c r="V59" s="54">
        <f t="shared" si="17"/>
        <v>39007.507996560613</v>
      </c>
      <c r="W59" s="54">
        <f t="shared" si="17"/>
        <v>40756.204643164223</v>
      </c>
      <c r="DA59" s="55" t="s">
        <v>214</v>
      </c>
    </row>
    <row r="60" spans="1:105" ht="11.5" customHeight="1" x14ac:dyDescent="0.35">
      <c r="A60" s="59" t="str">
        <f>$A$30</f>
        <v>Intra-EEA</v>
      </c>
      <c r="B60" s="60">
        <f>[2]MBunk_ene!B$4</f>
        <v>12349.039423271759</v>
      </c>
      <c r="C60" s="60">
        <f>[2]MBunk_ene!C$4</f>
        <v>12250.784679580451</v>
      </c>
      <c r="D60" s="60">
        <f>[2]MBunk_ene!D$4</f>
        <v>12230.393296317732</v>
      </c>
      <c r="E60" s="60">
        <f>[2]MBunk_ene!E$4</f>
        <v>12685.051060965729</v>
      </c>
      <c r="F60" s="60">
        <f>[2]MBunk_ene!F$4</f>
        <v>12932.514719410672</v>
      </c>
      <c r="G60" s="60">
        <f>[2]MBunk_ene!G$4</f>
        <v>12476.202362295635</v>
      </c>
      <c r="H60" s="60">
        <f>[2]MBunk_ene!H$4</f>
        <v>12775.809333697393</v>
      </c>
      <c r="I60" s="60">
        <f>[2]MBunk_ene!I$4</f>
        <v>13049.183865195906</v>
      </c>
      <c r="J60" s="60">
        <f>[2]MBunk_ene!J$4</f>
        <v>12896.2687885581</v>
      </c>
      <c r="K60" s="60">
        <f>[2]MBunk_ene!K$4</f>
        <v>12354.868272396656</v>
      </c>
      <c r="L60" s="60">
        <f>[2]MBunk_ene!L$4</f>
        <v>12763.872799317069</v>
      </c>
      <c r="M60" s="60">
        <f>[2]MBunk_ene!M$4</f>
        <v>11993.001595663391</v>
      </c>
      <c r="N60" s="60">
        <f>[2]MBunk_ene!N$4</f>
        <v>11306.772589684684</v>
      </c>
      <c r="O60" s="60">
        <f>[2]MBunk_ene!O$4</f>
        <v>10939.959494800925</v>
      </c>
      <c r="P60" s="60">
        <f>[2]MBunk_ene!P$4</f>
        <v>10701.272849770812</v>
      </c>
      <c r="Q60" s="60">
        <f>[2]MBunk_ene!Q$4</f>
        <v>10844.925164647615</v>
      </c>
      <c r="R60" s="60">
        <f>[2]MBunk_ene!R$4</f>
        <v>11658.333894555593</v>
      </c>
      <c r="S60" s="60">
        <f>[2]MBunk_ene!S$4</f>
        <v>11849.003118768054</v>
      </c>
      <c r="T60" s="60">
        <f>[2]MBunk_ene!T$4</f>
        <v>12203.374757402347</v>
      </c>
      <c r="U60" s="60">
        <f>[2]MBunk_ene!U$4</f>
        <v>12329.466649259128</v>
      </c>
      <c r="V60" s="60">
        <f>[2]MBunk_ene!V$4</f>
        <v>10328.573058631046</v>
      </c>
      <c r="W60" s="60">
        <f>[2]MBunk_ene!W$4</f>
        <v>10796.207158660445</v>
      </c>
      <c r="DA60" s="49" t="s">
        <v>215</v>
      </c>
    </row>
    <row r="61" spans="1:105" ht="11.5" customHeight="1" x14ac:dyDescent="0.35">
      <c r="A61" s="67" t="str">
        <f>$A$31</f>
        <v>Extra-EEA</v>
      </c>
      <c r="B61" s="68">
        <f>[2]MBunk_ene!B$10</f>
        <v>28006.387317914829</v>
      </c>
      <c r="C61" s="68">
        <f>[2]MBunk_ene!C$10</f>
        <v>29343.717470032618</v>
      </c>
      <c r="D61" s="68">
        <f>[2]MBunk_ene!D$10</f>
        <v>30558.781682186134</v>
      </c>
      <c r="E61" s="68">
        <f>[2]MBunk_ene!E$10</f>
        <v>31357.525121321461</v>
      </c>
      <c r="F61" s="68">
        <f>[2]MBunk_ene!F$10</f>
        <v>33337.50170363317</v>
      </c>
      <c r="G61" s="68">
        <f>[2]MBunk_ene!G$10</f>
        <v>34697.407267970921</v>
      </c>
      <c r="H61" s="68">
        <f>[2]MBunk_ene!H$10</f>
        <v>37514.905799578599</v>
      </c>
      <c r="I61" s="68">
        <f>[2]MBunk_ene!I$10</f>
        <v>39392.443735835906</v>
      </c>
      <c r="J61" s="68">
        <f>[2]MBunk_ene!J$10</f>
        <v>38966.961907916535</v>
      </c>
      <c r="K61" s="68">
        <f>[2]MBunk_ene!K$10</f>
        <v>33962.091830784761</v>
      </c>
      <c r="L61" s="68">
        <f>[2]MBunk_ene!L$10</f>
        <v>33915.875094062132</v>
      </c>
      <c r="M61" s="68">
        <f>[2]MBunk_ene!M$10</f>
        <v>34549.882927122504</v>
      </c>
      <c r="N61" s="68">
        <f>[2]MBunk_ene!N$10</f>
        <v>32187.324056918911</v>
      </c>
      <c r="O61" s="68">
        <f>[2]MBunk_ene!O$10</f>
        <v>30096.894761432955</v>
      </c>
      <c r="P61" s="68">
        <f>[2]MBunk_ene!P$10</f>
        <v>29142.521045328063</v>
      </c>
      <c r="Q61" s="68">
        <f>[2]MBunk_ene!Q$10</f>
        <v>28745.855574819274</v>
      </c>
      <c r="R61" s="68">
        <f>[2]MBunk_ene!R$10</f>
        <v>29891.600843191613</v>
      </c>
      <c r="S61" s="68">
        <f>[2]MBunk_ene!S$10</f>
        <v>30341.324224310185</v>
      </c>
      <c r="T61" s="68">
        <f>[2]MBunk_ene!T$10</f>
        <v>31221.760238298422</v>
      </c>
      <c r="U61" s="68">
        <f>[2]MBunk_ene!U$10</f>
        <v>30786.501278513875</v>
      </c>
      <c r="V61" s="68">
        <f>[2]MBunk_ene!V$10</f>
        <v>28678.934937929567</v>
      </c>
      <c r="W61" s="68">
        <f>[2]MBunk_ene!W$10</f>
        <v>29959.99748450378</v>
      </c>
      <c r="DA61" s="69" t="s">
        <v>216</v>
      </c>
    </row>
    <row r="62" spans="1:105" ht="11.5" customHeight="1" x14ac:dyDescent="0.35">
      <c r="A62" s="48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DA62" s="49"/>
    </row>
    <row r="63" spans="1:105" ht="11.5" customHeight="1" x14ac:dyDescent="0.35">
      <c r="A63" s="50" t="s">
        <v>81</v>
      </c>
      <c r="B63" s="70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DA63" s="52"/>
    </row>
    <row r="64" spans="1:105" ht="11.5" customHeight="1" x14ac:dyDescent="0.35">
      <c r="A64" s="53" t="s">
        <v>78</v>
      </c>
      <c r="B64" s="54">
        <f t="shared" ref="B64:W64" si="18">B65+B69+B73</f>
        <v>595527.62688958109</v>
      </c>
      <c r="C64" s="54">
        <f t="shared" si="18"/>
        <v>599480.94195972232</v>
      </c>
      <c r="D64" s="54">
        <f t="shared" si="18"/>
        <v>605313.62638565188</v>
      </c>
      <c r="E64" s="54">
        <f t="shared" si="18"/>
        <v>609704.12215500744</v>
      </c>
      <c r="F64" s="54">
        <f t="shared" si="18"/>
        <v>622569.18451564049</v>
      </c>
      <c r="G64" s="54">
        <f t="shared" si="18"/>
        <v>620132.80053209118</v>
      </c>
      <c r="H64" s="54">
        <f t="shared" si="18"/>
        <v>629657.01695835241</v>
      </c>
      <c r="I64" s="54">
        <f t="shared" si="18"/>
        <v>638307.18219876057</v>
      </c>
      <c r="J64" s="54">
        <f t="shared" si="18"/>
        <v>633227.96327405656</v>
      </c>
      <c r="K64" s="54">
        <f t="shared" si="18"/>
        <v>621209.62854280532</v>
      </c>
      <c r="L64" s="54">
        <f t="shared" si="18"/>
        <v>611931.24915766029</v>
      </c>
      <c r="M64" s="54">
        <f t="shared" si="18"/>
        <v>613521.91819804255</v>
      </c>
      <c r="N64" s="54">
        <f t="shared" si="18"/>
        <v>594964.7114470721</v>
      </c>
      <c r="O64" s="54">
        <f t="shared" si="18"/>
        <v>594357.02212714369</v>
      </c>
      <c r="P64" s="54">
        <f t="shared" si="18"/>
        <v>607538.50916624255</v>
      </c>
      <c r="Q64" s="54">
        <f t="shared" si="18"/>
        <v>619509.39948372683</v>
      </c>
      <c r="R64" s="54">
        <f t="shared" si="18"/>
        <v>634276.425786137</v>
      </c>
      <c r="S64" s="54">
        <f t="shared" si="18"/>
        <v>645835.59647628362</v>
      </c>
      <c r="T64" s="54">
        <f t="shared" si="18"/>
        <v>647988.32246528403</v>
      </c>
      <c r="U64" s="54">
        <f t="shared" si="18"/>
        <v>655369.51382782171</v>
      </c>
      <c r="V64" s="54">
        <f t="shared" si="18"/>
        <v>492045.31239897641</v>
      </c>
      <c r="W64" s="54">
        <f t="shared" si="18"/>
        <v>533692.23216822045</v>
      </c>
      <c r="DA64" s="55"/>
    </row>
    <row r="65" spans="1:105" ht="11.5" customHeight="1" x14ac:dyDescent="0.35">
      <c r="A65" s="56" t="str">
        <f>$A$5</f>
        <v>Road transport</v>
      </c>
      <c r="B65" s="57">
        <f t="shared" ref="B65:W65" si="19">B66+B67+B68</f>
        <v>494181.10884827463</v>
      </c>
      <c r="C65" s="57">
        <f t="shared" si="19"/>
        <v>500754.17625813611</v>
      </c>
      <c r="D65" s="57">
        <f t="shared" si="19"/>
        <v>509573.03253642179</v>
      </c>
      <c r="E65" s="57">
        <f t="shared" si="19"/>
        <v>512538.39914081525</v>
      </c>
      <c r="F65" s="57">
        <f t="shared" si="19"/>
        <v>519495.6910080096</v>
      </c>
      <c r="G65" s="57">
        <f t="shared" si="19"/>
        <v>513441.25803590554</v>
      </c>
      <c r="H65" s="57">
        <f t="shared" si="19"/>
        <v>519333.11762948445</v>
      </c>
      <c r="I65" s="57">
        <f t="shared" si="19"/>
        <v>522984.95530088362</v>
      </c>
      <c r="J65" s="57">
        <f t="shared" si="19"/>
        <v>517115.6394515392</v>
      </c>
      <c r="K65" s="57">
        <f t="shared" si="19"/>
        <v>514225.64975385799</v>
      </c>
      <c r="L65" s="57">
        <f t="shared" si="19"/>
        <v>504996.64337887027</v>
      </c>
      <c r="M65" s="57">
        <f t="shared" si="19"/>
        <v>502428.60009162495</v>
      </c>
      <c r="N65" s="57">
        <f t="shared" si="19"/>
        <v>485636.71551330824</v>
      </c>
      <c r="O65" s="57">
        <f t="shared" si="19"/>
        <v>487117.54303210718</v>
      </c>
      <c r="P65" s="57">
        <f t="shared" si="19"/>
        <v>498816.04994175286</v>
      </c>
      <c r="Q65" s="57">
        <f t="shared" si="19"/>
        <v>506561.75780701364</v>
      </c>
      <c r="R65" s="57">
        <f t="shared" si="19"/>
        <v>515015.51914333121</v>
      </c>
      <c r="S65" s="57">
        <f t="shared" si="19"/>
        <v>518696.69479072007</v>
      </c>
      <c r="T65" s="57">
        <f t="shared" si="19"/>
        <v>514119.64891223202</v>
      </c>
      <c r="U65" s="57">
        <f t="shared" si="19"/>
        <v>517780.56626731012</v>
      </c>
      <c r="V65" s="57">
        <f t="shared" si="19"/>
        <v>439821.47273936676</v>
      </c>
      <c r="W65" s="57">
        <f t="shared" si="19"/>
        <v>468139.59935855697</v>
      </c>
      <c r="DA65" s="58" t="s">
        <v>217</v>
      </c>
    </row>
    <row r="66" spans="1:105" ht="11.5" customHeight="1" x14ac:dyDescent="0.35">
      <c r="A66" s="59" t="str">
        <f>$A$6</f>
        <v>Powered two-wheelers</v>
      </c>
      <c r="B66" s="60">
        <f>[2]TrRoad_emi!B$19</f>
        <v>9875.9120016382785</v>
      </c>
      <c r="C66" s="60">
        <f>[2]TrRoad_emi!C$19</f>
        <v>10100.742054078064</v>
      </c>
      <c r="D66" s="60">
        <f>[2]TrRoad_emi!D$19</f>
        <v>10146.88267958325</v>
      </c>
      <c r="E66" s="60">
        <f>[2]TrRoad_emi!E$19</f>
        <v>10305.183003479675</v>
      </c>
      <c r="F66" s="60">
        <f>[2]TrRoad_emi!F$19</f>
        <v>10496.73954853093</v>
      </c>
      <c r="G66" s="60">
        <f>[2]TrRoad_emi!G$19</f>
        <v>10688.614804590341</v>
      </c>
      <c r="H66" s="60">
        <f>[2]TrRoad_emi!H$19</f>
        <v>10446.129027328592</v>
      </c>
      <c r="I66" s="60">
        <f>[2]TrRoad_emi!I$19</f>
        <v>9978.3268664778025</v>
      </c>
      <c r="J66" s="60">
        <f>[2]TrRoad_emi!J$19</f>
        <v>10211.419595779353</v>
      </c>
      <c r="K66" s="60">
        <f>[2]TrRoad_emi!K$19</f>
        <v>9978.8529891855815</v>
      </c>
      <c r="L66" s="60">
        <f>[2]TrRoad_emi!L$19</f>
        <v>10093.732193449405</v>
      </c>
      <c r="M66" s="60">
        <f>[2]TrRoad_emi!M$19</f>
        <v>10071.680364514601</v>
      </c>
      <c r="N66" s="60">
        <f>[2]TrRoad_emi!N$19</f>
        <v>9812.8094972585659</v>
      </c>
      <c r="O66" s="60">
        <f>[2]TrRoad_emi!O$19</f>
        <v>9721.3091047902508</v>
      </c>
      <c r="P66" s="60">
        <f>[2]TrRoad_emi!P$19</f>
        <v>9963.8517332181073</v>
      </c>
      <c r="Q66" s="60">
        <f>[2]TrRoad_emi!Q$19</f>
        <v>10046.731184497014</v>
      </c>
      <c r="R66" s="60">
        <f>[2]TrRoad_emi!R$19</f>
        <v>10067.426748916852</v>
      </c>
      <c r="S66" s="60">
        <f>[2]TrRoad_emi!S$19</f>
        <v>9538.1299713843382</v>
      </c>
      <c r="T66" s="60">
        <f>[2]TrRoad_emi!T$19</f>
        <v>9080.684703961062</v>
      </c>
      <c r="U66" s="60">
        <f>[2]TrRoad_emi!U$19</f>
        <v>9481.4838102669655</v>
      </c>
      <c r="V66" s="60">
        <f>[2]TrRoad_emi!V$19</f>
        <v>8292.1761492532987</v>
      </c>
      <c r="W66" s="60">
        <f>[2]TrRoad_emi!W$19</f>
        <v>8236.6816172325634</v>
      </c>
      <c r="DA66" s="49" t="s">
        <v>218</v>
      </c>
    </row>
    <row r="67" spans="1:105" ht="11.5" customHeight="1" x14ac:dyDescent="0.35">
      <c r="A67" s="59" t="str">
        <f>$A$7</f>
        <v>Passenger cars</v>
      </c>
      <c r="B67" s="60">
        <f>[2]TrRoad_emi!B$20</f>
        <v>442066.5793605583</v>
      </c>
      <c r="C67" s="60">
        <f>[2]TrRoad_emi!C$20</f>
        <v>448754.90853862086</v>
      </c>
      <c r="D67" s="60">
        <f>[2]TrRoad_emi!D$20</f>
        <v>457911.5774874941</v>
      </c>
      <c r="E67" s="60">
        <f>[2]TrRoad_emi!E$20</f>
        <v>460387.19539714494</v>
      </c>
      <c r="F67" s="60">
        <f>[2]TrRoad_emi!F$20</f>
        <v>467576.37514656858</v>
      </c>
      <c r="G67" s="60">
        <f>[2]TrRoad_emi!G$20</f>
        <v>462259.52982419485</v>
      </c>
      <c r="H67" s="60">
        <f>[2]TrRoad_emi!H$20</f>
        <v>468411.90791057248</v>
      </c>
      <c r="I67" s="60">
        <f>[2]TrRoad_emi!I$20</f>
        <v>472680.51464622002</v>
      </c>
      <c r="J67" s="60">
        <f>[2]TrRoad_emi!J$20</f>
        <v>466763.35820949764</v>
      </c>
      <c r="K67" s="60">
        <f>[2]TrRoad_emi!K$20</f>
        <v>464392.34404734505</v>
      </c>
      <c r="L67" s="60">
        <f>[2]TrRoad_emi!L$20</f>
        <v>455050.99888818321</v>
      </c>
      <c r="M67" s="60">
        <f>[2]TrRoad_emi!M$20</f>
        <v>452286.16082666785</v>
      </c>
      <c r="N67" s="60">
        <f>[2]TrRoad_emi!N$20</f>
        <v>436647.58353113156</v>
      </c>
      <c r="O67" s="60">
        <f>[2]TrRoad_emi!O$20</f>
        <v>438125.02258272021</v>
      </c>
      <c r="P67" s="60">
        <f>[2]TrRoad_emi!P$20</f>
        <v>449016.34151762025</v>
      </c>
      <c r="Q67" s="60">
        <f>[2]TrRoad_emi!Q$20</f>
        <v>455392.43487741449</v>
      </c>
      <c r="R67" s="60">
        <f>[2]TrRoad_emi!R$20</f>
        <v>462918.29926545313</v>
      </c>
      <c r="S67" s="60">
        <f>[2]TrRoad_emi!S$20</f>
        <v>468014.56096125982</v>
      </c>
      <c r="T67" s="60">
        <f>[2]TrRoad_emi!T$20</f>
        <v>463895.9791480538</v>
      </c>
      <c r="U67" s="60">
        <f>[2]TrRoad_emi!U$20</f>
        <v>466879.05953971983</v>
      </c>
      <c r="V67" s="60">
        <f>[2]TrRoad_emi!V$20</f>
        <v>394393.22789491579</v>
      </c>
      <c r="W67" s="60">
        <f>[2]TrRoad_emi!W$20</f>
        <v>421659.4160701778</v>
      </c>
      <c r="DA67" s="49" t="s">
        <v>219</v>
      </c>
    </row>
    <row r="68" spans="1:105" ht="11.5" customHeight="1" x14ac:dyDescent="0.35">
      <c r="A68" s="59" t="str">
        <f>$A$8</f>
        <v>Motor coaches, buses and trolley buses</v>
      </c>
      <c r="B68" s="60">
        <f>[2]TrRoad_emi!B$27</f>
        <v>42238.617486078059</v>
      </c>
      <c r="C68" s="60">
        <f>[2]TrRoad_emi!C$27</f>
        <v>41898.525665437155</v>
      </c>
      <c r="D68" s="60">
        <f>[2]TrRoad_emi!D$27</f>
        <v>41514.572369344431</v>
      </c>
      <c r="E68" s="60">
        <f>[2]TrRoad_emi!E$27</f>
        <v>41846.020740190608</v>
      </c>
      <c r="F68" s="60">
        <f>[2]TrRoad_emi!F$27</f>
        <v>41422.576312910045</v>
      </c>
      <c r="G68" s="60">
        <f>[2]TrRoad_emi!G$27</f>
        <v>40493.113407120327</v>
      </c>
      <c r="H68" s="60">
        <f>[2]TrRoad_emi!H$27</f>
        <v>40475.080691583375</v>
      </c>
      <c r="I68" s="60">
        <f>[2]TrRoad_emi!I$27</f>
        <v>40326.113788185823</v>
      </c>
      <c r="J68" s="60">
        <f>[2]TrRoad_emi!J$27</f>
        <v>40140.861646262223</v>
      </c>
      <c r="K68" s="60">
        <f>[2]TrRoad_emi!K$27</f>
        <v>39854.452717327331</v>
      </c>
      <c r="L68" s="60">
        <f>[2]TrRoad_emi!L$27</f>
        <v>39851.912297237664</v>
      </c>
      <c r="M68" s="60">
        <f>[2]TrRoad_emi!M$27</f>
        <v>40070.758900442495</v>
      </c>
      <c r="N68" s="60">
        <f>[2]TrRoad_emi!N$27</f>
        <v>39176.322484918092</v>
      </c>
      <c r="O68" s="60">
        <f>[2]TrRoad_emi!O$27</f>
        <v>39271.21134459669</v>
      </c>
      <c r="P68" s="60">
        <f>[2]TrRoad_emi!P$27</f>
        <v>39835.856690914465</v>
      </c>
      <c r="Q68" s="60">
        <f>[2]TrRoad_emi!Q$27</f>
        <v>41122.591745102116</v>
      </c>
      <c r="R68" s="60">
        <f>[2]TrRoad_emi!R$27</f>
        <v>42029.793128961253</v>
      </c>
      <c r="S68" s="60">
        <f>[2]TrRoad_emi!S$27</f>
        <v>41144.003858075863</v>
      </c>
      <c r="T68" s="60">
        <f>[2]TrRoad_emi!T$27</f>
        <v>41142.985060217135</v>
      </c>
      <c r="U68" s="60">
        <f>[2]TrRoad_emi!U$27</f>
        <v>41420.022917323353</v>
      </c>
      <c r="V68" s="60">
        <f>[2]TrRoad_emi!V$27</f>
        <v>37136.068695197617</v>
      </c>
      <c r="W68" s="60">
        <f>[2]TrRoad_emi!W$27</f>
        <v>38243.501671146609</v>
      </c>
      <c r="DA68" s="49" t="s">
        <v>220</v>
      </c>
    </row>
    <row r="69" spans="1:105" ht="11.5" customHeight="1" x14ac:dyDescent="0.35">
      <c r="A69" s="61" t="str">
        <f>$A$9</f>
        <v>Rail, metro and tram</v>
      </c>
      <c r="B69" s="62">
        <f t="shared" ref="B69:W69" si="20">B70+B71+B72</f>
        <v>6221.0235337648892</v>
      </c>
      <c r="C69" s="62">
        <f t="shared" si="20"/>
        <v>5497.6678774523734</v>
      </c>
      <c r="D69" s="62">
        <f t="shared" si="20"/>
        <v>5533.8873374056748</v>
      </c>
      <c r="E69" s="62">
        <f t="shared" si="20"/>
        <v>5714.0665336169386</v>
      </c>
      <c r="F69" s="62">
        <f t="shared" si="20"/>
        <v>5844.7857837430201</v>
      </c>
      <c r="G69" s="62">
        <f t="shared" si="20"/>
        <v>5512.0268353098736</v>
      </c>
      <c r="H69" s="62">
        <f t="shared" si="20"/>
        <v>4973.1594888186746</v>
      </c>
      <c r="I69" s="62">
        <f t="shared" si="20"/>
        <v>5350.5850938420635</v>
      </c>
      <c r="J69" s="62">
        <f t="shared" si="20"/>
        <v>5176.3460738733202</v>
      </c>
      <c r="K69" s="62">
        <f t="shared" si="20"/>
        <v>4593.6206010130009</v>
      </c>
      <c r="L69" s="62">
        <f t="shared" si="20"/>
        <v>4427.7845226921099</v>
      </c>
      <c r="M69" s="62">
        <f t="shared" si="20"/>
        <v>4414.5702244988333</v>
      </c>
      <c r="N69" s="62">
        <f t="shared" si="20"/>
        <v>4554.9308845309615</v>
      </c>
      <c r="O69" s="62">
        <f t="shared" si="20"/>
        <v>3108.069290064117</v>
      </c>
      <c r="P69" s="62">
        <f t="shared" si="20"/>
        <v>2948.0821387947331</v>
      </c>
      <c r="Q69" s="62">
        <f t="shared" si="20"/>
        <v>2864.21866668759</v>
      </c>
      <c r="R69" s="62">
        <f t="shared" si="20"/>
        <v>2797.1675813866491</v>
      </c>
      <c r="S69" s="62">
        <f t="shared" si="20"/>
        <v>2693.4178258046836</v>
      </c>
      <c r="T69" s="62">
        <f t="shared" si="20"/>
        <v>2516.7133946975596</v>
      </c>
      <c r="U69" s="62">
        <f t="shared" si="20"/>
        <v>2492.910722943825</v>
      </c>
      <c r="V69" s="62">
        <f t="shared" si="20"/>
        <v>2136.5860448091644</v>
      </c>
      <c r="W69" s="62">
        <f t="shared" si="20"/>
        <v>2527.1494072522241</v>
      </c>
      <c r="DA69" s="63" t="s">
        <v>221</v>
      </c>
    </row>
    <row r="70" spans="1:105" ht="11.5" customHeight="1" x14ac:dyDescent="0.35">
      <c r="A70" s="59" t="str">
        <f>$A$10</f>
        <v>Metro and tram, urban light rail</v>
      </c>
      <c r="B70" s="60">
        <f>[2]TrRail_emi!B$10</f>
        <v>0</v>
      </c>
      <c r="C70" s="60">
        <f>[2]TrRail_emi!C$10</f>
        <v>0</v>
      </c>
      <c r="D70" s="60">
        <f>[2]TrRail_emi!D$10</f>
        <v>0</v>
      </c>
      <c r="E70" s="60">
        <f>[2]TrRail_emi!E$10</f>
        <v>0</v>
      </c>
      <c r="F70" s="60">
        <f>[2]TrRail_emi!F$10</f>
        <v>0</v>
      </c>
      <c r="G70" s="60">
        <f>[2]TrRail_emi!G$10</f>
        <v>0</v>
      </c>
      <c r="H70" s="60">
        <f>[2]TrRail_emi!H$10</f>
        <v>0</v>
      </c>
      <c r="I70" s="60">
        <f>[2]TrRail_emi!I$10</f>
        <v>0</v>
      </c>
      <c r="J70" s="60">
        <f>[2]TrRail_emi!J$10</f>
        <v>0</v>
      </c>
      <c r="K70" s="60">
        <f>[2]TrRail_emi!K$10</f>
        <v>0</v>
      </c>
      <c r="L70" s="60">
        <f>[2]TrRail_emi!L$10</f>
        <v>0</v>
      </c>
      <c r="M70" s="60">
        <f>[2]TrRail_emi!M$10</f>
        <v>0</v>
      </c>
      <c r="N70" s="60">
        <f>[2]TrRail_emi!N$10</f>
        <v>0</v>
      </c>
      <c r="O70" s="60">
        <f>[2]TrRail_emi!O$10</f>
        <v>0</v>
      </c>
      <c r="P70" s="60">
        <f>[2]TrRail_emi!P$10</f>
        <v>0</v>
      </c>
      <c r="Q70" s="60">
        <f>[2]TrRail_emi!Q$10</f>
        <v>0</v>
      </c>
      <c r="R70" s="60">
        <f>[2]TrRail_emi!R$10</f>
        <v>0</v>
      </c>
      <c r="S70" s="60">
        <f>[2]TrRail_emi!S$10</f>
        <v>0</v>
      </c>
      <c r="T70" s="60">
        <f>[2]TrRail_emi!T$10</f>
        <v>0</v>
      </c>
      <c r="U70" s="60">
        <f>[2]TrRail_emi!U$10</f>
        <v>0</v>
      </c>
      <c r="V70" s="60">
        <f>[2]TrRail_emi!V$10</f>
        <v>0</v>
      </c>
      <c r="W70" s="60">
        <f>[2]TrRail_emi!W$10</f>
        <v>0</v>
      </c>
      <c r="DA70" s="49" t="s">
        <v>222</v>
      </c>
    </row>
    <row r="71" spans="1:105" ht="11.5" customHeight="1" x14ac:dyDescent="0.35">
      <c r="A71" s="59" t="str">
        <f>$A$11</f>
        <v>Conventional passenger trains</v>
      </c>
      <c r="B71" s="60">
        <f>[2]TrRail_emi!B$11</f>
        <v>6221.0235337648892</v>
      </c>
      <c r="C71" s="60">
        <f>[2]TrRail_emi!C$11</f>
        <v>5497.6678774523734</v>
      </c>
      <c r="D71" s="60">
        <f>[2]TrRail_emi!D$11</f>
        <v>5533.8873374056748</v>
      </c>
      <c r="E71" s="60">
        <f>[2]TrRail_emi!E$11</f>
        <v>5714.0665336169386</v>
      </c>
      <c r="F71" s="60">
        <f>[2]TrRail_emi!F$11</f>
        <v>5844.7857837430201</v>
      </c>
      <c r="G71" s="60">
        <f>[2]TrRail_emi!G$11</f>
        <v>5512.0268353098736</v>
      </c>
      <c r="H71" s="60">
        <f>[2]TrRail_emi!H$11</f>
        <v>4973.1594888186746</v>
      </c>
      <c r="I71" s="60">
        <f>[2]TrRail_emi!I$11</f>
        <v>5350.5850938420635</v>
      </c>
      <c r="J71" s="60">
        <f>[2]TrRail_emi!J$11</f>
        <v>5176.3460738733202</v>
      </c>
      <c r="K71" s="60">
        <f>[2]TrRail_emi!K$11</f>
        <v>4593.6206010130009</v>
      </c>
      <c r="L71" s="60">
        <f>[2]TrRail_emi!L$11</f>
        <v>4427.7845226921099</v>
      </c>
      <c r="M71" s="60">
        <f>[2]TrRail_emi!M$11</f>
        <v>4414.5702244988333</v>
      </c>
      <c r="N71" s="60">
        <f>[2]TrRail_emi!N$11</f>
        <v>4554.9308845309615</v>
      </c>
      <c r="O71" s="60">
        <f>[2]TrRail_emi!O$11</f>
        <v>3108.069290064117</v>
      </c>
      <c r="P71" s="60">
        <f>[2]TrRail_emi!P$11</f>
        <v>2948.0821387947331</v>
      </c>
      <c r="Q71" s="60">
        <f>[2]TrRail_emi!Q$11</f>
        <v>2864.21866668759</v>
      </c>
      <c r="R71" s="60">
        <f>[2]TrRail_emi!R$11</f>
        <v>2797.1675813866491</v>
      </c>
      <c r="S71" s="60">
        <f>[2]TrRail_emi!S$11</f>
        <v>2693.4178258046836</v>
      </c>
      <c r="T71" s="60">
        <f>[2]TrRail_emi!T$11</f>
        <v>2516.7133946975596</v>
      </c>
      <c r="U71" s="60">
        <f>[2]TrRail_emi!U$11</f>
        <v>2492.910722943825</v>
      </c>
      <c r="V71" s="60">
        <f>[2]TrRail_emi!V$11</f>
        <v>2136.5860448091644</v>
      </c>
      <c r="W71" s="60">
        <f>[2]TrRail_emi!W$11</f>
        <v>2527.1494072522241</v>
      </c>
      <c r="DA71" s="49" t="s">
        <v>223</v>
      </c>
    </row>
    <row r="72" spans="1:105" ht="11.5" customHeight="1" x14ac:dyDescent="0.35">
      <c r="A72" s="59" t="str">
        <f>$A$12</f>
        <v>High speed passenger trains</v>
      </c>
      <c r="B72" s="60">
        <f>[2]TrRail_emi!B$14</f>
        <v>0</v>
      </c>
      <c r="C72" s="60">
        <f>[2]TrRail_emi!C$14</f>
        <v>0</v>
      </c>
      <c r="D72" s="60">
        <f>[2]TrRail_emi!D$14</f>
        <v>0</v>
      </c>
      <c r="E72" s="60">
        <f>[2]TrRail_emi!E$14</f>
        <v>0</v>
      </c>
      <c r="F72" s="60">
        <f>[2]TrRail_emi!F$14</f>
        <v>0</v>
      </c>
      <c r="G72" s="60">
        <f>[2]TrRail_emi!G$14</f>
        <v>0</v>
      </c>
      <c r="H72" s="60">
        <f>[2]TrRail_emi!H$14</f>
        <v>0</v>
      </c>
      <c r="I72" s="60">
        <f>[2]TrRail_emi!I$14</f>
        <v>0</v>
      </c>
      <c r="J72" s="60">
        <f>[2]TrRail_emi!J$14</f>
        <v>0</v>
      </c>
      <c r="K72" s="60">
        <f>[2]TrRail_emi!K$14</f>
        <v>0</v>
      </c>
      <c r="L72" s="60">
        <f>[2]TrRail_emi!L$14</f>
        <v>0</v>
      </c>
      <c r="M72" s="60">
        <f>[2]TrRail_emi!M$14</f>
        <v>0</v>
      </c>
      <c r="N72" s="60">
        <f>[2]TrRail_emi!N$14</f>
        <v>0</v>
      </c>
      <c r="O72" s="60">
        <f>[2]TrRail_emi!O$14</f>
        <v>0</v>
      </c>
      <c r="P72" s="60">
        <f>[2]TrRail_emi!P$14</f>
        <v>0</v>
      </c>
      <c r="Q72" s="60">
        <f>[2]TrRail_emi!Q$14</f>
        <v>0</v>
      </c>
      <c r="R72" s="60">
        <f>[2]TrRail_emi!R$14</f>
        <v>0</v>
      </c>
      <c r="S72" s="60">
        <f>[2]TrRail_emi!S$14</f>
        <v>0</v>
      </c>
      <c r="T72" s="60">
        <f>[2]TrRail_emi!T$14</f>
        <v>0</v>
      </c>
      <c r="U72" s="60">
        <f>[2]TrRail_emi!U$14</f>
        <v>0</v>
      </c>
      <c r="V72" s="60">
        <f>[2]TrRail_emi!V$14</f>
        <v>0</v>
      </c>
      <c r="W72" s="60">
        <f>[2]TrRail_emi!W$14</f>
        <v>0</v>
      </c>
      <c r="DA72" s="49" t="s">
        <v>224</v>
      </c>
    </row>
    <row r="73" spans="1:105" ht="11.5" customHeight="1" x14ac:dyDescent="0.35">
      <c r="A73" s="61" t="str">
        <f>$A$13</f>
        <v>Aviation</v>
      </c>
      <c r="B73" s="62">
        <f t="shared" ref="B73:W73" si="21">B74+B75+B76</f>
        <v>95125.494507541618</v>
      </c>
      <c r="C73" s="62">
        <f t="shared" si="21"/>
        <v>93229.097824133845</v>
      </c>
      <c r="D73" s="62">
        <f t="shared" si="21"/>
        <v>90206.706511824392</v>
      </c>
      <c r="E73" s="62">
        <f t="shared" si="21"/>
        <v>91451.656480575301</v>
      </c>
      <c r="F73" s="62">
        <f t="shared" si="21"/>
        <v>97228.70772388787</v>
      </c>
      <c r="G73" s="62">
        <f t="shared" si="21"/>
        <v>101179.5156608758</v>
      </c>
      <c r="H73" s="62">
        <f t="shared" si="21"/>
        <v>105350.73984004924</v>
      </c>
      <c r="I73" s="62">
        <f t="shared" si="21"/>
        <v>109971.64180403479</v>
      </c>
      <c r="J73" s="62">
        <f t="shared" si="21"/>
        <v>110935.97774864404</v>
      </c>
      <c r="K73" s="62">
        <f t="shared" si="21"/>
        <v>102390.3581879343</v>
      </c>
      <c r="L73" s="62">
        <f t="shared" si="21"/>
        <v>102506.82125609789</v>
      </c>
      <c r="M73" s="62">
        <f t="shared" si="21"/>
        <v>106678.7478819188</v>
      </c>
      <c r="N73" s="62">
        <f t="shared" si="21"/>
        <v>104773.06504923292</v>
      </c>
      <c r="O73" s="62">
        <f t="shared" si="21"/>
        <v>104131.40980497246</v>
      </c>
      <c r="P73" s="62">
        <f t="shared" si="21"/>
        <v>105774.37708569493</v>
      </c>
      <c r="Q73" s="62">
        <f t="shared" si="21"/>
        <v>110083.42301002561</v>
      </c>
      <c r="R73" s="62">
        <f t="shared" si="21"/>
        <v>116463.73906141915</v>
      </c>
      <c r="S73" s="62">
        <f t="shared" si="21"/>
        <v>124445.48385975891</v>
      </c>
      <c r="T73" s="62">
        <f t="shared" si="21"/>
        <v>131351.96015835449</v>
      </c>
      <c r="U73" s="62">
        <f t="shared" si="21"/>
        <v>135096.03683756772</v>
      </c>
      <c r="V73" s="62">
        <f t="shared" si="21"/>
        <v>50087.253614800495</v>
      </c>
      <c r="W73" s="62">
        <f t="shared" si="21"/>
        <v>63025.483402411264</v>
      </c>
      <c r="DA73" s="63" t="s">
        <v>225</v>
      </c>
    </row>
    <row r="74" spans="1:105" ht="11.5" customHeight="1" x14ac:dyDescent="0.35">
      <c r="A74" s="59" t="str">
        <f>$A$14</f>
        <v>Domestic</v>
      </c>
      <c r="B74" s="60">
        <f>[2]TrAvia_emi!B$7</f>
        <v>16490.840052533731</v>
      </c>
      <c r="C74" s="60">
        <f>[2]TrAvia_emi!C$7</f>
        <v>16018.140932197954</v>
      </c>
      <c r="D74" s="60">
        <f>[2]TrAvia_emi!D$7</f>
        <v>15069.905921400235</v>
      </c>
      <c r="E74" s="60">
        <f>[2]TrAvia_emi!E$7</f>
        <v>15282.832104084084</v>
      </c>
      <c r="F74" s="60">
        <f>[2]TrAvia_emi!F$7</f>
        <v>15818.66048789142</v>
      </c>
      <c r="G74" s="60">
        <f>[2]TrAvia_emi!G$7</f>
        <v>16944.090516962886</v>
      </c>
      <c r="H74" s="60">
        <f>[2]TrAvia_emi!H$7</f>
        <v>17357.76969373782</v>
      </c>
      <c r="I74" s="60">
        <f>[2]TrAvia_emi!I$7</f>
        <v>18245.293192952064</v>
      </c>
      <c r="J74" s="60">
        <f>[2]TrAvia_emi!J$7</f>
        <v>17660.438235585647</v>
      </c>
      <c r="K74" s="60">
        <f>[2]TrAvia_emi!K$7</f>
        <v>16050.154244292649</v>
      </c>
      <c r="L74" s="60">
        <f>[2]TrAvia_emi!L$7</f>
        <v>16554.303031646847</v>
      </c>
      <c r="M74" s="60">
        <f>[2]TrAvia_emi!M$7</f>
        <v>17636.493655083104</v>
      </c>
      <c r="N74" s="60">
        <f>[2]TrAvia_emi!N$7</f>
        <v>16327.561253991707</v>
      </c>
      <c r="O74" s="60">
        <f>[2]TrAvia_emi!O$7</f>
        <v>15257.019821848908</v>
      </c>
      <c r="P74" s="60">
        <f>[2]TrAvia_emi!P$7</f>
        <v>15318.822972258538</v>
      </c>
      <c r="Q74" s="60">
        <f>[2]TrAvia_emi!Q$7</f>
        <v>15932.158657664044</v>
      </c>
      <c r="R74" s="60">
        <f>[2]TrAvia_emi!R$7</f>
        <v>16930.167829536411</v>
      </c>
      <c r="S74" s="60">
        <f>[2]TrAvia_emi!S$7</f>
        <v>17685.452874707407</v>
      </c>
      <c r="T74" s="60">
        <f>[2]TrAvia_emi!T$7</f>
        <v>18484.950612445464</v>
      </c>
      <c r="U74" s="60">
        <f>[2]TrAvia_emi!U$7</f>
        <v>19199.29305083146</v>
      </c>
      <c r="V74" s="60">
        <f>[2]TrAvia_emi!V$7</f>
        <v>8771.9293477329829</v>
      </c>
      <c r="W74" s="60">
        <f>[2]TrAvia_emi!W$7</f>
        <v>12496.254504481698</v>
      </c>
      <c r="DA74" s="49" t="s">
        <v>226</v>
      </c>
    </row>
    <row r="75" spans="1:105" ht="11.5" customHeight="1" x14ac:dyDescent="0.35">
      <c r="A75" s="59" t="str">
        <f>$A$15</f>
        <v>International - Intra-EEAwUK</v>
      </c>
      <c r="B75" s="60">
        <f>[2]TrAvia_emi!B$8</f>
        <v>32922.594516035031</v>
      </c>
      <c r="C75" s="60">
        <f>[2]TrAvia_emi!C$8</f>
        <v>32993.750416922056</v>
      </c>
      <c r="D75" s="60">
        <f>[2]TrAvia_emi!D$8</f>
        <v>31379.966681912774</v>
      </c>
      <c r="E75" s="60">
        <f>[2]TrAvia_emi!E$8</f>
        <v>33599.209000785057</v>
      </c>
      <c r="F75" s="60">
        <f>[2]TrAvia_emi!F$8</f>
        <v>35336.648929530944</v>
      </c>
      <c r="G75" s="60">
        <f>[2]TrAvia_emi!G$8</f>
        <v>36763.670004488151</v>
      </c>
      <c r="H75" s="60">
        <f>[2]TrAvia_emi!H$8</f>
        <v>39167.15267257861</v>
      </c>
      <c r="I75" s="60">
        <f>[2]TrAvia_emi!I$8</f>
        <v>41544.944206243927</v>
      </c>
      <c r="J75" s="60">
        <f>[2]TrAvia_emi!J$8</f>
        <v>42014.89382190504</v>
      </c>
      <c r="K75" s="60">
        <f>[2]TrAvia_emi!K$8</f>
        <v>37087.80476627496</v>
      </c>
      <c r="L75" s="60">
        <f>[2]TrAvia_emi!L$8</f>
        <v>36823.09340682903</v>
      </c>
      <c r="M75" s="60">
        <f>[2]TrAvia_emi!M$8</f>
        <v>38901.016687444004</v>
      </c>
      <c r="N75" s="60">
        <f>[2]TrAvia_emi!N$8</f>
        <v>37812.822196967849</v>
      </c>
      <c r="O75" s="60">
        <f>[2]TrAvia_emi!O$8</f>
        <v>38079.220112221767</v>
      </c>
      <c r="P75" s="60">
        <f>[2]TrAvia_emi!P$8</f>
        <v>39375.862202224453</v>
      </c>
      <c r="Q75" s="60">
        <f>[2]TrAvia_emi!Q$8</f>
        <v>41378.893068359335</v>
      </c>
      <c r="R75" s="60">
        <f>[2]TrAvia_emi!R$8</f>
        <v>45526.48874286998</v>
      </c>
      <c r="S75" s="60">
        <f>[2]TrAvia_emi!S$8</f>
        <v>50413.16620683681</v>
      </c>
      <c r="T75" s="60">
        <f>[2]TrAvia_emi!T$8</f>
        <v>53219.509330126741</v>
      </c>
      <c r="U75" s="60">
        <f>[2]TrAvia_emi!U$8</f>
        <v>53735.344503866771</v>
      </c>
      <c r="V75" s="60">
        <f>[2]TrAvia_emi!V$8</f>
        <v>16221.917824115977</v>
      </c>
      <c r="W75" s="60">
        <f>[2]TrAvia_emi!W$8</f>
        <v>21782.696048341393</v>
      </c>
      <c r="DA75" s="49" t="s">
        <v>227</v>
      </c>
    </row>
    <row r="76" spans="1:105" ht="11.5" customHeight="1" x14ac:dyDescent="0.35">
      <c r="A76" s="59" t="str">
        <f>$A$16</f>
        <v>International - Extra-EEAwUK</v>
      </c>
      <c r="B76" s="60">
        <f>[2]TrAvia_emi!B$9</f>
        <v>45712.059938972867</v>
      </c>
      <c r="C76" s="60">
        <f>[2]TrAvia_emi!C$9</f>
        <v>44217.206475013845</v>
      </c>
      <c r="D76" s="60">
        <f>[2]TrAvia_emi!D$9</f>
        <v>43756.833908511391</v>
      </c>
      <c r="E76" s="60">
        <f>[2]TrAvia_emi!E$9</f>
        <v>42569.615375706169</v>
      </c>
      <c r="F76" s="60">
        <f>[2]TrAvia_emi!F$9</f>
        <v>46073.398306465497</v>
      </c>
      <c r="G76" s="60">
        <f>[2]TrAvia_emi!G$9</f>
        <v>47471.755139424764</v>
      </c>
      <c r="H76" s="60">
        <f>[2]TrAvia_emi!H$9</f>
        <v>48825.817473732801</v>
      </c>
      <c r="I76" s="60">
        <f>[2]TrAvia_emi!I$9</f>
        <v>50181.404404838795</v>
      </c>
      <c r="J76" s="60">
        <f>[2]TrAvia_emi!J$9</f>
        <v>51260.645691153353</v>
      </c>
      <c r="K76" s="60">
        <f>[2]TrAvia_emi!K$9</f>
        <v>49252.399177366678</v>
      </c>
      <c r="L76" s="60">
        <f>[2]TrAvia_emi!L$9</f>
        <v>49129.424817622014</v>
      </c>
      <c r="M76" s="60">
        <f>[2]TrAvia_emi!M$9</f>
        <v>50141.237539391695</v>
      </c>
      <c r="N76" s="60">
        <f>[2]TrAvia_emi!N$9</f>
        <v>50632.681598273368</v>
      </c>
      <c r="O76" s="60">
        <f>[2]TrAvia_emi!O$9</f>
        <v>50795.16987090178</v>
      </c>
      <c r="P76" s="60">
        <f>[2]TrAvia_emi!P$9</f>
        <v>51079.691911211936</v>
      </c>
      <c r="Q76" s="60">
        <f>[2]TrAvia_emi!Q$9</f>
        <v>52772.371284002242</v>
      </c>
      <c r="R76" s="60">
        <f>[2]TrAvia_emi!R$9</f>
        <v>54007.08248901277</v>
      </c>
      <c r="S76" s="60">
        <f>[2]TrAvia_emi!S$9</f>
        <v>56346.86477821468</v>
      </c>
      <c r="T76" s="60">
        <f>[2]TrAvia_emi!T$9</f>
        <v>59647.500215782282</v>
      </c>
      <c r="U76" s="60">
        <f>[2]TrAvia_emi!U$9</f>
        <v>62161.39928286949</v>
      </c>
      <c r="V76" s="60">
        <f>[2]TrAvia_emi!V$9</f>
        <v>25093.406442951535</v>
      </c>
      <c r="W76" s="60">
        <f>[2]TrAvia_emi!W$9</f>
        <v>28746.532849588173</v>
      </c>
      <c r="DA76" s="49" t="s">
        <v>228</v>
      </c>
    </row>
    <row r="77" spans="1:105" ht="11.5" customHeight="1" x14ac:dyDescent="0.35">
      <c r="A77" s="53" t="s">
        <v>79</v>
      </c>
      <c r="B77" s="54">
        <f t="shared" ref="B77:W77" si="22">B78+B81+B82+B86+B92</f>
        <v>261619.49246072103</v>
      </c>
      <c r="C77" s="54">
        <f t="shared" si="22"/>
        <v>268273.06713318487</v>
      </c>
      <c r="D77" s="54">
        <f t="shared" si="22"/>
        <v>269653.11053463869</v>
      </c>
      <c r="E77" s="54">
        <f t="shared" si="22"/>
        <v>276079.40506075486</v>
      </c>
      <c r="F77" s="54">
        <f t="shared" si="22"/>
        <v>288281.04757655686</v>
      </c>
      <c r="G77" s="54">
        <f t="shared" si="22"/>
        <v>292619.22127518285</v>
      </c>
      <c r="H77" s="54">
        <f t="shared" si="22"/>
        <v>300748.28872713546</v>
      </c>
      <c r="I77" s="54">
        <f t="shared" si="22"/>
        <v>305100.29781140672</v>
      </c>
      <c r="J77" s="54">
        <f t="shared" si="22"/>
        <v>295328.30310842377</v>
      </c>
      <c r="K77" s="54">
        <f t="shared" si="22"/>
        <v>273297.29123974353</v>
      </c>
      <c r="L77" s="54">
        <f t="shared" si="22"/>
        <v>277533.86973912822</v>
      </c>
      <c r="M77" s="54">
        <f t="shared" si="22"/>
        <v>272340.77528161468</v>
      </c>
      <c r="N77" s="54">
        <f t="shared" si="22"/>
        <v>258605.78015370393</v>
      </c>
      <c r="O77" s="54">
        <f t="shared" si="22"/>
        <v>252279.49531198957</v>
      </c>
      <c r="P77" s="54">
        <f t="shared" si="22"/>
        <v>248819.90204172532</v>
      </c>
      <c r="Q77" s="54">
        <f t="shared" si="22"/>
        <v>252475.02015901552</v>
      </c>
      <c r="R77" s="54">
        <f t="shared" si="22"/>
        <v>262343.82362610119</v>
      </c>
      <c r="S77" s="54">
        <f t="shared" si="22"/>
        <v>272824.95993950329</v>
      </c>
      <c r="T77" s="54">
        <f t="shared" si="22"/>
        <v>276173.60711999523</v>
      </c>
      <c r="U77" s="54">
        <f t="shared" si="22"/>
        <v>277527.98996844474</v>
      </c>
      <c r="V77" s="54">
        <f t="shared" si="22"/>
        <v>258656.4544182237</v>
      </c>
      <c r="W77" s="54">
        <f t="shared" si="22"/>
        <v>286184.97743134887</v>
      </c>
      <c r="DA77" s="55"/>
    </row>
    <row r="78" spans="1:105" ht="11.5" customHeight="1" x14ac:dyDescent="0.35">
      <c r="A78" s="56" t="str">
        <f>$A$18</f>
        <v>Road transport</v>
      </c>
      <c r="B78" s="57">
        <f t="shared" ref="B78:W78" si="23">B79+B80</f>
        <v>234238.44382413887</v>
      </c>
      <c r="C78" s="57">
        <f t="shared" si="23"/>
        <v>241143.51289946865</v>
      </c>
      <c r="D78" s="57">
        <f t="shared" si="23"/>
        <v>242186.23517833435</v>
      </c>
      <c r="E78" s="57">
        <f t="shared" si="23"/>
        <v>247478.33529358785</v>
      </c>
      <c r="F78" s="57">
        <f t="shared" si="23"/>
        <v>258623.34643862647</v>
      </c>
      <c r="G78" s="57">
        <f t="shared" si="23"/>
        <v>262641.15006834804</v>
      </c>
      <c r="H78" s="57">
        <f t="shared" si="23"/>
        <v>269153.29286279832</v>
      </c>
      <c r="I78" s="57">
        <f t="shared" si="23"/>
        <v>273238.05137681199</v>
      </c>
      <c r="J78" s="57">
        <f t="shared" si="23"/>
        <v>263481.2281387471</v>
      </c>
      <c r="K78" s="57">
        <f t="shared" si="23"/>
        <v>244267.87295758468</v>
      </c>
      <c r="L78" s="57">
        <f t="shared" si="23"/>
        <v>247996.9813713748</v>
      </c>
      <c r="M78" s="57">
        <f t="shared" si="23"/>
        <v>245059.96857064066</v>
      </c>
      <c r="N78" s="57">
        <f t="shared" si="23"/>
        <v>232658.70154451422</v>
      </c>
      <c r="O78" s="57">
        <f t="shared" si="23"/>
        <v>228040.30765804043</v>
      </c>
      <c r="P78" s="57">
        <f t="shared" si="23"/>
        <v>225915.14530185785</v>
      </c>
      <c r="Q78" s="57">
        <f t="shared" si="23"/>
        <v>228353.10927402932</v>
      </c>
      <c r="R78" s="57">
        <f t="shared" si="23"/>
        <v>238253.53167287604</v>
      </c>
      <c r="S78" s="57">
        <f t="shared" si="23"/>
        <v>247030.30725353851</v>
      </c>
      <c r="T78" s="57">
        <f t="shared" si="23"/>
        <v>250707.2764154324</v>
      </c>
      <c r="U78" s="57">
        <f t="shared" si="23"/>
        <v>252584.05901395748</v>
      </c>
      <c r="V78" s="57">
        <f t="shared" si="23"/>
        <v>232755.15639619878</v>
      </c>
      <c r="W78" s="57">
        <f t="shared" si="23"/>
        <v>257884.53642946377</v>
      </c>
      <c r="DA78" s="58" t="s">
        <v>229</v>
      </c>
    </row>
    <row r="79" spans="1:105" ht="11.5" customHeight="1" x14ac:dyDescent="0.35">
      <c r="A79" s="59" t="str">
        <f>$A$19</f>
        <v>Light commercial vehicles</v>
      </c>
      <c r="B79" s="60">
        <f>[2]TrRoad_emi!B$34</f>
        <v>97348.347844621137</v>
      </c>
      <c r="C79" s="60">
        <f>[2]TrRoad_emi!C$34</f>
        <v>97185.001551388457</v>
      </c>
      <c r="D79" s="60">
        <f>[2]TrRoad_emi!D$34</f>
        <v>96638.587640390717</v>
      </c>
      <c r="E79" s="60">
        <f>[2]TrRoad_emi!E$34</f>
        <v>98004.78869893268</v>
      </c>
      <c r="F79" s="60">
        <f>[2]TrRoad_emi!F$34</f>
        <v>98731.892404879778</v>
      </c>
      <c r="G79" s="60">
        <f>[2]TrRoad_emi!G$34</f>
        <v>99056.40516501735</v>
      </c>
      <c r="H79" s="60">
        <f>[2]TrRoad_emi!H$34</f>
        <v>96358.006497762617</v>
      </c>
      <c r="I79" s="60">
        <f>[2]TrRoad_emi!I$34</f>
        <v>98425.238637340561</v>
      </c>
      <c r="J79" s="60">
        <f>[2]TrRoad_emi!J$34</f>
        <v>95981.007872402071</v>
      </c>
      <c r="K79" s="60">
        <f>[2]TrRoad_emi!K$34</f>
        <v>92900.751375660693</v>
      </c>
      <c r="L79" s="60">
        <f>[2]TrRoad_emi!L$34</f>
        <v>94196.452293227587</v>
      </c>
      <c r="M79" s="60">
        <f>[2]TrRoad_emi!M$34</f>
        <v>94736.843187269697</v>
      </c>
      <c r="N79" s="60">
        <f>[2]TrRoad_emi!N$34</f>
        <v>89403.374248587075</v>
      </c>
      <c r="O79" s="60">
        <f>[2]TrRoad_emi!O$34</f>
        <v>87526.952578500553</v>
      </c>
      <c r="P79" s="60">
        <f>[2]TrRoad_emi!P$34</f>
        <v>88538.966682725571</v>
      </c>
      <c r="Q79" s="60">
        <f>[2]TrRoad_emi!Q$34</f>
        <v>88035.346180975888</v>
      </c>
      <c r="R79" s="60">
        <f>[2]TrRoad_emi!R$34</f>
        <v>87766.743706706271</v>
      </c>
      <c r="S79" s="60">
        <f>[2]TrRoad_emi!S$34</f>
        <v>89012.960144792349</v>
      </c>
      <c r="T79" s="60">
        <f>[2]TrRoad_emi!T$34</f>
        <v>89177.700384572847</v>
      </c>
      <c r="U79" s="60">
        <f>[2]TrRoad_emi!U$34</f>
        <v>89877.104592270596</v>
      </c>
      <c r="V79" s="60">
        <f>[2]TrRoad_emi!V$34</f>
        <v>82698.968441938559</v>
      </c>
      <c r="W79" s="60">
        <f>[2]TrRoad_emi!W$34</f>
        <v>92304.356571621349</v>
      </c>
      <c r="DA79" s="49" t="s">
        <v>230</v>
      </c>
    </row>
    <row r="80" spans="1:105" ht="11.5" customHeight="1" x14ac:dyDescent="0.35">
      <c r="A80" s="59" t="str">
        <f>$A$20</f>
        <v>Heavy goods vehicles</v>
      </c>
      <c r="B80" s="60">
        <f>[2]TrRoad_emi!B$40</f>
        <v>136890.09597951773</v>
      </c>
      <c r="C80" s="60">
        <f>[2]TrRoad_emi!C$40</f>
        <v>143958.51134808018</v>
      </c>
      <c r="D80" s="60">
        <f>[2]TrRoad_emi!D$40</f>
        <v>145547.64753794365</v>
      </c>
      <c r="E80" s="60">
        <f>[2]TrRoad_emi!E$40</f>
        <v>149473.54659465517</v>
      </c>
      <c r="F80" s="60">
        <f>[2]TrRoad_emi!F$40</f>
        <v>159891.45403374668</v>
      </c>
      <c r="G80" s="60">
        <f>[2]TrRoad_emi!G$40</f>
        <v>163584.74490333072</v>
      </c>
      <c r="H80" s="60">
        <f>[2]TrRoad_emi!H$40</f>
        <v>172795.28636503572</v>
      </c>
      <c r="I80" s="60">
        <f>[2]TrRoad_emi!I$40</f>
        <v>174812.81273947144</v>
      </c>
      <c r="J80" s="60">
        <f>[2]TrRoad_emi!J$40</f>
        <v>167500.22026634504</v>
      </c>
      <c r="K80" s="60">
        <f>[2]TrRoad_emi!K$40</f>
        <v>151367.121581924</v>
      </c>
      <c r="L80" s="60">
        <f>[2]TrRoad_emi!L$40</f>
        <v>153800.5290781472</v>
      </c>
      <c r="M80" s="60">
        <f>[2]TrRoad_emi!M$40</f>
        <v>150323.12538337096</v>
      </c>
      <c r="N80" s="60">
        <f>[2]TrRoad_emi!N$40</f>
        <v>143255.32729592716</v>
      </c>
      <c r="O80" s="60">
        <f>[2]TrRoad_emi!O$40</f>
        <v>140513.35507953988</v>
      </c>
      <c r="P80" s="60">
        <f>[2]TrRoad_emi!P$40</f>
        <v>137376.17861913229</v>
      </c>
      <c r="Q80" s="60">
        <f>[2]TrRoad_emi!Q$40</f>
        <v>140317.76309305342</v>
      </c>
      <c r="R80" s="60">
        <f>[2]TrRoad_emi!R$40</f>
        <v>150486.78796616977</v>
      </c>
      <c r="S80" s="60">
        <f>[2]TrRoad_emi!S$40</f>
        <v>158017.34710874615</v>
      </c>
      <c r="T80" s="60">
        <f>[2]TrRoad_emi!T$40</f>
        <v>161529.57603085955</v>
      </c>
      <c r="U80" s="60">
        <f>[2]TrRoad_emi!U$40</f>
        <v>162706.95442168688</v>
      </c>
      <c r="V80" s="60">
        <f>[2]TrRoad_emi!V$40</f>
        <v>150056.18795426024</v>
      </c>
      <c r="W80" s="60">
        <f>[2]TrRoad_emi!W$40</f>
        <v>165580.17985784242</v>
      </c>
      <c r="DA80" s="49" t="s">
        <v>231</v>
      </c>
    </row>
    <row r="81" spans="1:105" ht="11.5" customHeight="1" x14ac:dyDescent="0.35">
      <c r="A81" s="61" t="str">
        <f>$A$21</f>
        <v>Rail transport</v>
      </c>
      <c r="B81" s="62">
        <f>[2]TrRail_emi!B$15</f>
        <v>2924.6644106573522</v>
      </c>
      <c r="C81" s="62">
        <f>[2]TrRail_emi!C$15</f>
        <v>2667.0554036148969</v>
      </c>
      <c r="D81" s="62">
        <f>[2]TrRail_emi!D$15</f>
        <v>2630.6513119249703</v>
      </c>
      <c r="E81" s="62">
        <f>[2]TrRail_emi!E$15</f>
        <v>2443.3243112655286</v>
      </c>
      <c r="F81" s="62">
        <f>[2]TrRail_emi!F$15</f>
        <v>2459.8217273342502</v>
      </c>
      <c r="G81" s="62">
        <f>[2]TrRail_emi!G$15</f>
        <v>2289.946370164163</v>
      </c>
      <c r="H81" s="62">
        <f>[2]TrRail_emi!H$15</f>
        <v>2474.2861435092309</v>
      </c>
      <c r="I81" s="62">
        <f>[2]TrRail_emi!I$15</f>
        <v>2666.6928301651301</v>
      </c>
      <c r="J81" s="62">
        <f>[2]TrRail_emi!J$15</f>
        <v>2562.898204967114</v>
      </c>
      <c r="K81" s="62">
        <f>[2]TrRail_emi!K$15</f>
        <v>2173.3929321759488</v>
      </c>
      <c r="L81" s="62">
        <f>[2]TrRail_emi!L$15</f>
        <v>2394.2592097365259</v>
      </c>
      <c r="M81" s="62">
        <f>[2]TrRail_emi!M$15</f>
        <v>2055.2411772384321</v>
      </c>
      <c r="N81" s="62">
        <f>[2]TrRail_emi!N$15</f>
        <v>1959.3845111250018</v>
      </c>
      <c r="O81" s="62">
        <f>[2]TrRail_emi!O$15</f>
        <v>1537.2549406292082</v>
      </c>
      <c r="P81" s="62">
        <f>[2]TrRail_emi!P$15</f>
        <v>1437.1436852532033</v>
      </c>
      <c r="Q81" s="62">
        <f>[2]TrRail_emi!Q$15</f>
        <v>1415.0582791345846</v>
      </c>
      <c r="R81" s="62">
        <f>[2]TrRail_emi!R$15</f>
        <v>1311.5786182514476</v>
      </c>
      <c r="S81" s="62">
        <f>[2]TrRail_emi!S$15</f>
        <v>1338.2748593820552</v>
      </c>
      <c r="T81" s="62">
        <f>[2]TrRail_emi!T$15</f>
        <v>1345.849739061736</v>
      </c>
      <c r="U81" s="62">
        <f>[2]TrRail_emi!U$15</f>
        <v>1331.045721162564</v>
      </c>
      <c r="V81" s="62">
        <f>[2]TrRail_emi!V$15</f>
        <v>1200.2907066309992</v>
      </c>
      <c r="W81" s="62">
        <f>[2]TrRail_emi!W$15</f>
        <v>1354.1025144771261</v>
      </c>
      <c r="DA81" s="63" t="s">
        <v>232</v>
      </c>
    </row>
    <row r="82" spans="1:105" ht="11.5" customHeight="1" x14ac:dyDescent="0.35">
      <c r="A82" s="61" t="str">
        <f>$A$22</f>
        <v>Aviation</v>
      </c>
      <c r="B82" s="62">
        <f t="shared" ref="B82:W82" si="24">B83+B84+B85</f>
        <v>8002.8193157383976</v>
      </c>
      <c r="C82" s="62">
        <f t="shared" si="24"/>
        <v>7485.7763123461409</v>
      </c>
      <c r="D82" s="62">
        <f t="shared" si="24"/>
        <v>8017.3982858156123</v>
      </c>
      <c r="E82" s="62">
        <f t="shared" si="24"/>
        <v>8473.8300891446779</v>
      </c>
      <c r="F82" s="62">
        <f t="shared" si="24"/>
        <v>9231.3363961921277</v>
      </c>
      <c r="G82" s="62">
        <f t="shared" si="24"/>
        <v>10049.4307324442</v>
      </c>
      <c r="H82" s="62">
        <f t="shared" si="24"/>
        <v>11070.968071630759</v>
      </c>
      <c r="I82" s="62">
        <f t="shared" si="24"/>
        <v>11579.501489765215</v>
      </c>
      <c r="J82" s="62">
        <f t="shared" si="24"/>
        <v>11931.565947395962</v>
      </c>
      <c r="K82" s="62">
        <f t="shared" si="24"/>
        <v>9944.3380661457195</v>
      </c>
      <c r="L82" s="62">
        <f t="shared" si="24"/>
        <v>11105.75261022212</v>
      </c>
      <c r="M82" s="62">
        <f t="shared" si="24"/>
        <v>10853.994197321188</v>
      </c>
      <c r="N82" s="62">
        <f t="shared" si="24"/>
        <v>10053.413788887099</v>
      </c>
      <c r="O82" s="62">
        <f t="shared" si="24"/>
        <v>10035.035251947536</v>
      </c>
      <c r="P82" s="62">
        <f t="shared" si="24"/>
        <v>9718.2558929050847</v>
      </c>
      <c r="Q82" s="62">
        <f t="shared" si="24"/>
        <v>10218.996550814403</v>
      </c>
      <c r="R82" s="62">
        <f t="shared" si="24"/>
        <v>9804.3638699808726</v>
      </c>
      <c r="S82" s="62">
        <f t="shared" si="24"/>
        <v>10818.012008361118</v>
      </c>
      <c r="T82" s="62">
        <f t="shared" si="24"/>
        <v>10902.341299165519</v>
      </c>
      <c r="U82" s="62">
        <f t="shared" si="24"/>
        <v>10216.469242712286</v>
      </c>
      <c r="V82" s="62">
        <f t="shared" si="24"/>
        <v>13279.086498919512</v>
      </c>
      <c r="W82" s="62">
        <f t="shared" si="24"/>
        <v>14590.245333628745</v>
      </c>
      <c r="DA82" s="63" t="s">
        <v>233</v>
      </c>
    </row>
    <row r="83" spans="1:105" ht="11.5" customHeight="1" x14ac:dyDescent="0.35">
      <c r="A83" s="59" t="s">
        <v>69</v>
      </c>
      <c r="B83" s="60">
        <f>[2]TrAvia_emi!B$11</f>
        <v>619.10593170627067</v>
      </c>
      <c r="C83" s="60">
        <f>[2]TrAvia_emi!C$11</f>
        <v>666.38175380204711</v>
      </c>
      <c r="D83" s="60">
        <f>[2]TrAvia_emi!D$11</f>
        <v>578.06169059976503</v>
      </c>
      <c r="E83" s="60">
        <f>[2]TrAvia_emi!E$11</f>
        <v>485.79163263591664</v>
      </c>
      <c r="F83" s="60">
        <f>[2]TrAvia_emi!F$11</f>
        <v>519.63131430857652</v>
      </c>
      <c r="G83" s="60">
        <f>[2]TrAvia_emi!G$11</f>
        <v>519.6430441171151</v>
      </c>
      <c r="H83" s="60">
        <f>[2]TrAvia_emi!H$11</f>
        <v>515.25635110218127</v>
      </c>
      <c r="I83" s="60">
        <f>[2]TrAvia_emi!I$11</f>
        <v>485.40132632794177</v>
      </c>
      <c r="J83" s="60">
        <f>[2]TrAvia_emi!J$11</f>
        <v>475.98304297435209</v>
      </c>
      <c r="K83" s="60">
        <f>[2]TrAvia_emi!K$11</f>
        <v>395.24143402735422</v>
      </c>
      <c r="L83" s="60">
        <f>[2]TrAvia_emi!L$11</f>
        <v>367.02932367315685</v>
      </c>
      <c r="M83" s="60">
        <f>[2]TrAvia_emi!M$11</f>
        <v>344.50188083689449</v>
      </c>
      <c r="N83" s="60">
        <f>[2]TrAvia_emi!N$11</f>
        <v>322.42238652829252</v>
      </c>
      <c r="O83" s="60">
        <f>[2]TrAvia_emi!O$11</f>
        <v>302.5479689110922</v>
      </c>
      <c r="P83" s="60">
        <f>[2]TrAvia_emi!P$11</f>
        <v>316.49300710146423</v>
      </c>
      <c r="Q83" s="60">
        <f>[2]TrAvia_emi!Q$11</f>
        <v>309.96428749595725</v>
      </c>
      <c r="R83" s="60">
        <f>[2]TrAvia_emi!R$11</f>
        <v>281.10201482359059</v>
      </c>
      <c r="S83" s="60">
        <f>[2]TrAvia_emi!S$11</f>
        <v>304.59084217259618</v>
      </c>
      <c r="T83" s="60">
        <f>[2]TrAvia_emi!T$11</f>
        <v>301.71921495453591</v>
      </c>
      <c r="U83" s="60">
        <f>[2]TrAvia_emi!U$11</f>
        <v>306.5973261685354</v>
      </c>
      <c r="V83" s="60">
        <f>[2]TrAvia_emi!V$11</f>
        <v>289.52479786701667</v>
      </c>
      <c r="W83" s="60">
        <f>[2]TrAvia_emi!W$11</f>
        <v>311.76964043830355</v>
      </c>
      <c r="DA83" s="49" t="s">
        <v>234</v>
      </c>
    </row>
    <row r="84" spans="1:105" ht="11.5" customHeight="1" x14ac:dyDescent="0.35">
      <c r="A84" s="59" t="str">
        <f>$A$24</f>
        <v>International - Intra-EEAwUK</v>
      </c>
      <c r="B84" s="60">
        <f>[2]TrAvia_emi!B$12</f>
        <v>865.59567081719774</v>
      </c>
      <c r="C84" s="60">
        <f>[2]TrAvia_emi!C$12</f>
        <v>774.29012187288902</v>
      </c>
      <c r="D84" s="60">
        <f>[2]TrAvia_emi!D$12</f>
        <v>826.5270699912902</v>
      </c>
      <c r="E84" s="60">
        <f>[2]TrAvia_emi!E$12</f>
        <v>821.62828126675777</v>
      </c>
      <c r="F84" s="60">
        <f>[2]TrAvia_emi!F$12</f>
        <v>921.76428671071767</v>
      </c>
      <c r="G84" s="60">
        <f>[2]TrAvia_emi!G$12</f>
        <v>986.51115221186478</v>
      </c>
      <c r="H84" s="60">
        <f>[2]TrAvia_emi!H$12</f>
        <v>1246.5963835253001</v>
      </c>
      <c r="I84" s="60">
        <f>[2]TrAvia_emi!I$12</f>
        <v>1337.1363880722529</v>
      </c>
      <c r="J84" s="60">
        <f>[2]TrAvia_emi!J$12</f>
        <v>1356.8571830358151</v>
      </c>
      <c r="K84" s="60">
        <f>[2]TrAvia_emi!K$12</f>
        <v>1198.1258615209629</v>
      </c>
      <c r="L84" s="60">
        <f>[2]TrAvia_emi!L$12</f>
        <v>1215.9789169937405</v>
      </c>
      <c r="M84" s="60">
        <f>[2]TrAvia_emi!M$12</f>
        <v>1139.8245689592445</v>
      </c>
      <c r="N84" s="60">
        <f>[2]TrAvia_emi!N$12</f>
        <v>1083.5765116399491</v>
      </c>
      <c r="O84" s="60">
        <f>[2]TrAvia_emi!O$12</f>
        <v>1098.0017835998958</v>
      </c>
      <c r="P84" s="60">
        <f>[2]TrAvia_emi!P$12</f>
        <v>1079.3173131221754</v>
      </c>
      <c r="Q84" s="60">
        <f>[2]TrAvia_emi!Q$12</f>
        <v>1124.1162132058994</v>
      </c>
      <c r="R84" s="60">
        <f>[2]TrAvia_emi!R$12</f>
        <v>1050.9073444825642</v>
      </c>
      <c r="S84" s="60">
        <f>[2]TrAvia_emi!S$12</f>
        <v>1240.8986004956434</v>
      </c>
      <c r="T84" s="60">
        <f>[2]TrAvia_emi!T$12</f>
        <v>1275.0949617657818</v>
      </c>
      <c r="U84" s="60">
        <f>[2]TrAvia_emi!U$12</f>
        <v>1281.4604848174911</v>
      </c>
      <c r="V84" s="60">
        <f>[2]TrAvia_emi!V$12</f>
        <v>1309.2901330876728</v>
      </c>
      <c r="W84" s="60">
        <f>[2]TrAvia_emi!W$12</f>
        <v>1751.3312980346718</v>
      </c>
      <c r="DA84" s="49" t="s">
        <v>235</v>
      </c>
    </row>
    <row r="85" spans="1:105" ht="11.5" customHeight="1" x14ac:dyDescent="0.35">
      <c r="A85" s="59" t="str">
        <f>$A$25</f>
        <v>International - Extra-EEAwUK</v>
      </c>
      <c r="B85" s="60">
        <f>[2]TrAvia_emi!B$13</f>
        <v>6518.1177132149296</v>
      </c>
      <c r="C85" s="60">
        <f>[2]TrAvia_emi!C$13</f>
        <v>6045.1044366712049</v>
      </c>
      <c r="D85" s="60">
        <f>[2]TrAvia_emi!D$13</f>
        <v>6612.8095252245566</v>
      </c>
      <c r="E85" s="60">
        <f>[2]TrAvia_emi!E$13</f>
        <v>7166.4101752420029</v>
      </c>
      <c r="F85" s="60">
        <f>[2]TrAvia_emi!F$13</f>
        <v>7789.9407951728335</v>
      </c>
      <c r="G85" s="60">
        <f>[2]TrAvia_emi!G$13</f>
        <v>8543.2765361152196</v>
      </c>
      <c r="H85" s="60">
        <f>[2]TrAvia_emi!H$13</f>
        <v>9309.1153370032771</v>
      </c>
      <c r="I85" s="60">
        <f>[2]TrAvia_emi!I$13</f>
        <v>9756.9637753650204</v>
      </c>
      <c r="J85" s="60">
        <f>[2]TrAvia_emi!J$13</f>
        <v>10098.725721385796</v>
      </c>
      <c r="K85" s="60">
        <f>[2]TrAvia_emi!K$13</f>
        <v>8350.9707705974015</v>
      </c>
      <c r="L85" s="60">
        <f>[2]TrAvia_emi!L$13</f>
        <v>9522.7443695552229</v>
      </c>
      <c r="M85" s="60">
        <f>[2]TrAvia_emi!M$13</f>
        <v>9369.667747525049</v>
      </c>
      <c r="N85" s="60">
        <f>[2]TrAvia_emi!N$13</f>
        <v>8647.4148907188574</v>
      </c>
      <c r="O85" s="60">
        <f>[2]TrAvia_emi!O$13</f>
        <v>8634.4854994365487</v>
      </c>
      <c r="P85" s="60">
        <f>[2]TrAvia_emi!P$13</f>
        <v>8322.4455726814449</v>
      </c>
      <c r="Q85" s="60">
        <f>[2]TrAvia_emi!Q$13</f>
        <v>8784.9160501125461</v>
      </c>
      <c r="R85" s="60">
        <f>[2]TrAvia_emi!R$13</f>
        <v>8472.3545106747169</v>
      </c>
      <c r="S85" s="60">
        <f>[2]TrAvia_emi!S$13</f>
        <v>9272.5225656928778</v>
      </c>
      <c r="T85" s="60">
        <f>[2]TrAvia_emi!T$13</f>
        <v>9325.5271224452008</v>
      </c>
      <c r="U85" s="60">
        <f>[2]TrAvia_emi!U$13</f>
        <v>8628.4114317262593</v>
      </c>
      <c r="V85" s="60">
        <f>[2]TrAvia_emi!V$13</f>
        <v>11680.271567964823</v>
      </c>
      <c r="W85" s="60">
        <f>[2]TrAvia_emi!W$13</f>
        <v>12527.14439515577</v>
      </c>
      <c r="DA85" s="49" t="s">
        <v>236</v>
      </c>
    </row>
    <row r="86" spans="1:105" ht="11.5" customHeight="1" x14ac:dyDescent="0.35">
      <c r="A86" s="61" t="s">
        <v>74</v>
      </c>
      <c r="B86" s="62">
        <f t="shared" ref="B86:W86" si="25">B87+B88</f>
        <v>16453.5649101864</v>
      </c>
      <c r="C86" s="62">
        <f t="shared" si="25"/>
        <v>16976.722517755203</v>
      </c>
      <c r="D86" s="62">
        <f t="shared" si="25"/>
        <v>16818.825758563762</v>
      </c>
      <c r="E86" s="62">
        <f t="shared" si="25"/>
        <v>17683.915366756799</v>
      </c>
      <c r="F86" s="62">
        <f t="shared" si="25"/>
        <v>17966.543014403996</v>
      </c>
      <c r="G86" s="62">
        <f t="shared" si="25"/>
        <v>17638.694104226401</v>
      </c>
      <c r="H86" s="62">
        <f t="shared" si="25"/>
        <v>18049.7416491972</v>
      </c>
      <c r="I86" s="62">
        <f t="shared" si="25"/>
        <v>17616.052114664402</v>
      </c>
      <c r="J86" s="62">
        <f t="shared" si="25"/>
        <v>17352.610817313602</v>
      </c>
      <c r="K86" s="62">
        <f t="shared" si="25"/>
        <v>16911.6872838372</v>
      </c>
      <c r="L86" s="62">
        <f t="shared" si="25"/>
        <v>16036.8765477948</v>
      </c>
      <c r="M86" s="62">
        <f t="shared" si="25"/>
        <v>14371.571336414401</v>
      </c>
      <c r="N86" s="62">
        <f t="shared" si="25"/>
        <v>13934.280309177602</v>
      </c>
      <c r="O86" s="62">
        <f t="shared" si="25"/>
        <v>12666.897461372397</v>
      </c>
      <c r="P86" s="62">
        <f t="shared" si="25"/>
        <v>11749.357161709202</v>
      </c>
      <c r="Q86" s="62">
        <f t="shared" si="25"/>
        <v>12487.8560550372</v>
      </c>
      <c r="R86" s="62">
        <f t="shared" si="25"/>
        <v>12974.3494649928</v>
      </c>
      <c r="S86" s="62">
        <f t="shared" si="25"/>
        <v>13638.365818221602</v>
      </c>
      <c r="T86" s="62">
        <f t="shared" si="25"/>
        <v>13218.139666335601</v>
      </c>
      <c r="U86" s="62">
        <f t="shared" si="25"/>
        <v>13396.4159906124</v>
      </c>
      <c r="V86" s="62">
        <f t="shared" si="25"/>
        <v>11421.9208164744</v>
      </c>
      <c r="W86" s="62">
        <f t="shared" si="25"/>
        <v>12356.093153779198</v>
      </c>
      <c r="DA86" s="63" t="s">
        <v>237</v>
      </c>
    </row>
    <row r="87" spans="1:105" ht="11.5" customHeight="1" x14ac:dyDescent="0.35">
      <c r="A87" s="59" t="str">
        <f>$A$27</f>
        <v>Domestic coastal shipping</v>
      </c>
      <c r="B87" s="60">
        <f>[2]TrNavi_emi!B$4</f>
        <v>13033.345033032783</v>
      </c>
      <c r="C87" s="60">
        <f>[2]TrNavi_emi!C$4</f>
        <v>13555.448306706719</v>
      </c>
      <c r="D87" s="60">
        <f>[2]TrNavi_emi!D$4</f>
        <v>13579.786408939441</v>
      </c>
      <c r="E87" s="60">
        <f>[2]TrNavi_emi!E$4</f>
        <v>14389.555145282937</v>
      </c>
      <c r="F87" s="60">
        <f>[2]TrNavi_emi!F$4</f>
        <v>14606.70171993158</v>
      </c>
      <c r="G87" s="60">
        <f>[2]TrNavi_emi!G$4</f>
        <v>14278.720078508328</v>
      </c>
      <c r="H87" s="60">
        <f>[2]TrNavi_emi!H$4</f>
        <v>15173.947333699658</v>
      </c>
      <c r="I87" s="60">
        <f>[2]TrNavi_emi!I$4</f>
        <v>14295.846643023411</v>
      </c>
      <c r="J87" s="60">
        <f>[2]TrNavi_emi!J$4</f>
        <v>14071.289390646234</v>
      </c>
      <c r="K87" s="60">
        <f>[2]TrNavi_emi!K$4</f>
        <v>13640.3951805497</v>
      </c>
      <c r="L87" s="60">
        <f>[2]TrNavi_emi!L$4</f>
        <v>12623.079396881925</v>
      </c>
      <c r="M87" s="60">
        <f>[2]TrNavi_emi!M$4</f>
        <v>10960.861689950651</v>
      </c>
      <c r="N87" s="60">
        <f>[2]TrNavi_emi!N$4</f>
        <v>10608.573635007559</v>
      </c>
      <c r="O87" s="60">
        <f>[2]TrNavi_emi!O$4</f>
        <v>9052.2439973789642</v>
      </c>
      <c r="P87" s="60">
        <f>[2]TrNavi_emi!P$4</f>
        <v>8444.19041988967</v>
      </c>
      <c r="Q87" s="60">
        <f>[2]TrNavi_emi!Q$4</f>
        <v>9044.8051675702663</v>
      </c>
      <c r="R87" s="60">
        <f>[2]TrNavi_emi!R$4</f>
        <v>9718.346301422167</v>
      </c>
      <c r="S87" s="60">
        <f>[2]TrNavi_emi!S$4</f>
        <v>10541.949773033401</v>
      </c>
      <c r="T87" s="60">
        <f>[2]TrNavi_emi!T$4</f>
        <v>10137.862557903807</v>
      </c>
      <c r="U87" s="60">
        <f>[2]TrNavi_emi!U$4</f>
        <v>10288.975994276843</v>
      </c>
      <c r="V87" s="60">
        <f>[2]TrNavi_emi!V$4</f>
        <v>8655.7401411591454</v>
      </c>
      <c r="W87" s="60">
        <f>[2]TrNavi_emi!W$4</f>
        <v>9343.9260896299784</v>
      </c>
      <c r="DA87" s="49" t="s">
        <v>238</v>
      </c>
    </row>
    <row r="88" spans="1:105" ht="11.5" customHeight="1" x14ac:dyDescent="0.35">
      <c r="A88" s="64" t="str">
        <f>$A$28</f>
        <v>Inland waterways</v>
      </c>
      <c r="B88" s="65">
        <f>[2]TrNavi_emi!B$5</f>
        <v>3420.2198771536168</v>
      </c>
      <c r="C88" s="65">
        <f>[2]TrNavi_emi!C$5</f>
        <v>3421.2742110484819</v>
      </c>
      <c r="D88" s="65">
        <f>[2]TrNavi_emi!D$5</f>
        <v>3239.0393496243205</v>
      </c>
      <c r="E88" s="65">
        <f>[2]TrNavi_emi!E$5</f>
        <v>3294.3602214738621</v>
      </c>
      <c r="F88" s="65">
        <f>[2]TrNavi_emi!F$5</f>
        <v>3359.8412944724173</v>
      </c>
      <c r="G88" s="65">
        <f>[2]TrNavi_emi!G$5</f>
        <v>3359.9740257180742</v>
      </c>
      <c r="H88" s="65">
        <f>[2]TrNavi_emi!H$5</f>
        <v>2875.7943154975405</v>
      </c>
      <c r="I88" s="65">
        <f>[2]TrNavi_emi!I$5</f>
        <v>3320.205471640993</v>
      </c>
      <c r="J88" s="65">
        <f>[2]TrNavi_emi!J$5</f>
        <v>3281.3214266673676</v>
      </c>
      <c r="K88" s="65">
        <f>[2]TrNavi_emi!K$5</f>
        <v>3271.2921032874992</v>
      </c>
      <c r="L88" s="65">
        <f>[2]TrNavi_emi!L$5</f>
        <v>3413.7971509128756</v>
      </c>
      <c r="M88" s="65">
        <f>[2]TrNavi_emi!M$5</f>
        <v>3410.7096464637507</v>
      </c>
      <c r="N88" s="65">
        <f>[2]TrNavi_emi!N$5</f>
        <v>3325.7066741700437</v>
      </c>
      <c r="O88" s="65">
        <f>[2]TrNavi_emi!O$5</f>
        <v>3614.653463993433</v>
      </c>
      <c r="P88" s="65">
        <f>[2]TrNavi_emi!P$5</f>
        <v>3305.1667418195311</v>
      </c>
      <c r="Q88" s="65">
        <f>[2]TrNavi_emi!Q$5</f>
        <v>3443.0508874669335</v>
      </c>
      <c r="R88" s="65">
        <f>[2]TrNavi_emi!R$5</f>
        <v>3256.0031635706318</v>
      </c>
      <c r="S88" s="65">
        <f>[2]TrNavi_emi!S$5</f>
        <v>3096.4160451882008</v>
      </c>
      <c r="T88" s="65">
        <f>[2]TrNavi_emi!T$5</f>
        <v>3080.2771084317937</v>
      </c>
      <c r="U88" s="65">
        <f>[2]TrNavi_emi!U$5</f>
        <v>3107.4399963355572</v>
      </c>
      <c r="V88" s="65">
        <f>[2]TrNavi_emi!V$5</f>
        <v>2766.1806753152537</v>
      </c>
      <c r="W88" s="65">
        <f>[2]TrNavi_emi!W$5</f>
        <v>3012.1670641492192</v>
      </c>
      <c r="DA88" s="66" t="s">
        <v>239</v>
      </c>
    </row>
    <row r="89" spans="1:105" ht="11.5" customHeight="1" x14ac:dyDescent="0.35">
      <c r="A89" s="53" t="s">
        <v>80</v>
      </c>
      <c r="B89" s="54">
        <f t="shared" ref="B89:W89" si="26">B90+B91</f>
        <v>129755.56161528005</v>
      </c>
      <c r="C89" s="54">
        <f t="shared" si="26"/>
        <v>133806.23010072001</v>
      </c>
      <c r="D89" s="54">
        <f t="shared" si="26"/>
        <v>137724.47959464003</v>
      </c>
      <c r="E89" s="54">
        <f t="shared" si="26"/>
        <v>141828.46656731999</v>
      </c>
      <c r="F89" s="54">
        <f t="shared" si="26"/>
        <v>149118.53337720002</v>
      </c>
      <c r="G89" s="54">
        <f t="shared" si="26"/>
        <v>152050.65955524004</v>
      </c>
      <c r="H89" s="54">
        <f t="shared" si="26"/>
        <v>162126.09824760002</v>
      </c>
      <c r="I89" s="54">
        <f t="shared" si="26"/>
        <v>169125.02116560002</v>
      </c>
      <c r="J89" s="54">
        <f t="shared" si="26"/>
        <v>167261.39736156006</v>
      </c>
      <c r="K89" s="54">
        <f t="shared" si="26"/>
        <v>149275.39959288001</v>
      </c>
      <c r="L89" s="54">
        <f t="shared" si="26"/>
        <v>150397.71317532001</v>
      </c>
      <c r="M89" s="54">
        <f t="shared" si="26"/>
        <v>150001.93314683999</v>
      </c>
      <c r="N89" s="54">
        <f t="shared" si="26"/>
        <v>140145.25203395999</v>
      </c>
      <c r="O89" s="54">
        <f t="shared" si="26"/>
        <v>132198.70187844001</v>
      </c>
      <c r="P89" s="54">
        <f t="shared" si="26"/>
        <v>128290.36006152001</v>
      </c>
      <c r="Q89" s="54">
        <f t="shared" si="26"/>
        <v>126949.46024088003</v>
      </c>
      <c r="R89" s="54">
        <f t="shared" si="26"/>
        <v>133313.34478356002</v>
      </c>
      <c r="S89" s="54">
        <f t="shared" si="26"/>
        <v>135426.92027904</v>
      </c>
      <c r="T89" s="54">
        <f t="shared" si="26"/>
        <v>139369.37527439999</v>
      </c>
      <c r="U89" s="54">
        <f t="shared" si="26"/>
        <v>138152.33049348</v>
      </c>
      <c r="V89" s="54">
        <f t="shared" si="26"/>
        <v>124051.62245544001</v>
      </c>
      <c r="W89" s="54">
        <f t="shared" si="26"/>
        <v>129708.69278975998</v>
      </c>
      <c r="DA89" s="55" t="s">
        <v>240</v>
      </c>
    </row>
    <row r="90" spans="1:105" ht="11.5" customHeight="1" x14ac:dyDescent="0.35">
      <c r="A90" s="59" t="str">
        <f>$A$30</f>
        <v>Intra-EEA</v>
      </c>
      <c r="B90" s="60">
        <f>[2]MBunk_emi!B$4</f>
        <v>39341.29552639334</v>
      </c>
      <c r="C90" s="60">
        <f>[2]MBunk_emi!C$4</f>
        <v>39058.965056462359</v>
      </c>
      <c r="D90" s="60">
        <f>[2]MBunk_emi!D$4</f>
        <v>39025.728117452702</v>
      </c>
      <c r="E90" s="60">
        <f>[2]MBunk_emi!E$4</f>
        <v>40526.270057636022</v>
      </c>
      <c r="F90" s="60">
        <f>[2]MBunk_emi!F$4</f>
        <v>41380.554732895383</v>
      </c>
      <c r="G90" s="60">
        <f>[2]MBunk_emi!G$4</f>
        <v>39919.362924376612</v>
      </c>
      <c r="H90" s="60">
        <f>[2]MBunk_emi!H$4</f>
        <v>40881.312246507587</v>
      </c>
      <c r="I90" s="60">
        <f>[2]MBunk_emi!I$4</f>
        <v>41793.062881186052</v>
      </c>
      <c r="J90" s="60">
        <f>[2]MBunk_emi!J$4</f>
        <v>41300.256673044329</v>
      </c>
      <c r="K90" s="60">
        <f>[2]MBunk_emi!K$4</f>
        <v>39514.588974940627</v>
      </c>
      <c r="L90" s="60">
        <f>[2]MBunk_emi!L$4</f>
        <v>40801.142497201341</v>
      </c>
      <c r="M90" s="60">
        <f>[2]MBunk_emi!M$4</f>
        <v>38348.040159686847</v>
      </c>
      <c r="N90" s="60">
        <f>[2]MBunk_emi!N$4</f>
        <v>36136.032058313023</v>
      </c>
      <c r="O90" s="60">
        <f>[2]MBunk_emi!O$4</f>
        <v>34952.77683180914</v>
      </c>
      <c r="P90" s="60">
        <f>[2]MBunk_emi!P$4</f>
        <v>34148.29747576495</v>
      </c>
      <c r="Q90" s="60">
        <f>[2]MBunk_emi!Q$4</f>
        <v>34302.968539557354</v>
      </c>
      <c r="R90" s="60">
        <f>[2]MBunk_emi!R$4</f>
        <v>36929.618380404485</v>
      </c>
      <c r="S90" s="60">
        <f>[2]MBunk_emi!S$4</f>
        <v>37602.006362148786</v>
      </c>
      <c r="T90" s="60">
        <f>[2]MBunk_emi!T$4</f>
        <v>38742.010586336546</v>
      </c>
      <c r="U90" s="60">
        <f>[2]MBunk_emi!U$4</f>
        <v>39088.515076759832</v>
      </c>
      <c r="V90" s="60">
        <f>[2]MBunk_emi!V$4</f>
        <v>32449.858288117768</v>
      </c>
      <c r="W90" s="60">
        <f>[2]MBunk_emi!W$4</f>
        <v>33890.550207780943</v>
      </c>
      <c r="DA90" s="49" t="s">
        <v>241</v>
      </c>
    </row>
    <row r="91" spans="1:105" ht="11.5" customHeight="1" x14ac:dyDescent="0.35">
      <c r="A91" s="67" t="str">
        <f>$A$31</f>
        <v>Extra-EEA</v>
      </c>
      <c r="B91" s="68">
        <f>[2]MBunk_emi!B$5</f>
        <v>90414.26608888671</v>
      </c>
      <c r="C91" s="68">
        <f>[2]MBunk_emi!C$5</f>
        <v>94747.265044257656</v>
      </c>
      <c r="D91" s="68">
        <f>[2]MBunk_emi!D$5</f>
        <v>98698.75147718731</v>
      </c>
      <c r="E91" s="68">
        <f>[2]MBunk_emi!E$5</f>
        <v>101302.19650968398</v>
      </c>
      <c r="F91" s="68">
        <f>[2]MBunk_emi!F$5</f>
        <v>107737.97864430463</v>
      </c>
      <c r="G91" s="68">
        <f>[2]MBunk_emi!G$5</f>
        <v>112131.29663086342</v>
      </c>
      <c r="H91" s="68">
        <f>[2]MBunk_emi!H$5</f>
        <v>121244.78600109242</v>
      </c>
      <c r="I91" s="68">
        <f>[2]MBunk_emi!I$5</f>
        <v>127331.95828441397</v>
      </c>
      <c r="J91" s="68">
        <f>[2]MBunk_emi!J$5</f>
        <v>125961.14068851572</v>
      </c>
      <c r="K91" s="68">
        <f>[2]MBunk_emi!K$5</f>
        <v>109760.81061793938</v>
      </c>
      <c r="L91" s="68">
        <f>[2]MBunk_emi!L$5</f>
        <v>109596.57067811867</v>
      </c>
      <c r="M91" s="68">
        <f>[2]MBunk_emi!M$5</f>
        <v>111653.89298715314</v>
      </c>
      <c r="N91" s="68">
        <f>[2]MBunk_emi!N$5</f>
        <v>104009.21997564696</v>
      </c>
      <c r="O91" s="68">
        <f>[2]MBunk_emi!O$5</f>
        <v>97245.925046630873</v>
      </c>
      <c r="P91" s="68">
        <f>[2]MBunk_emi!P$5</f>
        <v>94142.062585755062</v>
      </c>
      <c r="Q91" s="68">
        <f>[2]MBunk_emi!Q$5</f>
        <v>92646.491701322666</v>
      </c>
      <c r="R91" s="68">
        <f>[2]MBunk_emi!R$5</f>
        <v>96383.726403155524</v>
      </c>
      <c r="S91" s="68">
        <f>[2]MBunk_emi!S$5</f>
        <v>97824.913916891222</v>
      </c>
      <c r="T91" s="68">
        <f>[2]MBunk_emi!T$5</f>
        <v>100627.36468806345</v>
      </c>
      <c r="U91" s="68">
        <f>[2]MBunk_emi!U$5</f>
        <v>99063.815416720172</v>
      </c>
      <c r="V91" s="68">
        <f>[2]MBunk_emi!V$5</f>
        <v>91601.764167322239</v>
      </c>
      <c r="W91" s="68">
        <f>[2]MBunk_emi!W$5</f>
        <v>95818.142581979046</v>
      </c>
      <c r="DA91" s="69" t="s">
        <v>242</v>
      </c>
    </row>
    <row r="92" spans="1:105" x14ac:dyDescent="0.35">
      <c r="A92" s="48"/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DA92" s="49"/>
    </row>
    <row r="93" spans="1:105" ht="11.5" customHeight="1" x14ac:dyDescent="0.35">
      <c r="A93" s="71" t="s">
        <v>82</v>
      </c>
      <c r="B93" s="72"/>
      <c r="C93" s="72"/>
      <c r="D93" s="72"/>
      <c r="E93" s="72"/>
      <c r="F93" s="72"/>
      <c r="G93" s="72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DA93" s="73"/>
    </row>
    <row r="94" spans="1:105" x14ac:dyDescent="0.35">
      <c r="A94" s="48"/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DA94" s="49"/>
    </row>
    <row r="95" spans="1:105" ht="11.5" customHeight="1" x14ac:dyDescent="0.35">
      <c r="A95" s="50" t="s">
        <v>83</v>
      </c>
      <c r="B95" s="74"/>
      <c r="C95" s="74"/>
      <c r="D95" s="74"/>
      <c r="E95" s="74"/>
      <c r="F95" s="74"/>
      <c r="G95" s="74"/>
      <c r="H95" s="74"/>
      <c r="I95" s="74"/>
      <c r="J95" s="74"/>
      <c r="K95" s="74"/>
      <c r="L95" s="74"/>
      <c r="M95" s="74"/>
      <c r="N95" s="74"/>
      <c r="O95" s="74"/>
      <c r="P95" s="74"/>
      <c r="Q95" s="74"/>
      <c r="R95" s="74"/>
      <c r="S95" s="74"/>
      <c r="T95" s="74"/>
      <c r="U95" s="74"/>
      <c r="V95" s="74"/>
      <c r="W95" s="74"/>
      <c r="DA95" s="52"/>
    </row>
    <row r="96" spans="1:105" ht="11.5" customHeight="1" x14ac:dyDescent="0.35">
      <c r="A96" s="53" t="s">
        <v>84</v>
      </c>
      <c r="B96" s="75">
        <f t="shared" ref="B96:W107" si="27">IF(B4=0,0,B4/B$4)</f>
        <v>1</v>
      </c>
      <c r="C96" s="75">
        <f t="shared" si="27"/>
        <v>1</v>
      </c>
      <c r="D96" s="75">
        <f t="shared" si="27"/>
        <v>1</v>
      </c>
      <c r="E96" s="75">
        <f t="shared" si="27"/>
        <v>1</v>
      </c>
      <c r="F96" s="75">
        <f t="shared" si="27"/>
        <v>1</v>
      </c>
      <c r="G96" s="75">
        <f t="shared" si="27"/>
        <v>1</v>
      </c>
      <c r="H96" s="75">
        <f t="shared" si="27"/>
        <v>1</v>
      </c>
      <c r="I96" s="75">
        <f t="shared" si="27"/>
        <v>1</v>
      </c>
      <c r="J96" s="75">
        <f t="shared" si="27"/>
        <v>1</v>
      </c>
      <c r="K96" s="75">
        <f t="shared" si="27"/>
        <v>1</v>
      </c>
      <c r="L96" s="75">
        <f t="shared" si="27"/>
        <v>1</v>
      </c>
      <c r="M96" s="75">
        <f t="shared" si="27"/>
        <v>1</v>
      </c>
      <c r="N96" s="75">
        <f t="shared" si="27"/>
        <v>1</v>
      </c>
      <c r="O96" s="75">
        <f t="shared" si="27"/>
        <v>1</v>
      </c>
      <c r="P96" s="75">
        <f t="shared" si="27"/>
        <v>1</v>
      </c>
      <c r="Q96" s="75">
        <f t="shared" si="27"/>
        <v>1</v>
      </c>
      <c r="R96" s="75">
        <f t="shared" si="27"/>
        <v>1</v>
      </c>
      <c r="S96" s="75">
        <f t="shared" si="27"/>
        <v>1</v>
      </c>
      <c r="T96" s="75">
        <f t="shared" si="27"/>
        <v>1</v>
      </c>
      <c r="U96" s="75">
        <f t="shared" si="27"/>
        <v>1</v>
      </c>
      <c r="V96" s="75">
        <f t="shared" si="27"/>
        <v>1</v>
      </c>
      <c r="W96" s="75">
        <f t="shared" si="27"/>
        <v>1</v>
      </c>
      <c r="DA96" s="55"/>
    </row>
    <row r="97" spans="1:105" ht="11.5" customHeight="1" x14ac:dyDescent="0.35">
      <c r="A97" s="56" t="str">
        <f>$A$5</f>
        <v>Road transport</v>
      </c>
      <c r="B97" s="76">
        <f t="shared" si="27"/>
        <v>0.79127094499231254</v>
      </c>
      <c r="C97" s="76">
        <f t="shared" si="27"/>
        <v>0.79589227699324638</v>
      </c>
      <c r="D97" s="76">
        <f t="shared" si="27"/>
        <v>0.8005277258434601</v>
      </c>
      <c r="E97" s="76">
        <f t="shared" si="27"/>
        <v>0.7999965673779047</v>
      </c>
      <c r="F97" s="76">
        <f t="shared" si="27"/>
        <v>0.79027359565083788</v>
      </c>
      <c r="G97" s="76">
        <f t="shared" si="27"/>
        <v>0.77875716786456328</v>
      </c>
      <c r="H97" s="76">
        <f t="shared" si="27"/>
        <v>0.7732692531662001</v>
      </c>
      <c r="I97" s="76">
        <f t="shared" si="27"/>
        <v>0.76716895077170355</v>
      </c>
      <c r="J97" s="76">
        <f t="shared" si="27"/>
        <v>0.7650832484377369</v>
      </c>
      <c r="K97" s="76">
        <f t="shared" si="27"/>
        <v>0.77512201184429608</v>
      </c>
      <c r="L97" s="76">
        <f t="shared" si="27"/>
        <v>0.76732816667926651</v>
      </c>
      <c r="M97" s="76">
        <f t="shared" si="27"/>
        <v>0.75750194986732677</v>
      </c>
      <c r="N97" s="76">
        <f t="shared" si="27"/>
        <v>0.75450759431584657</v>
      </c>
      <c r="O97" s="76">
        <f t="shared" si="27"/>
        <v>0.75402336775750178</v>
      </c>
      <c r="P97" s="76">
        <f t="shared" si="27"/>
        <v>0.75018259237922402</v>
      </c>
      <c r="Q97" s="76">
        <f t="shared" si="27"/>
        <v>0.74888872476656654</v>
      </c>
      <c r="R97" s="76">
        <f t="shared" si="27"/>
        <v>0.74343627162441628</v>
      </c>
      <c r="S97" s="76">
        <f t="shared" si="27"/>
        <v>0.73098001315633743</v>
      </c>
      <c r="T97" s="76">
        <f t="shared" si="27"/>
        <v>0.72040259426535158</v>
      </c>
      <c r="U97" s="76">
        <f t="shared" si="27"/>
        <v>0.71412694505225505</v>
      </c>
      <c r="V97" s="76">
        <f t="shared" si="27"/>
        <v>0.85078451427971813</v>
      </c>
      <c r="W97" s="76">
        <f t="shared" si="27"/>
        <v>0.82997170396808584</v>
      </c>
      <c r="DA97" s="58"/>
    </row>
    <row r="98" spans="1:105" ht="11.5" customHeight="1" x14ac:dyDescent="0.35">
      <c r="A98" s="59" t="str">
        <f>$A$6</f>
        <v>Powered two-wheelers</v>
      </c>
      <c r="B98" s="77">
        <f t="shared" si="27"/>
        <v>1.8395983750282448E-2</v>
      </c>
      <c r="C98" s="77">
        <f t="shared" si="27"/>
        <v>1.8903425949789786E-2</v>
      </c>
      <c r="D98" s="77">
        <f t="shared" si="27"/>
        <v>1.9020824449047388E-2</v>
      </c>
      <c r="E98" s="77">
        <f t="shared" si="27"/>
        <v>1.9376352767099446E-2</v>
      </c>
      <c r="F98" s="77">
        <f t="shared" si="27"/>
        <v>1.9505079897815462E-2</v>
      </c>
      <c r="G98" s="77">
        <f t="shared" si="27"/>
        <v>1.9998848650847351E-2</v>
      </c>
      <c r="H98" s="77">
        <f t="shared" si="27"/>
        <v>1.9518131240413517E-2</v>
      </c>
      <c r="I98" s="77">
        <f t="shared" si="27"/>
        <v>1.8467291782447437E-2</v>
      </c>
      <c r="J98" s="77">
        <f t="shared" si="27"/>
        <v>1.9156554662846572E-2</v>
      </c>
      <c r="K98" s="77">
        <f t="shared" si="27"/>
        <v>1.8769360904077059E-2</v>
      </c>
      <c r="L98" s="77">
        <f t="shared" si="27"/>
        <v>1.9045631181197818E-2</v>
      </c>
      <c r="M98" s="77">
        <f t="shared" si="27"/>
        <v>1.9558670096862105E-2</v>
      </c>
      <c r="N98" s="77">
        <f t="shared" si="27"/>
        <v>1.9241789360490823E-2</v>
      </c>
      <c r="O98" s="77">
        <f t="shared" si="27"/>
        <v>1.8906185233615917E-2</v>
      </c>
      <c r="P98" s="77">
        <f t="shared" si="27"/>
        <v>1.9036731843664178E-2</v>
      </c>
      <c r="Q98" s="77">
        <f t="shared" si="27"/>
        <v>1.8566925793162076E-2</v>
      </c>
      <c r="R98" s="77">
        <f t="shared" si="27"/>
        <v>1.8280533044196818E-2</v>
      </c>
      <c r="S98" s="77">
        <f t="shared" si="27"/>
        <v>1.6920117733926123E-2</v>
      </c>
      <c r="T98" s="77">
        <f t="shared" si="27"/>
        <v>1.580898126856909E-2</v>
      </c>
      <c r="U98" s="77">
        <f t="shared" si="27"/>
        <v>1.6477330205319739E-2</v>
      </c>
      <c r="V98" s="77">
        <f t="shared" si="27"/>
        <v>2.1887038405192509E-2</v>
      </c>
      <c r="W98" s="77">
        <f t="shared" si="27"/>
        <v>2.0833400052083458E-2</v>
      </c>
      <c r="DA98" s="49"/>
    </row>
    <row r="99" spans="1:105" ht="11.5" customHeight="1" x14ac:dyDescent="0.35">
      <c r="A99" s="59" t="str">
        <f>$A$7</f>
        <v>Passenger cars</v>
      </c>
      <c r="B99" s="77">
        <f t="shared" si="27"/>
        <v>0.68056469361220429</v>
      </c>
      <c r="C99" s="77">
        <f t="shared" si="27"/>
        <v>0.68594883719666666</v>
      </c>
      <c r="D99" s="77">
        <f t="shared" si="27"/>
        <v>0.69156314944279185</v>
      </c>
      <c r="E99" s="77">
        <f t="shared" si="27"/>
        <v>0.69110850431213455</v>
      </c>
      <c r="F99" s="77">
        <f t="shared" si="27"/>
        <v>0.68271853166431806</v>
      </c>
      <c r="G99" s="77">
        <f t="shared" si="27"/>
        <v>0.67167468026624599</v>
      </c>
      <c r="H99" s="77">
        <f t="shared" si="27"/>
        <v>0.6679428514588488</v>
      </c>
      <c r="I99" s="77">
        <f t="shared" si="27"/>
        <v>0.66284908644562501</v>
      </c>
      <c r="J99" s="77">
        <f t="shared" si="27"/>
        <v>0.6596634306763377</v>
      </c>
      <c r="K99" s="77">
        <f t="shared" si="27"/>
        <v>0.67401743351080934</v>
      </c>
      <c r="L99" s="77">
        <f t="shared" si="27"/>
        <v>0.66734730823448518</v>
      </c>
      <c r="M99" s="77">
        <f t="shared" si="27"/>
        <v>0.65703349809754719</v>
      </c>
      <c r="N99" s="77">
        <f t="shared" si="27"/>
        <v>0.65460949425875836</v>
      </c>
      <c r="O99" s="77">
        <f t="shared" si="27"/>
        <v>0.65578872036382085</v>
      </c>
      <c r="P99" s="77">
        <f t="shared" si="27"/>
        <v>0.65386391188936599</v>
      </c>
      <c r="Q99" s="77">
        <f t="shared" si="27"/>
        <v>0.65240975030214865</v>
      </c>
      <c r="R99" s="77">
        <f t="shared" si="27"/>
        <v>0.64860529184490179</v>
      </c>
      <c r="S99" s="77">
        <f t="shared" si="27"/>
        <v>0.64182925132122437</v>
      </c>
      <c r="T99" s="77">
        <f t="shared" si="27"/>
        <v>0.63312408523417429</v>
      </c>
      <c r="U99" s="77">
        <f t="shared" si="27"/>
        <v>0.62691922449716031</v>
      </c>
      <c r="V99" s="77">
        <f t="shared" si="27"/>
        <v>0.76564634968821177</v>
      </c>
      <c r="W99" s="77">
        <f t="shared" si="27"/>
        <v>0.74411461371437837</v>
      </c>
      <c r="DA99" s="49"/>
    </row>
    <row r="100" spans="1:105" ht="11.5" customHeight="1" x14ac:dyDescent="0.35">
      <c r="A100" s="59" t="str">
        <f>$A$8</f>
        <v>Motor coaches, buses and trolley buses</v>
      </c>
      <c r="B100" s="77">
        <f t="shared" si="27"/>
        <v>9.231026762982586E-2</v>
      </c>
      <c r="C100" s="77">
        <f t="shared" si="27"/>
        <v>9.1040013846789947E-2</v>
      </c>
      <c r="D100" s="77">
        <f t="shared" si="27"/>
        <v>8.9943751951620826E-2</v>
      </c>
      <c r="E100" s="77">
        <f t="shared" si="27"/>
        <v>8.9511710298670652E-2</v>
      </c>
      <c r="F100" s="77">
        <f t="shared" si="27"/>
        <v>8.8049984088704375E-2</v>
      </c>
      <c r="G100" s="77">
        <f t="shared" si="27"/>
        <v>8.7083638947469941E-2</v>
      </c>
      <c r="H100" s="77">
        <f t="shared" si="27"/>
        <v>8.5808270466937731E-2</v>
      </c>
      <c r="I100" s="77">
        <f t="shared" si="27"/>
        <v>8.5852572543631114E-2</v>
      </c>
      <c r="J100" s="77">
        <f t="shared" si="27"/>
        <v>8.6263263098552589E-2</v>
      </c>
      <c r="K100" s="77">
        <f t="shared" si="27"/>
        <v>8.2335217429409746E-2</v>
      </c>
      <c r="L100" s="77">
        <f t="shared" si="27"/>
        <v>8.0935227263583528E-2</v>
      </c>
      <c r="M100" s="77">
        <f t="shared" si="27"/>
        <v>8.0909781672917472E-2</v>
      </c>
      <c r="N100" s="77">
        <f t="shared" si="27"/>
        <v>8.06563106965974E-2</v>
      </c>
      <c r="O100" s="77">
        <f t="shared" si="27"/>
        <v>7.9328462160065075E-2</v>
      </c>
      <c r="P100" s="77">
        <f t="shared" si="27"/>
        <v>7.728194864619381E-2</v>
      </c>
      <c r="Q100" s="77">
        <f t="shared" si="27"/>
        <v>7.7912048671255771E-2</v>
      </c>
      <c r="R100" s="77">
        <f t="shared" si="27"/>
        <v>7.6550446735317745E-2</v>
      </c>
      <c r="S100" s="77">
        <f t="shared" si="27"/>
        <v>7.2230644101186889E-2</v>
      </c>
      <c r="T100" s="77">
        <f t="shared" si="27"/>
        <v>7.1469527762608093E-2</v>
      </c>
      <c r="U100" s="77">
        <f t="shared" si="27"/>
        <v>7.0730390349774949E-2</v>
      </c>
      <c r="V100" s="77">
        <f t="shared" si="27"/>
        <v>6.325112618631383E-2</v>
      </c>
      <c r="W100" s="77">
        <f t="shared" si="27"/>
        <v>6.502369020162406E-2</v>
      </c>
      <c r="DA100" s="49"/>
    </row>
    <row r="101" spans="1:105" ht="11.5" customHeight="1" x14ac:dyDescent="0.35">
      <c r="A101" s="61" t="str">
        <f>$A$9</f>
        <v>Rail, metro and tram</v>
      </c>
      <c r="B101" s="78">
        <f t="shared" si="27"/>
        <v>7.5567077365487734E-2</v>
      </c>
      <c r="C101" s="78">
        <f t="shared" si="27"/>
        <v>7.5026460042330725E-2</v>
      </c>
      <c r="D101" s="78">
        <f t="shared" si="27"/>
        <v>7.3235663924877306E-2</v>
      </c>
      <c r="E101" s="78">
        <f t="shared" si="27"/>
        <v>7.1701516411188063E-2</v>
      </c>
      <c r="F101" s="78">
        <f t="shared" si="27"/>
        <v>7.1189984221086175E-2</v>
      </c>
      <c r="G101" s="78">
        <f t="shared" si="27"/>
        <v>7.2251723565792556E-2</v>
      </c>
      <c r="H101" s="78">
        <f t="shared" si="27"/>
        <v>7.3074452989315739E-2</v>
      </c>
      <c r="I101" s="78">
        <f t="shared" si="27"/>
        <v>7.251599540039641E-2</v>
      </c>
      <c r="J101" s="78">
        <f t="shared" si="27"/>
        <v>7.4605846636749462E-2</v>
      </c>
      <c r="K101" s="78">
        <f t="shared" si="27"/>
        <v>7.3412513146124139E-2</v>
      </c>
      <c r="L101" s="78">
        <f t="shared" si="27"/>
        <v>7.3497241240937289E-2</v>
      </c>
      <c r="M101" s="78">
        <f t="shared" si="27"/>
        <v>7.4047524978066812E-2</v>
      </c>
      <c r="N101" s="78">
        <f t="shared" si="27"/>
        <v>7.5224543273447214E-2</v>
      </c>
      <c r="O101" s="78">
        <f t="shared" si="27"/>
        <v>7.4874345588043706E-2</v>
      </c>
      <c r="P101" s="78">
        <f t="shared" si="27"/>
        <v>7.4365314111471487E-2</v>
      </c>
      <c r="Q101" s="78">
        <f t="shared" si="27"/>
        <v>7.3175436931183765E-2</v>
      </c>
      <c r="R101" s="78">
        <f t="shared" si="27"/>
        <v>7.2435218660907977E-2</v>
      </c>
      <c r="S101" s="78">
        <f t="shared" si="27"/>
        <v>7.3372407264608794E-2</v>
      </c>
      <c r="T101" s="78">
        <f t="shared" si="27"/>
        <v>7.3312218280214198E-2</v>
      </c>
      <c r="U101" s="78">
        <f t="shared" si="27"/>
        <v>7.3930298118360063E-2</v>
      </c>
      <c r="V101" s="78">
        <f t="shared" si="27"/>
        <v>6.0710588944812335E-2</v>
      </c>
      <c r="W101" s="78">
        <f t="shared" si="27"/>
        <v>6.3784574495261273E-2</v>
      </c>
      <c r="DA101" s="63"/>
    </row>
    <row r="102" spans="1:105" ht="11.5" customHeight="1" x14ac:dyDescent="0.35">
      <c r="A102" s="59" t="str">
        <f>$A$10</f>
        <v>Metro and tram, urban light rail</v>
      </c>
      <c r="B102" s="77">
        <f t="shared" si="27"/>
        <v>1.2614110320278871E-2</v>
      </c>
      <c r="C102" s="77">
        <f t="shared" si="27"/>
        <v>1.2590246705311219E-2</v>
      </c>
      <c r="D102" s="77">
        <f t="shared" si="27"/>
        <v>1.2661177629803332E-2</v>
      </c>
      <c r="E102" s="77">
        <f t="shared" si="27"/>
        <v>1.2676904974167864E-2</v>
      </c>
      <c r="F102" s="77">
        <f t="shared" si="27"/>
        <v>1.2753455534803317E-2</v>
      </c>
      <c r="G102" s="77">
        <f t="shared" si="27"/>
        <v>1.2798609252392217E-2</v>
      </c>
      <c r="H102" s="77">
        <f t="shared" si="27"/>
        <v>1.2855237152592989E-2</v>
      </c>
      <c r="I102" s="77">
        <f t="shared" si="27"/>
        <v>1.2906341013895758E-2</v>
      </c>
      <c r="J102" s="77">
        <f t="shared" si="27"/>
        <v>1.327585274117881E-2</v>
      </c>
      <c r="K102" s="77">
        <f t="shared" si="27"/>
        <v>1.3195695510118604E-2</v>
      </c>
      <c r="L102" s="77">
        <f t="shared" si="27"/>
        <v>1.3565454463060483E-2</v>
      </c>
      <c r="M102" s="77">
        <f t="shared" si="27"/>
        <v>1.3530509086683554E-2</v>
      </c>
      <c r="N102" s="77">
        <f t="shared" si="27"/>
        <v>1.3797946380140263E-2</v>
      </c>
      <c r="O102" s="77">
        <f t="shared" si="27"/>
        <v>1.3542231840059293E-2</v>
      </c>
      <c r="P102" s="77">
        <f t="shared" si="27"/>
        <v>1.3341319000269152E-2</v>
      </c>
      <c r="Q102" s="77">
        <f t="shared" si="27"/>
        <v>1.268771952949105E-2</v>
      </c>
      <c r="R102" s="77">
        <f t="shared" si="27"/>
        <v>1.272675613767223E-2</v>
      </c>
      <c r="S102" s="77">
        <f t="shared" si="27"/>
        <v>1.2730238208881039E-2</v>
      </c>
      <c r="T102" s="77">
        <f t="shared" si="27"/>
        <v>1.2819235333486091E-2</v>
      </c>
      <c r="U102" s="77">
        <f t="shared" si="27"/>
        <v>1.2562503631628572E-2</v>
      </c>
      <c r="V102" s="77">
        <f t="shared" si="27"/>
        <v>1.1240812975668531E-2</v>
      </c>
      <c r="W102" s="77">
        <f t="shared" si="27"/>
        <v>1.1044426974571381E-2</v>
      </c>
      <c r="DA102" s="49"/>
    </row>
    <row r="103" spans="1:105" ht="11.5" customHeight="1" x14ac:dyDescent="0.35">
      <c r="A103" s="59" t="str">
        <f>$A$11</f>
        <v>Conventional passenger trains</v>
      </c>
      <c r="B103" s="77">
        <f t="shared" si="27"/>
        <v>5.2021109057550523E-2</v>
      </c>
      <c r="C103" s="77">
        <f t="shared" si="27"/>
        <v>5.0473031028890829E-2</v>
      </c>
      <c r="D103" s="77">
        <f t="shared" si="27"/>
        <v>4.8163304912605398E-2</v>
      </c>
      <c r="E103" s="77">
        <f t="shared" si="27"/>
        <v>4.6261432842283179E-2</v>
      </c>
      <c r="F103" s="77">
        <f t="shared" si="27"/>
        <v>4.5115273900971614E-2</v>
      </c>
      <c r="G103" s="77">
        <f t="shared" si="27"/>
        <v>4.5515860189064179E-2</v>
      </c>
      <c r="H103" s="77">
        <f t="shared" si="27"/>
        <v>4.5842435858083848E-2</v>
      </c>
      <c r="I103" s="77">
        <f t="shared" si="27"/>
        <v>4.4851956239634699E-2</v>
      </c>
      <c r="J103" s="77">
        <f t="shared" si="27"/>
        <v>4.5120385780976754E-2</v>
      </c>
      <c r="K103" s="77">
        <f t="shared" si="27"/>
        <v>4.2886289946727878E-2</v>
      </c>
      <c r="L103" s="77">
        <f t="shared" si="27"/>
        <v>4.2331792375091673E-2</v>
      </c>
      <c r="M103" s="77">
        <f t="shared" si="27"/>
        <v>4.3240780547123318E-2</v>
      </c>
      <c r="N103" s="77">
        <f t="shared" si="27"/>
        <v>4.3749254461149328E-2</v>
      </c>
      <c r="O103" s="77">
        <f t="shared" si="27"/>
        <v>4.3583709123934361E-2</v>
      </c>
      <c r="P103" s="77">
        <f t="shared" si="27"/>
        <v>4.3722174701952006E-2</v>
      </c>
      <c r="Q103" s="77">
        <f t="shared" si="27"/>
        <v>4.3041070257994321E-2</v>
      </c>
      <c r="R103" s="77">
        <f t="shared" si="27"/>
        <v>4.2040443866509285E-2</v>
      </c>
      <c r="S103" s="77">
        <f t="shared" si="27"/>
        <v>4.1842207924488846E-2</v>
      </c>
      <c r="T103" s="77">
        <f t="shared" si="27"/>
        <v>4.1760249995913989E-2</v>
      </c>
      <c r="U103" s="77">
        <f t="shared" si="27"/>
        <v>4.2114190966967252E-2</v>
      </c>
      <c r="V103" s="77">
        <f t="shared" si="27"/>
        <v>3.4367086163412525E-2</v>
      </c>
      <c r="W103" s="77">
        <f t="shared" si="27"/>
        <v>3.5794146556964661E-2</v>
      </c>
      <c r="DA103" s="49"/>
    </row>
    <row r="104" spans="1:105" ht="11.5" customHeight="1" x14ac:dyDescent="0.35">
      <c r="A104" s="59" t="str">
        <f>$A$12</f>
        <v>High speed passenger trains</v>
      </c>
      <c r="B104" s="77">
        <f t="shared" si="27"/>
        <v>1.0931857987658337E-2</v>
      </c>
      <c r="C104" s="77">
        <f t="shared" si="27"/>
        <v>1.1963182308128676E-2</v>
      </c>
      <c r="D104" s="77">
        <f t="shared" si="27"/>
        <v>1.2411181382468574E-2</v>
      </c>
      <c r="E104" s="77">
        <f t="shared" si="27"/>
        <v>1.2763178594737015E-2</v>
      </c>
      <c r="F104" s="77">
        <f t="shared" si="27"/>
        <v>1.3321254785311239E-2</v>
      </c>
      <c r="G104" s="77">
        <f t="shared" si="27"/>
        <v>1.3937254124336161E-2</v>
      </c>
      <c r="H104" s="77">
        <f t="shared" si="27"/>
        <v>1.4376779978638904E-2</v>
      </c>
      <c r="I104" s="77">
        <f t="shared" si="27"/>
        <v>1.4757698146865951E-2</v>
      </c>
      <c r="J104" s="77">
        <f t="shared" si="27"/>
        <v>1.6209608114593887E-2</v>
      </c>
      <c r="K104" s="77">
        <f t="shared" si="27"/>
        <v>1.7330527689277658E-2</v>
      </c>
      <c r="L104" s="77">
        <f t="shared" si="27"/>
        <v>1.7599994402785143E-2</v>
      </c>
      <c r="M104" s="77">
        <f t="shared" si="27"/>
        <v>1.7276235344259948E-2</v>
      </c>
      <c r="N104" s="77">
        <f t="shared" si="27"/>
        <v>1.7677342432157631E-2</v>
      </c>
      <c r="O104" s="77">
        <f t="shared" si="27"/>
        <v>1.774840462405005E-2</v>
      </c>
      <c r="P104" s="77">
        <f t="shared" si="27"/>
        <v>1.7301820409250331E-2</v>
      </c>
      <c r="Q104" s="77">
        <f t="shared" si="27"/>
        <v>1.7446647143698386E-2</v>
      </c>
      <c r="R104" s="77">
        <f t="shared" si="27"/>
        <v>1.7668018656726455E-2</v>
      </c>
      <c r="S104" s="77">
        <f t="shared" si="27"/>
        <v>1.8799961131238906E-2</v>
      </c>
      <c r="T104" s="77">
        <f t="shared" si="27"/>
        <v>1.8732732950814131E-2</v>
      </c>
      <c r="U104" s="77">
        <f t="shared" si="27"/>
        <v>1.9253603519764247E-2</v>
      </c>
      <c r="V104" s="77">
        <f t="shared" si="27"/>
        <v>1.5102689805731276E-2</v>
      </c>
      <c r="W104" s="77">
        <f t="shared" si="27"/>
        <v>1.6946000963725224E-2</v>
      </c>
      <c r="DA104" s="49"/>
    </row>
    <row r="105" spans="1:105" ht="11.5" customHeight="1" x14ac:dyDescent="0.35">
      <c r="A105" s="61" t="str">
        <f>$A$13</f>
        <v>Aviation</v>
      </c>
      <c r="B105" s="78">
        <f t="shared" si="27"/>
        <v>0.13316197764219989</v>
      </c>
      <c r="C105" s="78">
        <f t="shared" si="27"/>
        <v>0.1290812629644229</v>
      </c>
      <c r="D105" s="78">
        <f t="shared" si="27"/>
        <v>0.12623661023166263</v>
      </c>
      <c r="E105" s="78">
        <f t="shared" si="27"/>
        <v>0.12830191621090717</v>
      </c>
      <c r="F105" s="78">
        <f t="shared" si="27"/>
        <v>0.13853642012807585</v>
      </c>
      <c r="G105" s="78">
        <f t="shared" si="27"/>
        <v>0.14899110856964418</v>
      </c>
      <c r="H105" s="78">
        <f t="shared" si="27"/>
        <v>0.15365629384448426</v>
      </c>
      <c r="I105" s="78">
        <f t="shared" si="27"/>
        <v>0.16031505382790018</v>
      </c>
      <c r="J105" s="78">
        <f t="shared" si="27"/>
        <v>0.16031090492551364</v>
      </c>
      <c r="K105" s="78">
        <f t="shared" si="27"/>
        <v>0.15146547500957977</v>
      </c>
      <c r="L105" s="78">
        <f t="shared" si="27"/>
        <v>0.15917459207979623</v>
      </c>
      <c r="M105" s="78">
        <f t="shared" si="27"/>
        <v>0.1684505251546064</v>
      </c>
      <c r="N105" s="78">
        <f t="shared" si="27"/>
        <v>0.1702678624107061</v>
      </c>
      <c r="O105" s="78">
        <f t="shared" si="27"/>
        <v>0.17110228665445457</v>
      </c>
      <c r="P105" s="78">
        <f t="shared" si="27"/>
        <v>0.17545209350930455</v>
      </c>
      <c r="Q105" s="78">
        <f t="shared" si="27"/>
        <v>0.17793583830224965</v>
      </c>
      <c r="R105" s="78">
        <f t="shared" si="27"/>
        <v>0.1841285097146757</v>
      </c>
      <c r="S105" s="78">
        <f t="shared" si="27"/>
        <v>0.19564757957905379</v>
      </c>
      <c r="T105" s="78">
        <f t="shared" si="27"/>
        <v>0.20628518745443422</v>
      </c>
      <c r="U105" s="78">
        <f t="shared" si="27"/>
        <v>0.21194275682938496</v>
      </c>
      <c r="V105" s="78">
        <f t="shared" si="27"/>
        <v>8.8504896775469452E-2</v>
      </c>
      <c r="W105" s="78">
        <f t="shared" si="27"/>
        <v>0.10624372153665287</v>
      </c>
      <c r="DA105" s="63"/>
    </row>
    <row r="106" spans="1:105" ht="11.5" customHeight="1" x14ac:dyDescent="0.35">
      <c r="A106" s="59" t="str">
        <f>$A$14</f>
        <v>Domestic</v>
      </c>
      <c r="B106" s="77">
        <f t="shared" si="27"/>
        <v>1.530901375910349E-2</v>
      </c>
      <c r="C106" s="77">
        <f t="shared" si="27"/>
        <v>1.4591900827170641E-2</v>
      </c>
      <c r="D106" s="77">
        <f t="shared" si="27"/>
        <v>1.4661301794001071E-2</v>
      </c>
      <c r="E106" s="77">
        <f t="shared" si="27"/>
        <v>1.490153163480645E-2</v>
      </c>
      <c r="F106" s="77">
        <f t="shared" si="27"/>
        <v>1.5134024806458582E-2</v>
      </c>
      <c r="G106" s="77">
        <f t="shared" si="27"/>
        <v>1.5719711327292135E-2</v>
      </c>
      <c r="H106" s="77">
        <f t="shared" si="27"/>
        <v>1.608857600555353E-2</v>
      </c>
      <c r="I106" s="77">
        <f t="shared" si="27"/>
        <v>1.6900677329260344E-2</v>
      </c>
      <c r="J106" s="77">
        <f t="shared" si="27"/>
        <v>1.6137154738423622E-2</v>
      </c>
      <c r="K106" s="77">
        <f t="shared" si="27"/>
        <v>1.5779576386191815E-2</v>
      </c>
      <c r="L106" s="77">
        <f t="shared" si="27"/>
        <v>1.6229544516560779E-2</v>
      </c>
      <c r="M106" s="77">
        <f t="shared" si="27"/>
        <v>1.6597270762466417E-2</v>
      </c>
      <c r="N106" s="77">
        <f t="shared" si="27"/>
        <v>1.573088055920591E-2</v>
      </c>
      <c r="O106" s="77">
        <f t="shared" si="27"/>
        <v>1.4778871487565735E-2</v>
      </c>
      <c r="P106" s="77">
        <f t="shared" si="27"/>
        <v>1.4516281700311696E-2</v>
      </c>
      <c r="Q106" s="77">
        <f t="shared" si="27"/>
        <v>1.4896750970963121E-2</v>
      </c>
      <c r="R106" s="77">
        <f t="shared" si="27"/>
        <v>1.5428572973539645E-2</v>
      </c>
      <c r="S106" s="77">
        <f t="shared" si="27"/>
        <v>1.5998800420716591E-2</v>
      </c>
      <c r="T106" s="77">
        <f t="shared" si="27"/>
        <v>1.6621910638878853E-2</v>
      </c>
      <c r="U106" s="77">
        <f t="shared" si="27"/>
        <v>1.6726462472505359E-2</v>
      </c>
      <c r="V106" s="77">
        <f t="shared" si="27"/>
        <v>9.9806774095625821E-3</v>
      </c>
      <c r="W106" s="77">
        <f t="shared" si="27"/>
        <v>1.3630943466154071E-2</v>
      </c>
      <c r="DA106" s="49"/>
    </row>
    <row r="107" spans="1:105" ht="11.5" customHeight="1" x14ac:dyDescent="0.35">
      <c r="A107" s="59" t="str">
        <f>$A$15</f>
        <v>International - Intra-EEAwUK</v>
      </c>
      <c r="B107" s="77">
        <f t="shared" si="27"/>
        <v>5.6926304188482102E-2</v>
      </c>
      <c r="C107" s="77">
        <f t="shared" si="27"/>
        <v>5.6096480179646947E-2</v>
      </c>
      <c r="D107" s="77">
        <f t="shared" si="27"/>
        <v>5.4019607685524343E-2</v>
      </c>
      <c r="E107" s="77">
        <f t="shared" si="27"/>
        <v>5.6013686859584084E-2</v>
      </c>
      <c r="F107" s="77">
        <f t="shared" si="27"/>
        <v>5.8529919102577342E-2</v>
      </c>
      <c r="G107" s="77">
        <f t="shared" si="27"/>
        <v>6.25619571268696E-2</v>
      </c>
      <c r="H107" s="77">
        <f t="shared" si="27"/>
        <v>6.4351588978381474E-2</v>
      </c>
      <c r="I107" s="77">
        <f t="shared" si="27"/>
        <v>6.5443069195139772E-2</v>
      </c>
      <c r="J107" s="77">
        <f t="shared" si="27"/>
        <v>6.3445272567808395E-2</v>
      </c>
      <c r="K107" s="77">
        <f t="shared" si="27"/>
        <v>5.8773955524512131E-2</v>
      </c>
      <c r="L107" s="77">
        <f t="shared" si="27"/>
        <v>6.0672532849308992E-2</v>
      </c>
      <c r="M107" s="77">
        <f t="shared" si="27"/>
        <v>6.6062150842673709E-2</v>
      </c>
      <c r="N107" s="77">
        <f t="shared" si="27"/>
        <v>6.6544090448874396E-2</v>
      </c>
      <c r="O107" s="77">
        <f t="shared" ref="O107:W108" si="28">IF(O15=0,0,O15/O$4)</f>
        <v>6.7524097172580524E-2</v>
      </c>
      <c r="P107" s="77">
        <f t="shared" si="28"/>
        <v>7.0655126069042423E-2</v>
      </c>
      <c r="Q107" s="77">
        <f t="shared" si="28"/>
        <v>7.2591227264829042E-2</v>
      </c>
      <c r="R107" s="77">
        <f t="shared" si="28"/>
        <v>7.8825790230737575E-2</v>
      </c>
      <c r="S107" s="77">
        <f t="shared" si="28"/>
        <v>8.4575042998828037E-2</v>
      </c>
      <c r="T107" s="77">
        <f t="shared" si="28"/>
        <v>8.727884309348001E-2</v>
      </c>
      <c r="U107" s="77">
        <f t="shared" si="28"/>
        <v>8.7416510782177534E-2</v>
      </c>
      <c r="V107" s="77">
        <f t="shared" si="28"/>
        <v>3.5415805620275041E-2</v>
      </c>
      <c r="W107" s="77">
        <f t="shared" si="28"/>
        <v>4.6406647922883272E-2</v>
      </c>
      <c r="DA107" s="49"/>
    </row>
    <row r="108" spans="1:105" ht="11.5" customHeight="1" x14ac:dyDescent="0.35">
      <c r="A108" s="59" t="str">
        <f>$A$16</f>
        <v>International - Extra-EEAwUK</v>
      </c>
      <c r="B108" s="77">
        <f t="shared" ref="B108:Q108" si="29">IF(B16=0,0,B16/B$4)</f>
        <v>6.0926659694614298E-2</v>
      </c>
      <c r="C108" s="77">
        <f t="shared" si="29"/>
        <v>5.8392881957605315E-2</v>
      </c>
      <c r="D108" s="77">
        <f t="shared" si="29"/>
        <v>5.7555700752137215E-2</v>
      </c>
      <c r="E108" s="77">
        <f t="shared" si="29"/>
        <v>5.7386697716516631E-2</v>
      </c>
      <c r="F108" s="77">
        <f t="shared" si="29"/>
        <v>6.4872476219039937E-2</v>
      </c>
      <c r="G108" s="77">
        <f t="shared" si="29"/>
        <v>7.0709440115482441E-2</v>
      </c>
      <c r="H108" s="77">
        <f t="shared" si="29"/>
        <v>7.3216128860549234E-2</v>
      </c>
      <c r="I108" s="77">
        <f t="shared" si="29"/>
        <v>7.7971307303500048E-2</v>
      </c>
      <c r="J108" s="77">
        <f t="shared" si="29"/>
        <v>8.0728477619281633E-2</v>
      </c>
      <c r="K108" s="77">
        <f t="shared" si="29"/>
        <v>7.6911943098875835E-2</v>
      </c>
      <c r="L108" s="77">
        <f t="shared" si="29"/>
        <v>8.2272514713926465E-2</v>
      </c>
      <c r="M108" s="77">
        <f t="shared" si="29"/>
        <v>8.5791103549466272E-2</v>
      </c>
      <c r="N108" s="77">
        <f t="shared" si="29"/>
        <v>8.7992891402625797E-2</v>
      </c>
      <c r="O108" s="77">
        <f t="shared" si="29"/>
        <v>8.8799317994308305E-2</v>
      </c>
      <c r="P108" s="77">
        <f t="shared" si="29"/>
        <v>9.0280685739950406E-2</v>
      </c>
      <c r="Q108" s="77">
        <f t="shared" si="29"/>
        <v>9.0447860066457497E-2</v>
      </c>
      <c r="R108" s="77">
        <f t="shared" si="28"/>
        <v>8.9874146510398489E-2</v>
      </c>
      <c r="S108" s="77">
        <f t="shared" si="28"/>
        <v>9.507373615950919E-2</v>
      </c>
      <c r="T108" s="77">
        <f t="shared" si="28"/>
        <v>0.10238443372207538</v>
      </c>
      <c r="U108" s="77">
        <f t="shared" si="28"/>
        <v>0.10779978357470206</v>
      </c>
      <c r="V108" s="77">
        <f t="shared" si="28"/>
        <v>4.3108413745631818E-2</v>
      </c>
      <c r="W108" s="77">
        <f t="shared" si="28"/>
        <v>4.6206130147615536E-2</v>
      </c>
      <c r="DA108" s="49"/>
    </row>
    <row r="109" spans="1:105" ht="11.5" customHeight="1" x14ac:dyDescent="0.35">
      <c r="A109" s="53" t="s">
        <v>85</v>
      </c>
      <c r="B109" s="75">
        <f t="shared" ref="B109:W120" si="30">IF(B17=0,0,B17/B$17)</f>
        <v>1</v>
      </c>
      <c r="C109" s="75">
        <f t="shared" si="30"/>
        <v>1</v>
      </c>
      <c r="D109" s="75">
        <f t="shared" si="30"/>
        <v>1</v>
      </c>
      <c r="E109" s="75">
        <f t="shared" si="30"/>
        <v>1</v>
      </c>
      <c r="F109" s="75">
        <f t="shared" si="30"/>
        <v>1</v>
      </c>
      <c r="G109" s="75">
        <f t="shared" si="30"/>
        <v>1</v>
      </c>
      <c r="H109" s="75">
        <f t="shared" si="30"/>
        <v>1</v>
      </c>
      <c r="I109" s="75">
        <f t="shared" si="30"/>
        <v>1</v>
      </c>
      <c r="J109" s="75">
        <f t="shared" si="30"/>
        <v>1</v>
      </c>
      <c r="K109" s="75">
        <f t="shared" si="30"/>
        <v>1</v>
      </c>
      <c r="L109" s="75">
        <f t="shared" si="30"/>
        <v>1</v>
      </c>
      <c r="M109" s="75">
        <f t="shared" si="30"/>
        <v>1</v>
      </c>
      <c r="N109" s="75">
        <f t="shared" si="30"/>
        <v>1</v>
      </c>
      <c r="O109" s="75">
        <f t="shared" si="30"/>
        <v>1</v>
      </c>
      <c r="P109" s="75">
        <f t="shared" si="30"/>
        <v>1</v>
      </c>
      <c r="Q109" s="75">
        <f t="shared" si="30"/>
        <v>1</v>
      </c>
      <c r="R109" s="75">
        <f t="shared" si="30"/>
        <v>1</v>
      </c>
      <c r="S109" s="75">
        <f t="shared" si="30"/>
        <v>1</v>
      </c>
      <c r="T109" s="75">
        <f t="shared" si="30"/>
        <v>1</v>
      </c>
      <c r="U109" s="75">
        <f t="shared" si="30"/>
        <v>1</v>
      </c>
      <c r="V109" s="75">
        <f t="shared" si="30"/>
        <v>1</v>
      </c>
      <c r="W109" s="75">
        <f t="shared" si="30"/>
        <v>1</v>
      </c>
      <c r="DA109" s="55"/>
    </row>
    <row r="110" spans="1:105" ht="11.5" customHeight="1" x14ac:dyDescent="0.35">
      <c r="A110" s="56" t="str">
        <f>$A$18</f>
        <v>Road transport</v>
      </c>
      <c r="B110" s="76">
        <f t="shared" si="30"/>
        <v>0.68772062093644837</v>
      </c>
      <c r="C110" s="76">
        <f t="shared" si="30"/>
        <v>0.70650308973656339</v>
      </c>
      <c r="D110" s="76">
        <f t="shared" si="30"/>
        <v>0.71270856203780297</v>
      </c>
      <c r="E110" s="76">
        <f t="shared" si="30"/>
        <v>0.71327072578995443</v>
      </c>
      <c r="F110" s="76">
        <f t="shared" si="30"/>
        <v>0.72272055450857275</v>
      </c>
      <c r="G110" s="76">
        <f t="shared" si="30"/>
        <v>0.72387766021275068</v>
      </c>
      <c r="H110" s="76">
        <f t="shared" si="30"/>
        <v>0.71954339680048218</v>
      </c>
      <c r="I110" s="76">
        <f t="shared" si="30"/>
        <v>0.72140425048761236</v>
      </c>
      <c r="J110" s="76">
        <f t="shared" si="30"/>
        <v>0.72071311859678922</v>
      </c>
      <c r="K110" s="76">
        <f t="shared" si="30"/>
        <v>0.73313741088604467</v>
      </c>
      <c r="L110" s="76">
        <f t="shared" si="30"/>
        <v>0.71844804959220998</v>
      </c>
      <c r="M110" s="76">
        <f t="shared" si="30"/>
        <v>0.71074933443996424</v>
      </c>
      <c r="N110" s="76">
        <f t="shared" si="30"/>
        <v>0.7077866595972967</v>
      </c>
      <c r="O110" s="76">
        <f t="shared" si="30"/>
        <v>0.71414881521863505</v>
      </c>
      <c r="P110" s="76">
        <f t="shared" si="30"/>
        <v>0.71122076515096178</v>
      </c>
      <c r="Q110" s="76">
        <f t="shared" si="30"/>
        <v>0.7128696343007288</v>
      </c>
      <c r="R110" s="76">
        <f t="shared" si="30"/>
        <v>0.71677452235895667</v>
      </c>
      <c r="S110" s="76">
        <f t="shared" si="30"/>
        <v>0.72439814785879397</v>
      </c>
      <c r="T110" s="76">
        <f t="shared" si="30"/>
        <v>0.7260778826503872</v>
      </c>
      <c r="U110" s="76">
        <f t="shared" si="30"/>
        <v>0.73320169684678627</v>
      </c>
      <c r="V110" s="76">
        <f t="shared" si="30"/>
        <v>0.74397416657398097</v>
      </c>
      <c r="W110" s="76">
        <f t="shared" si="30"/>
        <v>0.74541764666849364</v>
      </c>
      <c r="DA110" s="58"/>
    </row>
    <row r="111" spans="1:105" ht="11.5" customHeight="1" x14ac:dyDescent="0.35">
      <c r="A111" s="59" t="str">
        <f>$A$19</f>
        <v>Light commercial vehicles</v>
      </c>
      <c r="B111" s="77">
        <f t="shared" si="30"/>
        <v>3.3570436547690506E-2</v>
      </c>
      <c r="C111" s="77">
        <f t="shared" si="30"/>
        <v>3.5070056287243377E-2</v>
      </c>
      <c r="D111" s="77">
        <f t="shared" si="30"/>
        <v>3.4777754537729876E-2</v>
      </c>
      <c r="E111" s="77">
        <f t="shared" si="30"/>
        <v>3.6008029262345621E-2</v>
      </c>
      <c r="F111" s="77">
        <f t="shared" si="30"/>
        <v>3.4203318148164713E-2</v>
      </c>
      <c r="G111" s="77">
        <f t="shared" si="30"/>
        <v>3.4072649675312074E-2</v>
      </c>
      <c r="H111" s="77">
        <f t="shared" si="30"/>
        <v>3.322337552461354E-2</v>
      </c>
      <c r="I111" s="77">
        <f t="shared" si="30"/>
        <v>3.3763928107911706E-2</v>
      </c>
      <c r="J111" s="77">
        <f t="shared" si="30"/>
        <v>3.4022087566509054E-2</v>
      </c>
      <c r="K111" s="77">
        <f t="shared" si="30"/>
        <v>3.7703843815356235E-2</v>
      </c>
      <c r="L111" s="77">
        <f t="shared" si="30"/>
        <v>3.6678150788540663E-2</v>
      </c>
      <c r="M111" s="77">
        <f t="shared" si="30"/>
        <v>3.7129030421827358E-2</v>
      </c>
      <c r="N111" s="77">
        <f t="shared" si="30"/>
        <v>3.7185705495813973E-2</v>
      </c>
      <c r="O111" s="77">
        <f t="shared" si="30"/>
        <v>3.6669598554019127E-2</v>
      </c>
      <c r="P111" s="77">
        <f t="shared" si="30"/>
        <v>3.7261325989264626E-2</v>
      </c>
      <c r="Q111" s="77">
        <f t="shared" si="30"/>
        <v>3.6920828396940684E-2</v>
      </c>
      <c r="R111" s="77">
        <f t="shared" si="30"/>
        <v>3.6281683981019761E-2</v>
      </c>
      <c r="S111" s="77">
        <f t="shared" si="30"/>
        <v>3.5975237109958806E-2</v>
      </c>
      <c r="T111" s="77">
        <f t="shared" si="30"/>
        <v>3.6701634345860892E-2</v>
      </c>
      <c r="U111" s="77">
        <f t="shared" si="30"/>
        <v>3.6716453460983685E-2</v>
      </c>
      <c r="V111" s="77">
        <f t="shared" si="30"/>
        <v>3.5426736341484751E-2</v>
      </c>
      <c r="W111" s="77">
        <f t="shared" si="30"/>
        <v>3.6613151043312663E-2</v>
      </c>
      <c r="DA111" s="49"/>
    </row>
    <row r="112" spans="1:105" ht="11.5" customHeight="1" x14ac:dyDescent="0.35">
      <c r="A112" s="59" t="str">
        <f>$A$20</f>
        <v>Heavy goods vehicles</v>
      </c>
      <c r="B112" s="77">
        <f t="shared" si="30"/>
        <v>0.65415018438875783</v>
      </c>
      <c r="C112" s="77">
        <f t="shared" si="30"/>
        <v>0.67143303344931993</v>
      </c>
      <c r="D112" s="77">
        <f t="shared" si="30"/>
        <v>0.67793080750007317</v>
      </c>
      <c r="E112" s="77">
        <f t="shared" si="30"/>
        <v>0.67726269652760884</v>
      </c>
      <c r="F112" s="77">
        <f t="shared" si="30"/>
        <v>0.68851723636040796</v>
      </c>
      <c r="G112" s="77">
        <f t="shared" si="30"/>
        <v>0.68980501053743859</v>
      </c>
      <c r="H112" s="77">
        <f t="shared" si="30"/>
        <v>0.68632002127586866</v>
      </c>
      <c r="I112" s="77">
        <f t="shared" si="30"/>
        <v>0.68764032237970063</v>
      </c>
      <c r="J112" s="77">
        <f t="shared" si="30"/>
        <v>0.68669103103028029</v>
      </c>
      <c r="K112" s="77">
        <f t="shared" si="30"/>
        <v>0.69543356707068849</v>
      </c>
      <c r="L112" s="77">
        <f t="shared" si="30"/>
        <v>0.68176989880366934</v>
      </c>
      <c r="M112" s="77">
        <f t="shared" si="30"/>
        <v>0.67362030401813688</v>
      </c>
      <c r="N112" s="77">
        <f t="shared" si="30"/>
        <v>0.67060095410148279</v>
      </c>
      <c r="O112" s="77">
        <f t="shared" si="30"/>
        <v>0.67747921666461597</v>
      </c>
      <c r="P112" s="77">
        <f t="shared" si="30"/>
        <v>0.6739594391616972</v>
      </c>
      <c r="Q112" s="77">
        <f t="shared" si="30"/>
        <v>0.67594880590378814</v>
      </c>
      <c r="R112" s="77">
        <f t="shared" si="30"/>
        <v>0.68049283837793695</v>
      </c>
      <c r="S112" s="77">
        <f t="shared" si="30"/>
        <v>0.68842291074883522</v>
      </c>
      <c r="T112" s="77">
        <f t="shared" si="30"/>
        <v>0.68937624830452626</v>
      </c>
      <c r="U112" s="77">
        <f t="shared" si="30"/>
        <v>0.69648524338580264</v>
      </c>
      <c r="V112" s="77">
        <f t="shared" si="30"/>
        <v>0.70854743023249622</v>
      </c>
      <c r="W112" s="77">
        <f t="shared" si="30"/>
        <v>0.708804495625181</v>
      </c>
      <c r="DA112" s="49"/>
    </row>
    <row r="113" spans="1:105" ht="11.5" customHeight="1" x14ac:dyDescent="0.35">
      <c r="A113" s="61" t="str">
        <f>$A$21</f>
        <v>Rail transport</v>
      </c>
      <c r="B113" s="78">
        <f t="shared" si="30"/>
        <v>0.19406492311457513</v>
      </c>
      <c r="C113" s="78">
        <f t="shared" si="30"/>
        <v>0.18342456555023884</v>
      </c>
      <c r="D113" s="78">
        <f t="shared" si="30"/>
        <v>0.17836867760857375</v>
      </c>
      <c r="E113" s="78">
        <f t="shared" si="30"/>
        <v>0.18187276890329246</v>
      </c>
      <c r="F113" s="78">
        <f t="shared" si="30"/>
        <v>0.1737794154778883</v>
      </c>
      <c r="G113" s="78">
        <f t="shared" si="30"/>
        <v>0.17133917417698816</v>
      </c>
      <c r="H113" s="78">
        <f t="shared" si="30"/>
        <v>0.17427452713882019</v>
      </c>
      <c r="I113" s="78">
        <f t="shared" si="30"/>
        <v>0.17441380141241181</v>
      </c>
      <c r="J113" s="78">
        <f t="shared" si="30"/>
        <v>0.17267002118153918</v>
      </c>
      <c r="K113" s="78">
        <f t="shared" si="30"/>
        <v>0.15798779593852083</v>
      </c>
      <c r="L113" s="78">
        <f t="shared" si="30"/>
        <v>0.16400264743694576</v>
      </c>
      <c r="M113" s="78">
        <f t="shared" si="30"/>
        <v>0.17522674602083443</v>
      </c>
      <c r="N113" s="78">
        <f t="shared" si="30"/>
        <v>0.17429083835633968</v>
      </c>
      <c r="O113" s="78">
        <f t="shared" si="30"/>
        <v>0.17166439856754992</v>
      </c>
      <c r="P113" s="78">
        <f t="shared" si="30"/>
        <v>0.17157193265236606</v>
      </c>
      <c r="Q113" s="78">
        <f t="shared" si="30"/>
        <v>0.17242149220118266</v>
      </c>
      <c r="R113" s="78">
        <f t="shared" si="30"/>
        <v>0.1711467998679152</v>
      </c>
      <c r="S113" s="78">
        <f t="shared" si="30"/>
        <v>0.16580311974418158</v>
      </c>
      <c r="T113" s="78">
        <f t="shared" si="30"/>
        <v>0.16885678860091111</v>
      </c>
      <c r="U113" s="78">
        <f t="shared" si="30"/>
        <v>0.16095873819342243</v>
      </c>
      <c r="V113" s="78">
        <f t="shared" si="30"/>
        <v>0.15314539938717361</v>
      </c>
      <c r="W113" s="78">
        <f t="shared" si="30"/>
        <v>0.15584048320594246</v>
      </c>
      <c r="DA113" s="63"/>
    </row>
    <row r="114" spans="1:105" ht="11.5" customHeight="1" x14ac:dyDescent="0.35">
      <c r="A114" s="61" t="str">
        <f>$A$22</f>
        <v>Aviation</v>
      </c>
      <c r="B114" s="78">
        <f t="shared" si="30"/>
        <v>1.300225670028529E-2</v>
      </c>
      <c r="C114" s="78">
        <f t="shared" si="30"/>
        <v>1.2493367488952712E-2</v>
      </c>
      <c r="D114" s="78">
        <f t="shared" si="30"/>
        <v>1.2408589170302416E-2</v>
      </c>
      <c r="E114" s="78">
        <f t="shared" si="30"/>
        <v>1.2457704639328649E-2</v>
      </c>
      <c r="F114" s="78">
        <f t="shared" si="30"/>
        <v>1.2180264888886702E-2</v>
      </c>
      <c r="G114" s="78">
        <f t="shared" si="30"/>
        <v>1.2662343657554325E-2</v>
      </c>
      <c r="H114" s="78">
        <f t="shared" si="30"/>
        <v>1.3087271447231484E-2</v>
      </c>
      <c r="I114" s="78">
        <f t="shared" si="30"/>
        <v>1.363725775280014E-2</v>
      </c>
      <c r="J114" s="78">
        <f t="shared" si="30"/>
        <v>1.4099174405235299E-2</v>
      </c>
      <c r="K114" s="78">
        <f t="shared" si="30"/>
        <v>1.4055029093326349E-2</v>
      </c>
      <c r="L114" s="78">
        <f t="shared" si="30"/>
        <v>1.5981786985054397E-2</v>
      </c>
      <c r="M114" s="78">
        <f t="shared" si="30"/>
        <v>1.7250984057097796E-2</v>
      </c>
      <c r="N114" s="78">
        <f t="shared" si="30"/>
        <v>1.7083239356126052E-2</v>
      </c>
      <c r="O114" s="78">
        <f t="shared" si="30"/>
        <v>1.6756074799045225E-2</v>
      </c>
      <c r="P114" s="78">
        <f t="shared" si="30"/>
        <v>1.8484894993853935E-2</v>
      </c>
      <c r="Q114" s="78">
        <f t="shared" si="30"/>
        <v>1.8770297237514631E-2</v>
      </c>
      <c r="R114" s="78">
        <f t="shared" si="30"/>
        <v>1.8488150464183652E-2</v>
      </c>
      <c r="S114" s="78">
        <f t="shared" si="30"/>
        <v>1.9059388033526251E-2</v>
      </c>
      <c r="T114" s="78">
        <f t="shared" si="30"/>
        <v>1.9681069177797411E-2</v>
      </c>
      <c r="U114" s="78">
        <f t="shared" si="30"/>
        <v>1.8858831806719337E-2</v>
      </c>
      <c r="V114" s="78">
        <f t="shared" si="30"/>
        <v>1.8138145085347241E-2</v>
      </c>
      <c r="W114" s="78">
        <f t="shared" si="30"/>
        <v>1.7702751214505874E-2</v>
      </c>
      <c r="DA114" s="63"/>
    </row>
    <row r="115" spans="1:105" ht="11.5" customHeight="1" x14ac:dyDescent="0.35">
      <c r="A115" s="59" t="s">
        <v>69</v>
      </c>
      <c r="B115" s="77">
        <f t="shared" si="30"/>
        <v>2.077386965415467E-4</v>
      </c>
      <c r="C115" s="77">
        <f t="shared" si="30"/>
        <v>2.2310100594990319E-4</v>
      </c>
      <c r="D115" s="77">
        <f t="shared" si="30"/>
        <v>2.0119140874176825E-4</v>
      </c>
      <c r="E115" s="77">
        <f t="shared" si="30"/>
        <v>1.8308829183739654E-4</v>
      </c>
      <c r="F115" s="77">
        <f t="shared" si="30"/>
        <v>1.6945091782127108E-4</v>
      </c>
      <c r="G115" s="77">
        <f t="shared" si="30"/>
        <v>1.5656727148594834E-4</v>
      </c>
      <c r="H115" s="77">
        <f t="shared" si="30"/>
        <v>1.4491906457137575E-4</v>
      </c>
      <c r="I115" s="77">
        <f t="shared" si="30"/>
        <v>1.3441376492561352E-4</v>
      </c>
      <c r="J115" s="77">
        <f t="shared" si="30"/>
        <v>1.267031020934191E-4</v>
      </c>
      <c r="K115" s="77">
        <f t="shared" si="30"/>
        <v>1.2796048251752213E-4</v>
      </c>
      <c r="L115" s="77">
        <f t="shared" si="30"/>
        <v>1.1191719392362571E-4</v>
      </c>
      <c r="M115" s="77">
        <f t="shared" si="30"/>
        <v>1.1118164317350166E-4</v>
      </c>
      <c r="N115" s="77">
        <f t="shared" si="30"/>
        <v>1.0593966791730148E-4</v>
      </c>
      <c r="O115" s="77">
        <f t="shared" si="30"/>
        <v>9.9579611377752613E-5</v>
      </c>
      <c r="P115" s="77">
        <f t="shared" si="30"/>
        <v>1.1053932474436662E-4</v>
      </c>
      <c r="Q115" s="77">
        <f t="shared" si="30"/>
        <v>1.0630837871753223E-4</v>
      </c>
      <c r="R115" s="77">
        <f t="shared" si="30"/>
        <v>1.0465847414830992E-4</v>
      </c>
      <c r="S115" s="77">
        <f t="shared" si="30"/>
        <v>1.0053718542078451E-4</v>
      </c>
      <c r="T115" s="77">
        <f t="shared" si="30"/>
        <v>1.0211088280607837E-4</v>
      </c>
      <c r="U115" s="77">
        <f t="shared" si="30"/>
        <v>1.0364574447222297E-4</v>
      </c>
      <c r="V115" s="77">
        <f t="shared" si="30"/>
        <v>9.2726054094971266E-5</v>
      </c>
      <c r="W115" s="77">
        <f t="shared" si="30"/>
        <v>1.0350157146403208E-4</v>
      </c>
      <c r="DA115" s="49"/>
    </row>
    <row r="116" spans="1:105" ht="11.5" customHeight="1" x14ac:dyDescent="0.35">
      <c r="A116" s="59" t="str">
        <f>$A$24</f>
        <v>International - Intra-EEAwUK</v>
      </c>
      <c r="B116" s="77">
        <f t="shared" si="30"/>
        <v>7.9254203591500353E-4</v>
      </c>
      <c r="C116" s="77">
        <f t="shared" si="30"/>
        <v>7.6918714475632873E-4</v>
      </c>
      <c r="D116" s="77">
        <f t="shared" si="30"/>
        <v>7.4380841934021575E-4</v>
      </c>
      <c r="E116" s="77">
        <f t="shared" si="30"/>
        <v>7.643627643328226E-4</v>
      </c>
      <c r="F116" s="77">
        <f t="shared" si="30"/>
        <v>7.3734107102797612E-4</v>
      </c>
      <c r="G116" s="77">
        <f t="shared" si="30"/>
        <v>7.5386319169815433E-4</v>
      </c>
      <c r="H116" s="77">
        <f t="shared" si="30"/>
        <v>7.7546310413179726E-4</v>
      </c>
      <c r="I116" s="77">
        <f t="shared" si="30"/>
        <v>7.8296064906705127E-4</v>
      </c>
      <c r="J116" s="77">
        <f t="shared" si="30"/>
        <v>7.7951293300706614E-4</v>
      </c>
      <c r="K116" s="77">
        <f t="shared" si="30"/>
        <v>8.1515622822065173E-4</v>
      </c>
      <c r="L116" s="77">
        <f t="shared" si="30"/>
        <v>8.1076982758441856E-4</v>
      </c>
      <c r="M116" s="77">
        <f t="shared" si="30"/>
        <v>8.1260536171456085E-4</v>
      </c>
      <c r="N116" s="77">
        <f t="shared" si="30"/>
        <v>8.5019823517444809E-4</v>
      </c>
      <c r="O116" s="77">
        <f t="shared" si="30"/>
        <v>8.3750993108319433E-4</v>
      </c>
      <c r="P116" s="77">
        <f t="shared" si="30"/>
        <v>9.4291066331284577E-4</v>
      </c>
      <c r="Q116" s="77">
        <f t="shared" si="30"/>
        <v>9.3838451156790566E-4</v>
      </c>
      <c r="R116" s="77">
        <f t="shared" si="30"/>
        <v>9.2049851586783224E-4</v>
      </c>
      <c r="S116" s="77">
        <f t="shared" si="30"/>
        <v>8.9813244980283826E-4</v>
      </c>
      <c r="T116" s="77">
        <f t="shared" si="30"/>
        <v>9.1886290816826986E-4</v>
      </c>
      <c r="U116" s="77">
        <f t="shared" si="30"/>
        <v>9.3695509662418245E-4</v>
      </c>
      <c r="V116" s="77">
        <f t="shared" si="30"/>
        <v>8.7398275656659749E-4</v>
      </c>
      <c r="W116" s="77">
        <f t="shared" si="30"/>
        <v>9.475350928628345E-4</v>
      </c>
      <c r="DA116" s="49"/>
    </row>
    <row r="117" spans="1:105" ht="11.5" customHeight="1" x14ac:dyDescent="0.35">
      <c r="A117" s="59" t="str">
        <f>$A$25</f>
        <v>International - Extra-EEAwUK</v>
      </c>
      <c r="B117" s="77">
        <f t="shared" si="30"/>
        <v>1.2001975967828741E-2</v>
      </c>
      <c r="C117" s="77">
        <f t="shared" si="30"/>
        <v>1.1501079338246479E-2</v>
      </c>
      <c r="D117" s="77">
        <f t="shared" si="30"/>
        <v>1.1463589342220431E-2</v>
      </c>
      <c r="E117" s="77">
        <f t="shared" si="30"/>
        <v>1.1510253583158431E-2</v>
      </c>
      <c r="F117" s="77">
        <f t="shared" si="30"/>
        <v>1.1273472900037454E-2</v>
      </c>
      <c r="G117" s="77">
        <f t="shared" si="30"/>
        <v>1.1751913194370222E-2</v>
      </c>
      <c r="H117" s="77">
        <f t="shared" si="30"/>
        <v>1.216688927852831E-2</v>
      </c>
      <c r="I117" s="77">
        <f t="shared" si="30"/>
        <v>1.2719883338807476E-2</v>
      </c>
      <c r="J117" s="77">
        <f t="shared" si="30"/>
        <v>1.3192958370134816E-2</v>
      </c>
      <c r="K117" s="77">
        <f t="shared" si="30"/>
        <v>1.3111912382588175E-2</v>
      </c>
      <c r="L117" s="77">
        <f t="shared" si="30"/>
        <v>1.5059099963546353E-2</v>
      </c>
      <c r="M117" s="77">
        <f t="shared" si="30"/>
        <v>1.6327197052209735E-2</v>
      </c>
      <c r="N117" s="77">
        <f t="shared" si="30"/>
        <v>1.6127101453034306E-2</v>
      </c>
      <c r="O117" s="77">
        <f t="shared" si="30"/>
        <v>1.5818985256584275E-2</v>
      </c>
      <c r="P117" s="77">
        <f t="shared" si="30"/>
        <v>1.7431445005796724E-2</v>
      </c>
      <c r="Q117" s="77">
        <f t="shared" si="30"/>
        <v>1.7725604347229196E-2</v>
      </c>
      <c r="R117" s="77">
        <f t="shared" si="30"/>
        <v>1.746299347416751E-2</v>
      </c>
      <c r="S117" s="77">
        <f t="shared" si="30"/>
        <v>1.8060718398302627E-2</v>
      </c>
      <c r="T117" s="77">
        <f t="shared" si="30"/>
        <v>1.8660095386823065E-2</v>
      </c>
      <c r="U117" s="77">
        <f t="shared" si="30"/>
        <v>1.7818230965622933E-2</v>
      </c>
      <c r="V117" s="77">
        <f t="shared" si="30"/>
        <v>1.7171436274685672E-2</v>
      </c>
      <c r="W117" s="77">
        <f t="shared" si="30"/>
        <v>1.6651714550179005E-2</v>
      </c>
      <c r="DA117" s="49"/>
    </row>
    <row r="118" spans="1:105" ht="11.5" customHeight="1" x14ac:dyDescent="0.35">
      <c r="A118" s="61" t="s">
        <v>74</v>
      </c>
      <c r="B118" s="78">
        <f t="shared" si="30"/>
        <v>0.10521219924869131</v>
      </c>
      <c r="C118" s="78">
        <f t="shared" si="30"/>
        <v>9.7578977224245037E-2</v>
      </c>
      <c r="D118" s="78">
        <f t="shared" si="30"/>
        <v>9.651417118332084E-2</v>
      </c>
      <c r="E118" s="78">
        <f t="shared" si="30"/>
        <v>9.2398800667424466E-2</v>
      </c>
      <c r="F118" s="78">
        <f t="shared" si="30"/>
        <v>9.1319765124652216E-2</v>
      </c>
      <c r="G118" s="78">
        <f t="shared" si="30"/>
        <v>9.2120821952706905E-2</v>
      </c>
      <c r="H118" s="78">
        <f t="shared" si="30"/>
        <v>9.3094804613465934E-2</v>
      </c>
      <c r="I118" s="78">
        <f t="shared" si="30"/>
        <v>9.0544690347175744E-2</v>
      </c>
      <c r="J118" s="78">
        <f t="shared" si="30"/>
        <v>9.2517685816436157E-2</v>
      </c>
      <c r="K118" s="78">
        <f t="shared" si="30"/>
        <v>9.4819764082108113E-2</v>
      </c>
      <c r="L118" s="78">
        <f t="shared" si="30"/>
        <v>0.10156751598578988</v>
      </c>
      <c r="M118" s="78">
        <f t="shared" si="30"/>
        <v>9.6772935482103639E-2</v>
      </c>
      <c r="N118" s="78">
        <f t="shared" si="30"/>
        <v>0.10083926269023755</v>
      </c>
      <c r="O118" s="78">
        <f t="shared" si="30"/>
        <v>9.7430711414769902E-2</v>
      </c>
      <c r="P118" s="78">
        <f t="shared" si="30"/>
        <v>9.8722407202818163E-2</v>
      </c>
      <c r="Q118" s="78">
        <f t="shared" si="30"/>
        <v>9.5938576260573866E-2</v>
      </c>
      <c r="R118" s="78">
        <f t="shared" si="30"/>
        <v>9.3590527308944294E-2</v>
      </c>
      <c r="S118" s="78">
        <f t="shared" si="30"/>
        <v>9.0739344363498287E-2</v>
      </c>
      <c r="T118" s="78">
        <f t="shared" si="30"/>
        <v>8.53842595709043E-2</v>
      </c>
      <c r="U118" s="78">
        <f t="shared" si="30"/>
        <v>8.6980733153071907E-2</v>
      </c>
      <c r="V118" s="78">
        <f t="shared" si="30"/>
        <v>8.4742288953497974E-2</v>
      </c>
      <c r="W118" s="78">
        <f t="shared" si="30"/>
        <v>8.1039118911057917E-2</v>
      </c>
      <c r="DA118" s="63"/>
    </row>
    <row r="119" spans="1:105" ht="11.5" customHeight="1" x14ac:dyDescent="0.35">
      <c r="A119" s="59" t="str">
        <f>$A$27</f>
        <v>Domestic coastal shipping</v>
      </c>
      <c r="B119" s="77">
        <f t="shared" si="30"/>
        <v>3.8318719890591255E-2</v>
      </c>
      <c r="C119" s="77">
        <f t="shared" si="30"/>
        <v>3.1801929853299979E-2</v>
      </c>
      <c r="D119" s="77">
        <f t="shared" si="30"/>
        <v>3.2361526480174457E-2</v>
      </c>
      <c r="E119" s="77">
        <f t="shared" si="30"/>
        <v>3.2741804177720123E-2</v>
      </c>
      <c r="F119" s="77">
        <f t="shared" si="30"/>
        <v>3.0385181203480577E-2</v>
      </c>
      <c r="G119" s="77">
        <f t="shared" si="30"/>
        <v>3.1934125435592861E-2</v>
      </c>
      <c r="H119" s="77">
        <f t="shared" si="30"/>
        <v>3.5142171223856947E-2</v>
      </c>
      <c r="I119" s="77">
        <f t="shared" si="30"/>
        <v>3.1666811350492256E-2</v>
      </c>
      <c r="J119" s="77">
        <f t="shared" si="30"/>
        <v>3.2364528913831708E-2</v>
      </c>
      <c r="K119" s="77">
        <f t="shared" si="30"/>
        <v>3.3983481872549501E-2</v>
      </c>
      <c r="L119" s="77">
        <f t="shared" si="30"/>
        <v>3.3611971136298414E-2</v>
      </c>
      <c r="M119" s="77">
        <f t="shared" si="30"/>
        <v>3.4817886259161872E-2</v>
      </c>
      <c r="N119" s="77">
        <f t="shared" si="30"/>
        <v>3.3047602013988951E-2</v>
      </c>
      <c r="O119" s="77">
        <f t="shared" si="30"/>
        <v>2.9275765676903605E-2</v>
      </c>
      <c r="P119" s="77">
        <f t="shared" si="30"/>
        <v>3.2240114014702656E-2</v>
      </c>
      <c r="Q119" s="77">
        <f t="shared" si="30"/>
        <v>3.2186015397834083E-2</v>
      </c>
      <c r="R119" s="77">
        <f t="shared" si="30"/>
        <v>3.2009551645599398E-2</v>
      </c>
      <c r="S119" s="77">
        <f t="shared" si="30"/>
        <v>3.1387548337928665E-2</v>
      </c>
      <c r="T119" s="77">
        <f t="shared" si="30"/>
        <v>3.2382530272017269E-2</v>
      </c>
      <c r="U119" s="77">
        <f t="shared" si="30"/>
        <v>3.1858655963109807E-2</v>
      </c>
      <c r="V119" s="77">
        <f t="shared" si="30"/>
        <v>3.126983921861462E-2</v>
      </c>
      <c r="W119" s="77">
        <f t="shared" si="30"/>
        <v>2.9262751150481891E-2</v>
      </c>
      <c r="DA119" s="49"/>
    </row>
    <row r="120" spans="1:105" ht="11.5" customHeight="1" x14ac:dyDescent="0.35">
      <c r="A120" s="67" t="str">
        <f>$A$28</f>
        <v>Inland waterways</v>
      </c>
      <c r="B120" s="79">
        <f t="shared" si="30"/>
        <v>6.6893479358100055E-2</v>
      </c>
      <c r="C120" s="79">
        <f t="shared" si="30"/>
        <v>6.5777047370945058E-2</v>
      </c>
      <c r="D120" s="79">
        <f t="shared" si="30"/>
        <v>6.4152644703146383E-2</v>
      </c>
      <c r="E120" s="79">
        <f t="shared" si="30"/>
        <v>5.965699648970435E-2</v>
      </c>
      <c r="F120" s="79">
        <f t="shared" si="30"/>
        <v>6.0934583921171633E-2</v>
      </c>
      <c r="G120" s="79">
        <f t="shared" si="30"/>
        <v>6.0186696517114044E-2</v>
      </c>
      <c r="H120" s="79">
        <f t="shared" si="30"/>
        <v>5.7952633389608994E-2</v>
      </c>
      <c r="I120" s="79">
        <f t="shared" si="30"/>
        <v>5.8877878996683487E-2</v>
      </c>
      <c r="J120" s="79">
        <f t="shared" si="30"/>
        <v>6.0153156902604449E-2</v>
      </c>
      <c r="K120" s="79">
        <f t="shared" si="30"/>
        <v>6.0836282209558612E-2</v>
      </c>
      <c r="L120" s="79">
        <f t="shared" si="30"/>
        <v>6.795554484949147E-2</v>
      </c>
      <c r="M120" s="79">
        <f t="shared" si="30"/>
        <v>6.195504922294176E-2</v>
      </c>
      <c r="N120" s="79">
        <f t="shared" si="30"/>
        <v>6.7791660676248588E-2</v>
      </c>
      <c r="O120" s="79">
        <f t="shared" ref="O120:W120" si="31">IF(O28=0,0,O28/O$17)</f>
        <v>6.815494573786629E-2</v>
      </c>
      <c r="P120" s="79">
        <f t="shared" si="31"/>
        <v>6.6482293188115493E-2</v>
      </c>
      <c r="Q120" s="79">
        <f t="shared" si="31"/>
        <v>6.3752560862739768E-2</v>
      </c>
      <c r="R120" s="79">
        <f t="shared" si="31"/>
        <v>6.1580975663344889E-2</v>
      </c>
      <c r="S120" s="79">
        <f t="shared" si="31"/>
        <v>5.9351796025569607E-2</v>
      </c>
      <c r="T120" s="79">
        <f t="shared" si="31"/>
        <v>5.3001729298887031E-2</v>
      </c>
      <c r="U120" s="79">
        <f t="shared" si="31"/>
        <v>5.5122077189962107E-2</v>
      </c>
      <c r="V120" s="79">
        <f t="shared" si="31"/>
        <v>5.3472449734883354E-2</v>
      </c>
      <c r="W120" s="79">
        <f t="shared" si="31"/>
        <v>5.1776367760576029E-2</v>
      </c>
      <c r="DA120" s="69"/>
    </row>
    <row r="121" spans="1:105" ht="11.5" customHeight="1" x14ac:dyDescent="0.35">
      <c r="A121" s="53" t="s">
        <v>86</v>
      </c>
      <c r="B121" s="75">
        <f t="shared" ref="B121:B123" si="32">IF(B29=0,0,B29/B$29)</f>
        <v>1</v>
      </c>
      <c r="C121" s="75">
        <f>IF(C29=0,0,C29/C$29)</f>
        <v>1</v>
      </c>
      <c r="D121" s="75">
        <f t="shared" ref="D121:W123" si="33">IF(D29=0,0,D29/D$29)</f>
        <v>1</v>
      </c>
      <c r="E121" s="75">
        <f t="shared" si="33"/>
        <v>1</v>
      </c>
      <c r="F121" s="75">
        <f t="shared" si="33"/>
        <v>1</v>
      </c>
      <c r="G121" s="75">
        <f t="shared" si="33"/>
        <v>1</v>
      </c>
      <c r="H121" s="75">
        <f t="shared" si="33"/>
        <v>1</v>
      </c>
      <c r="I121" s="75">
        <f t="shared" si="33"/>
        <v>1</v>
      </c>
      <c r="J121" s="75">
        <f t="shared" si="33"/>
        <v>1</v>
      </c>
      <c r="K121" s="75">
        <f t="shared" si="33"/>
        <v>1</v>
      </c>
      <c r="L121" s="75">
        <f t="shared" si="33"/>
        <v>1</v>
      </c>
      <c r="M121" s="75">
        <f t="shared" si="33"/>
        <v>1</v>
      </c>
      <c r="N121" s="75">
        <f t="shared" si="33"/>
        <v>1</v>
      </c>
      <c r="O121" s="75">
        <f t="shared" si="33"/>
        <v>1</v>
      </c>
      <c r="P121" s="75">
        <f t="shared" si="33"/>
        <v>1</v>
      </c>
      <c r="Q121" s="75">
        <f t="shared" si="33"/>
        <v>1</v>
      </c>
      <c r="R121" s="75">
        <f t="shared" si="33"/>
        <v>1</v>
      </c>
      <c r="S121" s="75">
        <f t="shared" si="33"/>
        <v>1</v>
      </c>
      <c r="T121" s="75">
        <f t="shared" si="33"/>
        <v>1</v>
      </c>
      <c r="U121" s="75">
        <f t="shared" si="33"/>
        <v>1</v>
      </c>
      <c r="V121" s="75">
        <f t="shared" si="33"/>
        <v>1</v>
      </c>
      <c r="W121" s="75">
        <f t="shared" si="33"/>
        <v>1</v>
      </c>
      <c r="DA121" s="55"/>
    </row>
    <row r="122" spans="1:105" ht="11.5" customHeight="1" x14ac:dyDescent="0.35">
      <c r="A122" s="59" t="str">
        <f>$A$30</f>
        <v>Intra-EEA</v>
      </c>
      <c r="B122" s="77">
        <f t="shared" si="32"/>
        <v>0.14150317486044889</v>
      </c>
      <c r="C122" s="77">
        <f>IF(C30=0,0,C30/C$29)</f>
        <v>0.13942724084130084</v>
      </c>
      <c r="D122" s="77">
        <f t="shared" si="33"/>
        <v>0.13772692717787605</v>
      </c>
      <c r="E122" s="77">
        <f t="shared" si="33"/>
        <v>0.13517581782886326</v>
      </c>
      <c r="F122" s="77">
        <f t="shared" si="33"/>
        <v>0.1318203946826168</v>
      </c>
      <c r="G122" s="77">
        <f t="shared" si="33"/>
        <v>0.12286710945279111</v>
      </c>
      <c r="H122" s="77">
        <f t="shared" si="33"/>
        <v>0.115286620851099</v>
      </c>
      <c r="I122" s="77">
        <f t="shared" si="33"/>
        <v>0.1115017897846896</v>
      </c>
      <c r="J122" s="77">
        <f t="shared" si="33"/>
        <v>0.10830271578977491</v>
      </c>
      <c r="K122" s="77">
        <f t="shared" si="33"/>
        <v>0.1162650972185692</v>
      </c>
      <c r="L122" s="77">
        <f t="shared" si="33"/>
        <v>0.11680704861910898</v>
      </c>
      <c r="M122" s="77">
        <f t="shared" si="33"/>
        <v>0.10946845594206089</v>
      </c>
      <c r="N122" s="77">
        <f t="shared" si="33"/>
        <v>0.10887010634666841</v>
      </c>
      <c r="O122" s="77">
        <f t="shared" si="33"/>
        <v>0.11397410344446969</v>
      </c>
      <c r="P122" s="77">
        <f t="shared" si="33"/>
        <v>0.11237090646820326</v>
      </c>
      <c r="Q122" s="77">
        <f t="shared" si="33"/>
        <v>0.10994521523770842</v>
      </c>
      <c r="R122" s="77">
        <f t="shared" si="33"/>
        <v>0.1146379567262735</v>
      </c>
      <c r="S122" s="77">
        <f t="shared" si="33"/>
        <v>0.11176627387343478</v>
      </c>
      <c r="T122" s="77">
        <f t="shared" si="33"/>
        <v>0.11564116085681703</v>
      </c>
      <c r="U122" s="77">
        <f t="shared" si="33"/>
        <v>0.11340722673286881</v>
      </c>
      <c r="V122" s="77">
        <f t="shared" si="33"/>
        <v>0.11547507290962808</v>
      </c>
      <c r="W122" s="77">
        <f t="shared" si="33"/>
        <v>0.11192737015669957</v>
      </c>
      <c r="DA122" s="49"/>
    </row>
    <row r="123" spans="1:105" ht="11.5" customHeight="1" x14ac:dyDescent="0.35">
      <c r="A123" s="67" t="str">
        <f>$A$31</f>
        <v>Extra-EEA</v>
      </c>
      <c r="B123" s="79">
        <f t="shared" si="32"/>
        <v>0.85849682513955117</v>
      </c>
      <c r="C123" s="79">
        <f>IF(C31=0,0,C31/C$29)</f>
        <v>0.86057275915869913</v>
      </c>
      <c r="D123" s="79">
        <f t="shared" si="33"/>
        <v>0.86227307282212395</v>
      </c>
      <c r="E123" s="79">
        <f t="shared" si="33"/>
        <v>0.86482418217113666</v>
      </c>
      <c r="F123" s="79">
        <f t="shared" si="33"/>
        <v>0.86817960531738325</v>
      </c>
      <c r="G123" s="79">
        <f t="shared" si="33"/>
        <v>0.87713289054720889</v>
      </c>
      <c r="H123" s="79">
        <f t="shared" si="33"/>
        <v>0.88471337914890102</v>
      </c>
      <c r="I123" s="79">
        <f t="shared" si="33"/>
        <v>0.8884982102153105</v>
      </c>
      <c r="J123" s="79">
        <f t="shared" si="33"/>
        <v>0.89169728421022509</v>
      </c>
      <c r="K123" s="79">
        <f t="shared" si="33"/>
        <v>0.88373490278143085</v>
      </c>
      <c r="L123" s="79">
        <f t="shared" si="33"/>
        <v>0.88319295138089093</v>
      </c>
      <c r="M123" s="79">
        <f t="shared" si="33"/>
        <v>0.89053154405793911</v>
      </c>
      <c r="N123" s="79">
        <f t="shared" si="33"/>
        <v>0.89112989365333162</v>
      </c>
      <c r="O123" s="79">
        <f t="shared" si="33"/>
        <v>0.88602589655553032</v>
      </c>
      <c r="P123" s="79">
        <f t="shared" si="33"/>
        <v>0.88762909353179675</v>
      </c>
      <c r="Q123" s="79">
        <f t="shared" si="33"/>
        <v>0.89005478476229161</v>
      </c>
      <c r="R123" s="79">
        <f t="shared" si="33"/>
        <v>0.88536204327372658</v>
      </c>
      <c r="S123" s="79">
        <f t="shared" si="33"/>
        <v>0.88823372612656526</v>
      </c>
      <c r="T123" s="79">
        <f t="shared" si="33"/>
        <v>0.88435883914318303</v>
      </c>
      <c r="U123" s="79">
        <f t="shared" si="33"/>
        <v>0.88659277326713104</v>
      </c>
      <c r="V123" s="79">
        <f t="shared" si="33"/>
        <v>0.88452492709037189</v>
      </c>
      <c r="W123" s="79">
        <f t="shared" si="33"/>
        <v>0.88807262984330049</v>
      </c>
      <c r="DA123" s="69"/>
    </row>
    <row r="124" spans="1:105" x14ac:dyDescent="0.35">
      <c r="A124" s="48"/>
      <c r="B124" s="48"/>
      <c r="C124" s="48"/>
      <c r="D124" s="48"/>
      <c r="E124" s="48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DA124" s="49"/>
    </row>
    <row r="125" spans="1:105" ht="11.5" customHeight="1" x14ac:dyDescent="0.35">
      <c r="A125" s="50" t="s">
        <v>87</v>
      </c>
      <c r="B125" s="74"/>
      <c r="C125" s="74"/>
      <c r="D125" s="74"/>
      <c r="E125" s="74"/>
      <c r="F125" s="74"/>
      <c r="G125" s="74"/>
      <c r="H125" s="74"/>
      <c r="I125" s="74"/>
      <c r="J125" s="74"/>
      <c r="K125" s="74"/>
      <c r="L125" s="74"/>
      <c r="M125" s="74"/>
      <c r="N125" s="74"/>
      <c r="O125" s="74"/>
      <c r="P125" s="74"/>
      <c r="Q125" s="74"/>
      <c r="R125" s="74"/>
      <c r="S125" s="74"/>
      <c r="T125" s="74"/>
      <c r="U125" s="74"/>
      <c r="V125" s="74"/>
      <c r="W125" s="74"/>
      <c r="DA125" s="52"/>
    </row>
    <row r="126" spans="1:105" ht="11.5" customHeight="1" x14ac:dyDescent="0.35">
      <c r="A126" s="53" t="s">
        <v>78</v>
      </c>
      <c r="B126" s="75">
        <f t="shared" ref="B126:W137" si="34">IF(B34=0,0,B34/B$34)</f>
        <v>1</v>
      </c>
      <c r="C126" s="75">
        <f t="shared" si="34"/>
        <v>1</v>
      </c>
      <c r="D126" s="75">
        <f t="shared" si="34"/>
        <v>1</v>
      </c>
      <c r="E126" s="75">
        <f t="shared" si="34"/>
        <v>1</v>
      </c>
      <c r="F126" s="75">
        <f t="shared" si="34"/>
        <v>1</v>
      </c>
      <c r="G126" s="75">
        <f t="shared" si="34"/>
        <v>1</v>
      </c>
      <c r="H126" s="75">
        <f t="shared" si="34"/>
        <v>1</v>
      </c>
      <c r="I126" s="75">
        <f t="shared" si="34"/>
        <v>1</v>
      </c>
      <c r="J126" s="75">
        <f t="shared" si="34"/>
        <v>1</v>
      </c>
      <c r="K126" s="75">
        <f t="shared" si="34"/>
        <v>1</v>
      </c>
      <c r="L126" s="75">
        <f t="shared" si="34"/>
        <v>1</v>
      </c>
      <c r="M126" s="75">
        <f t="shared" si="34"/>
        <v>1</v>
      </c>
      <c r="N126" s="75">
        <f t="shared" si="34"/>
        <v>1</v>
      </c>
      <c r="O126" s="75">
        <f t="shared" si="34"/>
        <v>1</v>
      </c>
      <c r="P126" s="75">
        <f t="shared" si="34"/>
        <v>1</v>
      </c>
      <c r="Q126" s="75">
        <f t="shared" si="34"/>
        <v>1</v>
      </c>
      <c r="R126" s="75">
        <f t="shared" si="34"/>
        <v>1</v>
      </c>
      <c r="S126" s="75">
        <f t="shared" si="34"/>
        <v>1</v>
      </c>
      <c r="T126" s="75">
        <f t="shared" si="34"/>
        <v>1</v>
      </c>
      <c r="U126" s="75">
        <f t="shared" si="34"/>
        <v>1</v>
      </c>
      <c r="V126" s="75">
        <f t="shared" si="34"/>
        <v>1</v>
      </c>
      <c r="W126" s="75">
        <f t="shared" si="34"/>
        <v>1</v>
      </c>
      <c r="DA126" s="55"/>
    </row>
    <row r="127" spans="1:105" ht="11.5" customHeight="1" x14ac:dyDescent="0.35">
      <c r="A127" s="56" t="str">
        <f>$A$5</f>
        <v>Road transport</v>
      </c>
      <c r="B127" s="76">
        <f t="shared" si="34"/>
        <v>0.81945421415084752</v>
      </c>
      <c r="C127" s="76">
        <f t="shared" si="34"/>
        <v>0.82483644560283831</v>
      </c>
      <c r="D127" s="76">
        <f t="shared" si="34"/>
        <v>0.83112658180417365</v>
      </c>
      <c r="E127" s="76">
        <f t="shared" si="34"/>
        <v>0.83044063340679797</v>
      </c>
      <c r="F127" s="76">
        <f t="shared" si="34"/>
        <v>0.8245779638910935</v>
      </c>
      <c r="G127" s="76">
        <f t="shared" si="34"/>
        <v>0.81845843765917259</v>
      </c>
      <c r="H127" s="76">
        <f t="shared" si="34"/>
        <v>0.81677101478630776</v>
      </c>
      <c r="I127" s="76">
        <f t="shared" si="34"/>
        <v>0.81242684048863434</v>
      </c>
      <c r="J127" s="76">
        <f t="shared" si="34"/>
        <v>0.8105377790188304</v>
      </c>
      <c r="K127" s="76">
        <f t="shared" si="34"/>
        <v>0.82166103672624247</v>
      </c>
      <c r="L127" s="76">
        <f t="shared" si="34"/>
        <v>0.81969408164590818</v>
      </c>
      <c r="M127" s="76">
        <f t="shared" si="34"/>
        <v>0.81412523622068811</v>
      </c>
      <c r="N127" s="76">
        <f t="shared" si="34"/>
        <v>0.8117751170622155</v>
      </c>
      <c r="O127" s="76">
        <f t="shared" si="34"/>
        <v>0.81399963829647159</v>
      </c>
      <c r="P127" s="76">
        <f t="shared" si="34"/>
        <v>0.81628838018107497</v>
      </c>
      <c r="Q127" s="76">
        <f t="shared" si="34"/>
        <v>0.81302681992783077</v>
      </c>
      <c r="R127" s="76">
        <f t="shared" si="34"/>
        <v>0.80728148531369714</v>
      </c>
      <c r="S127" s="76">
        <f t="shared" si="34"/>
        <v>0.79958528874938517</v>
      </c>
      <c r="T127" s="76">
        <f t="shared" si="34"/>
        <v>0.79125202787570281</v>
      </c>
      <c r="U127" s="76">
        <f t="shared" si="34"/>
        <v>0.78868372397622055</v>
      </c>
      <c r="V127" s="76">
        <f t="shared" si="34"/>
        <v>0.88631864727160026</v>
      </c>
      <c r="W127" s="76">
        <f t="shared" si="34"/>
        <v>0.87070231863425995</v>
      </c>
      <c r="DA127" s="58"/>
    </row>
    <row r="128" spans="1:105" ht="11.5" customHeight="1" x14ac:dyDescent="0.35">
      <c r="A128" s="59" t="str">
        <f>$A$6</f>
        <v>Powered two-wheelers</v>
      </c>
      <c r="B128" s="77">
        <f t="shared" si="34"/>
        <v>1.67043243927739E-2</v>
      </c>
      <c r="C128" s="77">
        <f t="shared" si="34"/>
        <v>1.6979232976260035E-2</v>
      </c>
      <c r="D128" s="77">
        <f t="shared" si="34"/>
        <v>1.6908006412661908E-2</v>
      </c>
      <c r="E128" s="77">
        <f t="shared" si="34"/>
        <v>1.7076386951821815E-2</v>
      </c>
      <c r="F128" s="77">
        <f t="shared" si="34"/>
        <v>1.7034173974305841E-2</v>
      </c>
      <c r="G128" s="77">
        <f t="shared" si="34"/>
        <v>1.7396637437007038E-2</v>
      </c>
      <c r="H128" s="77">
        <f t="shared" si="34"/>
        <v>1.6733628130400982E-2</v>
      </c>
      <c r="I128" s="77">
        <f t="shared" si="34"/>
        <v>1.5761325313395053E-2</v>
      </c>
      <c r="J128" s="77">
        <f t="shared" si="34"/>
        <v>1.6287833939306537E-2</v>
      </c>
      <c r="K128" s="77">
        <f t="shared" si="34"/>
        <v>1.6200161888074202E-2</v>
      </c>
      <c r="L128" s="77">
        <f t="shared" si="34"/>
        <v>1.665626636374095E-2</v>
      </c>
      <c r="M128" s="77">
        <f t="shared" si="34"/>
        <v>1.6561827428126487E-2</v>
      </c>
      <c r="N128" s="77">
        <f t="shared" si="34"/>
        <v>1.6588506937922003E-2</v>
      </c>
      <c r="O128" s="77">
        <f t="shared" si="34"/>
        <v>1.6496508415949768E-2</v>
      </c>
      <c r="P128" s="77">
        <f t="shared" si="34"/>
        <v>1.6507394885394589E-2</v>
      </c>
      <c r="Q128" s="77">
        <f t="shared" si="34"/>
        <v>1.6360133794127228E-2</v>
      </c>
      <c r="R128" s="77">
        <f t="shared" si="34"/>
        <v>1.6016545589608744E-2</v>
      </c>
      <c r="S128" s="77">
        <f t="shared" si="34"/>
        <v>1.4887970657824962E-2</v>
      </c>
      <c r="T128" s="77">
        <f t="shared" si="34"/>
        <v>1.4107005759270734E-2</v>
      </c>
      <c r="U128" s="77">
        <f t="shared" si="34"/>
        <v>1.4546479173832141E-2</v>
      </c>
      <c r="V128" s="77">
        <f t="shared" si="34"/>
        <v>1.6709210714386882E-2</v>
      </c>
      <c r="W128" s="77">
        <f t="shared" si="34"/>
        <v>1.5327967832914452E-2</v>
      </c>
      <c r="DA128" s="49"/>
    </row>
    <row r="129" spans="1:105" ht="11.5" customHeight="1" x14ac:dyDescent="0.35">
      <c r="A129" s="59" t="str">
        <f>$A$7</f>
        <v>Passenger cars</v>
      </c>
      <c r="B129" s="77">
        <f t="shared" si="34"/>
        <v>0.73550177813919915</v>
      </c>
      <c r="C129" s="77">
        <f t="shared" si="34"/>
        <v>0.74146975864059983</v>
      </c>
      <c r="D129" s="77">
        <f t="shared" si="34"/>
        <v>0.74901524754810778</v>
      </c>
      <c r="E129" s="77">
        <f t="shared" si="34"/>
        <v>0.74798456301653216</v>
      </c>
      <c r="F129" s="77">
        <f t="shared" si="34"/>
        <v>0.74397749153873682</v>
      </c>
      <c r="G129" s="77">
        <f t="shared" si="34"/>
        <v>0.7385496158246696</v>
      </c>
      <c r="H129" s="77">
        <f t="shared" si="34"/>
        <v>0.73808026537369109</v>
      </c>
      <c r="I129" s="77">
        <f t="shared" si="34"/>
        <v>0.73551600380646187</v>
      </c>
      <c r="J129" s="77">
        <f t="shared" si="34"/>
        <v>0.73265096199299484</v>
      </c>
      <c r="K129" s="77">
        <f t="shared" si="34"/>
        <v>0.74302067189139553</v>
      </c>
      <c r="L129" s="77">
        <f t="shared" si="34"/>
        <v>0.73964689547078533</v>
      </c>
      <c r="M129" s="77">
        <f t="shared" si="34"/>
        <v>0.73354220690420158</v>
      </c>
      <c r="N129" s="77">
        <f t="shared" si="34"/>
        <v>0.73038090752186902</v>
      </c>
      <c r="O129" s="77">
        <f t="shared" si="34"/>
        <v>0.73232861142968397</v>
      </c>
      <c r="P129" s="77">
        <f t="shared" si="34"/>
        <v>0.73492484424455951</v>
      </c>
      <c r="Q129" s="77">
        <f t="shared" si="34"/>
        <v>0.73099559907304146</v>
      </c>
      <c r="R129" s="77">
        <f t="shared" si="34"/>
        <v>0.72586646419397971</v>
      </c>
      <c r="S129" s="77">
        <f t="shared" si="34"/>
        <v>0.72153348180482357</v>
      </c>
      <c r="T129" s="77">
        <f t="shared" si="34"/>
        <v>0.71406666246927686</v>
      </c>
      <c r="U129" s="77">
        <f t="shared" si="34"/>
        <v>0.71102956822788455</v>
      </c>
      <c r="V129" s="77">
        <f t="shared" si="34"/>
        <v>0.79435424703753499</v>
      </c>
      <c r="W129" s="77">
        <f t="shared" si="34"/>
        <v>0.78387897231805348</v>
      </c>
      <c r="DA129" s="49"/>
    </row>
    <row r="130" spans="1:105" ht="11.5" customHeight="1" x14ac:dyDescent="0.35">
      <c r="A130" s="59" t="str">
        <f>$A$8</f>
        <v>Motor coaches, buses and trolley buses</v>
      </c>
      <c r="B130" s="77">
        <f t="shared" si="34"/>
        <v>6.7248111618874493E-2</v>
      </c>
      <c r="C130" s="77">
        <f t="shared" si="34"/>
        <v>6.6387453985978534E-2</v>
      </c>
      <c r="D130" s="77">
        <f t="shared" si="34"/>
        <v>6.520332784340388E-2</v>
      </c>
      <c r="E130" s="77">
        <f t="shared" si="34"/>
        <v>6.5379683438443983E-2</v>
      </c>
      <c r="F130" s="77">
        <f t="shared" si="34"/>
        <v>6.3566298378050903E-2</v>
      </c>
      <c r="G130" s="77">
        <f t="shared" si="34"/>
        <v>6.251218439749591E-2</v>
      </c>
      <c r="H130" s="77">
        <f t="shared" si="34"/>
        <v>6.1957121282215637E-2</v>
      </c>
      <c r="I130" s="77">
        <f t="shared" si="34"/>
        <v>6.1149511368777415E-2</v>
      </c>
      <c r="J130" s="77">
        <f t="shared" si="34"/>
        <v>6.159898308652912E-2</v>
      </c>
      <c r="K130" s="77">
        <f t="shared" si="34"/>
        <v>6.2440202946772626E-2</v>
      </c>
      <c r="L130" s="77">
        <f t="shared" si="34"/>
        <v>6.3390919811381966E-2</v>
      </c>
      <c r="M130" s="77">
        <f t="shared" si="34"/>
        <v>6.4021201888360052E-2</v>
      </c>
      <c r="N130" s="77">
        <f t="shared" si="34"/>
        <v>6.4805702602424645E-2</v>
      </c>
      <c r="O130" s="77">
        <f t="shared" si="34"/>
        <v>6.5174518450837882E-2</v>
      </c>
      <c r="P130" s="77">
        <f t="shared" si="34"/>
        <v>6.4856141051120988E-2</v>
      </c>
      <c r="Q130" s="77">
        <f t="shared" si="34"/>
        <v>6.5671087060662006E-2</v>
      </c>
      <c r="R130" s="77">
        <f t="shared" si="34"/>
        <v>6.5398475530108746E-2</v>
      </c>
      <c r="S130" s="77">
        <f t="shared" si="34"/>
        <v>6.3163836286736663E-2</v>
      </c>
      <c r="T130" s="77">
        <f t="shared" si="34"/>
        <v>6.3078359647155191E-2</v>
      </c>
      <c r="U130" s="77">
        <f t="shared" si="34"/>
        <v>6.3107676574503807E-2</v>
      </c>
      <c r="V130" s="77">
        <f t="shared" si="34"/>
        <v>7.5255189519678439E-2</v>
      </c>
      <c r="W130" s="77">
        <f t="shared" si="34"/>
        <v>7.1495378483292071E-2</v>
      </c>
      <c r="DA130" s="49"/>
    </row>
    <row r="131" spans="1:105" ht="11.5" customHeight="1" x14ac:dyDescent="0.35">
      <c r="A131" s="61" t="str">
        <f>$A$9</f>
        <v>Rail, metro and tram</v>
      </c>
      <c r="B131" s="78">
        <f t="shared" si="34"/>
        <v>2.5520386629823776E-2</v>
      </c>
      <c r="C131" s="78">
        <f t="shared" si="34"/>
        <v>2.4169294105836275E-2</v>
      </c>
      <c r="D131" s="78">
        <f t="shared" si="34"/>
        <v>2.4192521769399618E-2</v>
      </c>
      <c r="E131" s="78">
        <f t="shared" si="34"/>
        <v>2.3794193769263051E-2</v>
      </c>
      <c r="F131" s="78">
        <f t="shared" si="34"/>
        <v>2.3656763090539601E-2</v>
      </c>
      <c r="G131" s="78">
        <f t="shared" si="34"/>
        <v>2.3480076570874416E-2</v>
      </c>
      <c r="H131" s="78">
        <f t="shared" si="34"/>
        <v>2.1632405713456891E-2</v>
      </c>
      <c r="I131" s="78">
        <f t="shared" si="34"/>
        <v>2.180459980166655E-2</v>
      </c>
      <c r="J131" s="78">
        <f t="shared" si="34"/>
        <v>2.1808188673907724E-2</v>
      </c>
      <c r="K131" s="78">
        <f t="shared" si="34"/>
        <v>2.1629495342403757E-2</v>
      </c>
      <c r="L131" s="78">
        <f t="shared" si="34"/>
        <v>2.1773911167358783E-2</v>
      </c>
      <c r="M131" s="78">
        <f t="shared" si="34"/>
        <v>2.158214178261849E-2</v>
      </c>
      <c r="N131" s="78">
        <f t="shared" si="34"/>
        <v>2.2504359150331808E-2</v>
      </c>
      <c r="O131" s="78">
        <f t="shared" si="34"/>
        <v>2.039309615087059E-2</v>
      </c>
      <c r="P131" s="78">
        <f t="shared" si="34"/>
        <v>1.9304938056025036E-2</v>
      </c>
      <c r="Q131" s="78">
        <f t="shared" si="34"/>
        <v>1.9073459531331105E-2</v>
      </c>
      <c r="R131" s="78">
        <f t="shared" si="34"/>
        <v>1.8887716580134647E-2</v>
      </c>
      <c r="S131" s="78">
        <f t="shared" si="34"/>
        <v>1.8386093470799045E-2</v>
      </c>
      <c r="T131" s="78">
        <f t="shared" si="34"/>
        <v>1.7942246130995133E-2</v>
      </c>
      <c r="U131" s="78">
        <f t="shared" si="34"/>
        <v>1.7535124337063116E-2</v>
      </c>
      <c r="V131" s="78">
        <f t="shared" si="34"/>
        <v>1.9589806103719999E-2</v>
      </c>
      <c r="W131" s="78">
        <f t="shared" si="34"/>
        <v>2.0131443103702712E-2</v>
      </c>
      <c r="DA131" s="63"/>
    </row>
    <row r="132" spans="1:105" ht="11.5" customHeight="1" x14ac:dyDescent="0.35">
      <c r="A132" s="59" t="str">
        <f>$A$10</f>
        <v>Metro and tram, urban light rail</v>
      </c>
      <c r="B132" s="77">
        <f t="shared" si="34"/>
        <v>1.8379218163795384E-3</v>
      </c>
      <c r="C132" s="77">
        <f t="shared" si="34"/>
        <v>1.8381430505007433E-3</v>
      </c>
      <c r="D132" s="77">
        <f t="shared" si="34"/>
        <v>1.8256929631413877E-3</v>
      </c>
      <c r="E132" s="77">
        <f t="shared" si="34"/>
        <v>1.8483375814328453E-3</v>
      </c>
      <c r="F132" s="77">
        <f t="shared" si="34"/>
        <v>1.8354715547169852E-3</v>
      </c>
      <c r="G132" s="77">
        <f t="shared" si="34"/>
        <v>1.7619610996467113E-3</v>
      </c>
      <c r="H132" s="77">
        <f t="shared" si="34"/>
        <v>1.7287993636861195E-3</v>
      </c>
      <c r="I132" s="77">
        <f t="shared" si="34"/>
        <v>1.7125337290416578E-3</v>
      </c>
      <c r="J132" s="77">
        <f t="shared" si="34"/>
        <v>1.7381462129108375E-3</v>
      </c>
      <c r="K132" s="77">
        <f t="shared" si="34"/>
        <v>1.752753546809073E-3</v>
      </c>
      <c r="L132" s="77">
        <f t="shared" si="34"/>
        <v>1.7977036836227744E-3</v>
      </c>
      <c r="M132" s="77">
        <f t="shared" si="34"/>
        <v>1.7701619143057608E-3</v>
      </c>
      <c r="N132" s="77">
        <f t="shared" si="34"/>
        <v>1.8089683353103188E-3</v>
      </c>
      <c r="O132" s="77">
        <f t="shared" si="34"/>
        <v>1.7854791055317751E-3</v>
      </c>
      <c r="P132" s="77">
        <f t="shared" si="34"/>
        <v>1.7067082398249831E-3</v>
      </c>
      <c r="Q132" s="77">
        <f t="shared" si="34"/>
        <v>1.5832284123507262E-3</v>
      </c>
      <c r="R132" s="77">
        <f t="shared" si="34"/>
        <v>1.5624392708412298E-3</v>
      </c>
      <c r="S132" s="77">
        <f t="shared" si="34"/>
        <v>1.5287568175924725E-3</v>
      </c>
      <c r="T132" s="77">
        <f t="shared" si="34"/>
        <v>1.5176399549065558E-3</v>
      </c>
      <c r="U132" s="77">
        <f t="shared" si="34"/>
        <v>1.4885249040045337E-3</v>
      </c>
      <c r="V132" s="77">
        <f t="shared" si="34"/>
        <v>1.6889241072420122E-3</v>
      </c>
      <c r="W132" s="77">
        <f t="shared" si="34"/>
        <v>1.5936336859828336E-3</v>
      </c>
      <c r="DA132" s="49"/>
    </row>
    <row r="133" spans="1:105" ht="11.5" customHeight="1" x14ac:dyDescent="0.35">
      <c r="A133" s="59" t="str">
        <f>$A$11</f>
        <v>Conventional passenger trains</v>
      </c>
      <c r="B133" s="77">
        <f t="shared" si="34"/>
        <v>2.1472110568240894E-2</v>
      </c>
      <c r="C133" s="77">
        <f t="shared" si="34"/>
        <v>1.9837847232257264E-2</v>
      </c>
      <c r="D133" s="77">
        <f t="shared" si="34"/>
        <v>1.9812795475298562E-2</v>
      </c>
      <c r="E133" s="77">
        <f t="shared" si="34"/>
        <v>1.9356089165904915E-2</v>
      </c>
      <c r="F133" s="77">
        <f t="shared" si="34"/>
        <v>1.9105161344720654E-2</v>
      </c>
      <c r="G133" s="77">
        <f t="shared" si="34"/>
        <v>1.8951331954593979E-2</v>
      </c>
      <c r="H133" s="77">
        <f t="shared" si="34"/>
        <v>1.7184308133013925E-2</v>
      </c>
      <c r="I133" s="77">
        <f t="shared" si="34"/>
        <v>1.7382943416207792E-2</v>
      </c>
      <c r="J133" s="77">
        <f t="shared" si="34"/>
        <v>1.7039269557612039E-2</v>
      </c>
      <c r="K133" s="77">
        <f t="shared" si="34"/>
        <v>1.6397186225608245E-2</v>
      </c>
      <c r="L133" s="77">
        <f t="shared" si="34"/>
        <v>1.6474618470976192E-2</v>
      </c>
      <c r="M133" s="77">
        <f t="shared" si="34"/>
        <v>1.6435074537693793E-2</v>
      </c>
      <c r="N133" s="77">
        <f t="shared" si="34"/>
        <v>1.7182700775464285E-2</v>
      </c>
      <c r="O133" s="77">
        <f t="shared" si="34"/>
        <v>1.5094290895030034E-2</v>
      </c>
      <c r="P133" s="77">
        <f t="shared" si="34"/>
        <v>1.4266745097460159E-2</v>
      </c>
      <c r="Q133" s="77">
        <f t="shared" si="34"/>
        <v>1.4176690761969585E-2</v>
      </c>
      <c r="R133" s="77">
        <f t="shared" si="34"/>
        <v>1.4121032184667247E-2</v>
      </c>
      <c r="S133" s="77">
        <f t="shared" si="34"/>
        <v>1.3633060364655419E-2</v>
      </c>
      <c r="T133" s="77">
        <f t="shared" si="34"/>
        <v>1.3308302454373094E-2</v>
      </c>
      <c r="U133" s="77">
        <f t="shared" si="34"/>
        <v>1.2862379555452974E-2</v>
      </c>
      <c r="V133" s="77">
        <f t="shared" si="34"/>
        <v>1.463433012900101E-2</v>
      </c>
      <c r="W133" s="77">
        <f t="shared" si="34"/>
        <v>1.5166519654210927E-2</v>
      </c>
      <c r="DA133" s="49"/>
    </row>
    <row r="134" spans="1:105" ht="11.5" customHeight="1" x14ac:dyDescent="0.35">
      <c r="A134" s="59" t="str">
        <f>$A$12</f>
        <v>High speed passenger trains</v>
      </c>
      <c r="B134" s="77">
        <f t="shared" si="34"/>
        <v>2.2103542452033449E-3</v>
      </c>
      <c r="C134" s="77">
        <f t="shared" si="34"/>
        <v>2.4933038230782675E-3</v>
      </c>
      <c r="D134" s="77">
        <f t="shared" si="34"/>
        <v>2.5540333309596692E-3</v>
      </c>
      <c r="E134" s="77">
        <f t="shared" si="34"/>
        <v>2.5897670219252912E-3</v>
      </c>
      <c r="F134" s="77">
        <f t="shared" si="34"/>
        <v>2.7161301911019613E-3</v>
      </c>
      <c r="G134" s="77">
        <f t="shared" si="34"/>
        <v>2.7667835166337246E-3</v>
      </c>
      <c r="H134" s="77">
        <f t="shared" si="34"/>
        <v>2.7192982167568457E-3</v>
      </c>
      <c r="I134" s="77">
        <f t="shared" si="34"/>
        <v>2.7091226564171008E-3</v>
      </c>
      <c r="J134" s="77">
        <f t="shared" si="34"/>
        <v>3.0307729033848467E-3</v>
      </c>
      <c r="K134" s="77">
        <f t="shared" si="34"/>
        <v>3.4795555699864375E-3</v>
      </c>
      <c r="L134" s="77">
        <f t="shared" si="34"/>
        <v>3.5015890127598191E-3</v>
      </c>
      <c r="M134" s="77">
        <f t="shared" si="34"/>
        <v>3.3769053306189384E-3</v>
      </c>
      <c r="N134" s="77">
        <f t="shared" si="34"/>
        <v>3.5126900395572049E-3</v>
      </c>
      <c r="O134" s="77">
        <f t="shared" si="34"/>
        <v>3.51332615030878E-3</v>
      </c>
      <c r="P134" s="77">
        <f t="shared" si="34"/>
        <v>3.3314847187398923E-3</v>
      </c>
      <c r="Q134" s="77">
        <f t="shared" si="34"/>
        <v>3.313540357010794E-3</v>
      </c>
      <c r="R134" s="77">
        <f t="shared" si="34"/>
        <v>3.2042451246261728E-3</v>
      </c>
      <c r="S134" s="77">
        <f t="shared" si="34"/>
        <v>3.2242762885511555E-3</v>
      </c>
      <c r="T134" s="77">
        <f t="shared" si="34"/>
        <v>3.1163037217154829E-3</v>
      </c>
      <c r="U134" s="77">
        <f t="shared" si="34"/>
        <v>3.1842198776056087E-3</v>
      </c>
      <c r="V134" s="77">
        <f t="shared" si="34"/>
        <v>3.2665518674769769E-3</v>
      </c>
      <c r="W134" s="77">
        <f t="shared" si="34"/>
        <v>3.3712897635089539E-3</v>
      </c>
      <c r="DA134" s="49"/>
    </row>
    <row r="135" spans="1:105" ht="11.5" customHeight="1" x14ac:dyDescent="0.35">
      <c r="A135" s="61" t="str">
        <f>$A$13</f>
        <v>Aviation</v>
      </c>
      <c r="B135" s="78">
        <f t="shared" si="34"/>
        <v>0.15502539921932887</v>
      </c>
      <c r="C135" s="78">
        <f t="shared" si="34"/>
        <v>0.15099426029132537</v>
      </c>
      <c r="D135" s="78">
        <f t="shared" si="34"/>
        <v>0.1446808964264267</v>
      </c>
      <c r="E135" s="78">
        <f t="shared" si="34"/>
        <v>0.145765172823939</v>
      </c>
      <c r="F135" s="78">
        <f t="shared" si="34"/>
        <v>0.15176527301836687</v>
      </c>
      <c r="G135" s="78">
        <f t="shared" si="34"/>
        <v>0.15806148576995296</v>
      </c>
      <c r="H135" s="78">
        <f t="shared" si="34"/>
        <v>0.16159657950023534</v>
      </c>
      <c r="I135" s="78">
        <f t="shared" si="34"/>
        <v>0.16576855970969898</v>
      </c>
      <c r="J135" s="78">
        <f t="shared" si="34"/>
        <v>0.16765403230726178</v>
      </c>
      <c r="K135" s="78">
        <f t="shared" si="34"/>
        <v>0.15670946793135379</v>
      </c>
      <c r="L135" s="78">
        <f t="shared" si="34"/>
        <v>0.1585320071867331</v>
      </c>
      <c r="M135" s="78">
        <f t="shared" si="34"/>
        <v>0.16429262199669345</v>
      </c>
      <c r="N135" s="78">
        <f t="shared" si="34"/>
        <v>0.16572052378745264</v>
      </c>
      <c r="O135" s="78">
        <f t="shared" si="34"/>
        <v>0.1656072655526579</v>
      </c>
      <c r="P135" s="78">
        <f t="shared" si="34"/>
        <v>0.16440668176289991</v>
      </c>
      <c r="Q135" s="78">
        <f t="shared" si="34"/>
        <v>0.16789972054083815</v>
      </c>
      <c r="R135" s="78">
        <f t="shared" si="34"/>
        <v>0.17383079810616817</v>
      </c>
      <c r="S135" s="78">
        <f t="shared" si="34"/>
        <v>0.1820286177798158</v>
      </c>
      <c r="T135" s="78">
        <f t="shared" si="34"/>
        <v>0.19080572599330206</v>
      </c>
      <c r="U135" s="78">
        <f t="shared" si="34"/>
        <v>0.19378115168671634</v>
      </c>
      <c r="V135" s="78">
        <f t="shared" si="34"/>
        <v>9.4091546624679681E-2</v>
      </c>
      <c r="W135" s="78">
        <f t="shared" si="34"/>
        <v>0.10916623826203747</v>
      </c>
      <c r="DA135" s="63"/>
    </row>
    <row r="136" spans="1:105" ht="11.5" customHeight="1" x14ac:dyDescent="0.35">
      <c r="A136" s="59" t="str">
        <f>$A$14</f>
        <v>Domestic</v>
      </c>
      <c r="B136" s="77">
        <f t="shared" si="34"/>
        <v>2.6884910441931951E-2</v>
      </c>
      <c r="C136" s="77">
        <f t="shared" si="34"/>
        <v>2.5952988632243851E-2</v>
      </c>
      <c r="D136" s="77">
        <f t="shared" si="34"/>
        <v>2.4180215085752414E-2</v>
      </c>
      <c r="E136" s="77">
        <f t="shared" si="34"/>
        <v>2.4368725191671905E-2</v>
      </c>
      <c r="F136" s="77">
        <f t="shared" si="34"/>
        <v>2.4699144409143503E-2</v>
      </c>
      <c r="G136" s="77">
        <f t="shared" si="34"/>
        <v>2.6479557453153432E-2</v>
      </c>
      <c r="H136" s="77">
        <f t="shared" si="34"/>
        <v>2.6634234953374254E-2</v>
      </c>
      <c r="I136" s="77">
        <f t="shared" si="34"/>
        <v>2.7511307838359419E-2</v>
      </c>
      <c r="J136" s="77">
        <f t="shared" si="34"/>
        <v>2.6697621954978375E-2</v>
      </c>
      <c r="K136" s="77">
        <f t="shared" si="34"/>
        <v>2.4574990889943929E-2</v>
      </c>
      <c r="L136" s="77">
        <f t="shared" si="34"/>
        <v>2.5611550072220501E-2</v>
      </c>
      <c r="M136" s="77">
        <f t="shared" si="34"/>
        <v>2.7170023912947778E-2</v>
      </c>
      <c r="N136" s="77">
        <f t="shared" si="34"/>
        <v>2.5832801104519541E-2</v>
      </c>
      <c r="O136" s="77">
        <f t="shared" si="34"/>
        <v>2.4271181333860768E-2</v>
      </c>
      <c r="P136" s="77">
        <f t="shared" si="34"/>
        <v>2.3816348027967033E-2</v>
      </c>
      <c r="Q136" s="77">
        <f t="shared" si="34"/>
        <v>2.4305967114556199E-2</v>
      </c>
      <c r="R136" s="77">
        <f t="shared" si="34"/>
        <v>2.5274909952295133E-2</v>
      </c>
      <c r="S136" s="77">
        <f t="shared" si="34"/>
        <v>2.5873939767101565E-2</v>
      </c>
      <c r="T136" s="77">
        <f t="shared" si="34"/>
        <v>2.6857137540005536E-2</v>
      </c>
      <c r="U136" s="77">
        <f t="shared" si="34"/>
        <v>2.7544364598685391E-2</v>
      </c>
      <c r="V136" s="77">
        <f t="shared" si="34"/>
        <v>1.6483755466995546E-2</v>
      </c>
      <c r="W136" s="77">
        <f t="shared" si="34"/>
        <v>2.1650347915992418E-2</v>
      </c>
      <c r="DA136" s="49"/>
    </row>
    <row r="137" spans="1:105" ht="11.5" customHeight="1" x14ac:dyDescent="0.35">
      <c r="A137" s="59" t="str">
        <f>$A$15</f>
        <v>International - Intra-EEAwUK</v>
      </c>
      <c r="B137" s="77">
        <f t="shared" si="34"/>
        <v>5.3649761378993362E-2</v>
      </c>
      <c r="C137" s="77">
        <f t="shared" si="34"/>
        <v>5.3432665700743433E-2</v>
      </c>
      <c r="D137" s="77">
        <f t="shared" si="34"/>
        <v>5.0325649956190988E-2</v>
      </c>
      <c r="E137" s="77">
        <f t="shared" si="34"/>
        <v>5.3549835629601979E-2</v>
      </c>
      <c r="F137" s="77">
        <f t="shared" si="34"/>
        <v>5.5154180490370575E-2</v>
      </c>
      <c r="G137" s="77">
        <f t="shared" si="34"/>
        <v>5.7427872542232888E-2</v>
      </c>
      <c r="H137" s="77">
        <f t="shared" si="34"/>
        <v>6.0074186296605422E-2</v>
      </c>
      <c r="I137" s="77">
        <f t="shared" si="34"/>
        <v>6.2619895962925901E-2</v>
      </c>
      <c r="J137" s="77">
        <f t="shared" si="34"/>
        <v>6.3492294952107078E-2</v>
      </c>
      <c r="K137" s="77">
        <f t="shared" si="34"/>
        <v>5.675893110704823E-2</v>
      </c>
      <c r="L137" s="77">
        <f t="shared" si="34"/>
        <v>5.6944723774407707E-2</v>
      </c>
      <c r="M137" s="77">
        <f t="shared" si="34"/>
        <v>5.99064851019218E-2</v>
      </c>
      <c r="N137" s="77">
        <f t="shared" si="34"/>
        <v>5.9805748832572066E-2</v>
      </c>
      <c r="O137" s="77">
        <f t="shared" ref="O137:W137" si="35">IF(O45=0,0,O45/O$34)</f>
        <v>6.05570160514078E-2</v>
      </c>
      <c r="P137" s="77">
        <f t="shared" si="35"/>
        <v>6.1199841871171078E-2</v>
      </c>
      <c r="Q137" s="77">
        <f t="shared" si="35"/>
        <v>6.3108560939890299E-2</v>
      </c>
      <c r="R137" s="77">
        <f t="shared" si="35"/>
        <v>6.7949214603419808E-2</v>
      </c>
      <c r="S137" s="77">
        <f t="shared" si="35"/>
        <v>7.373782793020224E-2</v>
      </c>
      <c r="T137" s="77">
        <f t="shared" si="35"/>
        <v>7.7305715833835525E-2</v>
      </c>
      <c r="U137" s="77">
        <f t="shared" si="35"/>
        <v>7.7075439366129581E-2</v>
      </c>
      <c r="V137" s="77">
        <f t="shared" si="35"/>
        <v>3.047169614360884E-2</v>
      </c>
      <c r="W137" s="77">
        <f t="shared" si="35"/>
        <v>3.7727335344316486E-2</v>
      </c>
      <c r="DA137" s="49"/>
    </row>
    <row r="138" spans="1:105" ht="11.5" customHeight="1" x14ac:dyDescent="0.35">
      <c r="A138" s="59" t="str">
        <f>$A$16</f>
        <v>International - Extra-EEAwUK</v>
      </c>
      <c r="B138" s="77">
        <f t="shared" ref="B138:W138" si="36">IF(B46=0,0,B46/B$34)</f>
        <v>7.4490727398403567E-2</v>
      </c>
      <c r="C138" s="77">
        <f t="shared" si="36"/>
        <v>7.1608605958338081E-2</v>
      </c>
      <c r="D138" s="77">
        <f t="shared" si="36"/>
        <v>7.0175031384483291E-2</v>
      </c>
      <c r="E138" s="77">
        <f t="shared" si="36"/>
        <v>6.7846612002665105E-2</v>
      </c>
      <c r="F138" s="77">
        <f t="shared" si="36"/>
        <v>7.1911948118852806E-2</v>
      </c>
      <c r="G138" s="77">
        <f t="shared" si="36"/>
        <v>7.4154055774566643E-2</v>
      </c>
      <c r="H138" s="77">
        <f t="shared" si="36"/>
        <v>7.4888158250255646E-2</v>
      </c>
      <c r="I138" s="77">
        <f t="shared" si="36"/>
        <v>7.5637355908413667E-2</v>
      </c>
      <c r="J138" s="77">
        <f t="shared" si="36"/>
        <v>7.7464115400176323E-2</v>
      </c>
      <c r="K138" s="77">
        <f t="shared" si="36"/>
        <v>7.5375545934361618E-2</v>
      </c>
      <c r="L138" s="77">
        <f t="shared" si="36"/>
        <v>7.5975733340104878E-2</v>
      </c>
      <c r="M138" s="77">
        <f t="shared" si="36"/>
        <v>7.7216112981823876E-2</v>
      </c>
      <c r="N138" s="77">
        <f t="shared" si="36"/>
        <v>8.0081973850361018E-2</v>
      </c>
      <c r="O138" s="77">
        <f t="shared" si="36"/>
        <v>8.0779068167389334E-2</v>
      </c>
      <c r="P138" s="77">
        <f t="shared" si="36"/>
        <v>7.9390491863761792E-2</v>
      </c>
      <c r="Q138" s="77">
        <f t="shared" si="36"/>
        <v>8.0485192486391646E-2</v>
      </c>
      <c r="R138" s="77">
        <f t="shared" si="36"/>
        <v>8.0606673550453214E-2</v>
      </c>
      <c r="S138" s="77">
        <f t="shared" si="36"/>
        <v>8.2416850082511983E-2</v>
      </c>
      <c r="T138" s="77">
        <f t="shared" si="36"/>
        <v>8.6642872619461006E-2</v>
      </c>
      <c r="U138" s="77">
        <f t="shared" si="36"/>
        <v>8.9161347721901332E-2</v>
      </c>
      <c r="V138" s="77">
        <f t="shared" si="36"/>
        <v>4.7136095014075313E-2</v>
      </c>
      <c r="W138" s="77">
        <f t="shared" si="36"/>
        <v>4.9788555001728581E-2</v>
      </c>
      <c r="DA138" s="49"/>
    </row>
    <row r="139" spans="1:105" ht="11.5" customHeight="1" x14ac:dyDescent="0.35">
      <c r="A139" s="53" t="s">
        <v>79</v>
      </c>
      <c r="B139" s="75">
        <f t="shared" ref="B139:W150" si="37">IF(B47=0,0,B47/B$47)</f>
        <v>1</v>
      </c>
      <c r="C139" s="75">
        <f t="shared" si="37"/>
        <v>1</v>
      </c>
      <c r="D139" s="75">
        <f t="shared" si="37"/>
        <v>1</v>
      </c>
      <c r="E139" s="75">
        <f t="shared" si="37"/>
        <v>1</v>
      </c>
      <c r="F139" s="75">
        <f t="shared" si="37"/>
        <v>1</v>
      </c>
      <c r="G139" s="75">
        <f t="shared" si="37"/>
        <v>1</v>
      </c>
      <c r="H139" s="75">
        <f t="shared" si="37"/>
        <v>1</v>
      </c>
      <c r="I139" s="75">
        <f t="shared" si="37"/>
        <v>1</v>
      </c>
      <c r="J139" s="75">
        <f t="shared" si="37"/>
        <v>1</v>
      </c>
      <c r="K139" s="75">
        <f t="shared" si="37"/>
        <v>1</v>
      </c>
      <c r="L139" s="75">
        <f t="shared" si="37"/>
        <v>1</v>
      </c>
      <c r="M139" s="75">
        <f t="shared" si="37"/>
        <v>1</v>
      </c>
      <c r="N139" s="75">
        <f t="shared" si="37"/>
        <v>1</v>
      </c>
      <c r="O139" s="75">
        <f t="shared" si="37"/>
        <v>1</v>
      </c>
      <c r="P139" s="75">
        <f t="shared" si="37"/>
        <v>1</v>
      </c>
      <c r="Q139" s="75">
        <f t="shared" si="37"/>
        <v>1</v>
      </c>
      <c r="R139" s="75">
        <f t="shared" si="37"/>
        <v>1</v>
      </c>
      <c r="S139" s="75">
        <f t="shared" si="37"/>
        <v>1</v>
      </c>
      <c r="T139" s="75">
        <f t="shared" si="37"/>
        <v>1</v>
      </c>
      <c r="U139" s="75">
        <f t="shared" si="37"/>
        <v>1</v>
      </c>
      <c r="V139" s="75">
        <f t="shared" si="37"/>
        <v>1</v>
      </c>
      <c r="W139" s="75">
        <f t="shared" si="37"/>
        <v>1</v>
      </c>
      <c r="DA139" s="55"/>
    </row>
    <row r="140" spans="1:105" ht="11.5" customHeight="1" x14ac:dyDescent="0.35">
      <c r="A140" s="56" t="str">
        <f>$A$18</f>
        <v>Road transport</v>
      </c>
      <c r="B140" s="76">
        <f t="shared" si="37"/>
        <v>0.88289490246608415</v>
      </c>
      <c r="C140" s="76">
        <f t="shared" si="37"/>
        <v>0.88654425108821266</v>
      </c>
      <c r="D140" s="76">
        <f t="shared" si="37"/>
        <v>0.88575560830051958</v>
      </c>
      <c r="E140" s="76">
        <f t="shared" si="37"/>
        <v>0.88556520988660015</v>
      </c>
      <c r="F140" s="76">
        <f t="shared" si="37"/>
        <v>0.88673496108983285</v>
      </c>
      <c r="G140" s="76">
        <f t="shared" si="37"/>
        <v>0.88864417384688621</v>
      </c>
      <c r="H140" s="76">
        <f t="shared" si="37"/>
        <v>0.8876151124005639</v>
      </c>
      <c r="I140" s="76">
        <f t="shared" si="37"/>
        <v>0.8891115009218048</v>
      </c>
      <c r="J140" s="76">
        <f t="shared" si="37"/>
        <v>0.88721271267663671</v>
      </c>
      <c r="K140" s="76">
        <f t="shared" si="37"/>
        <v>0.89042336226279262</v>
      </c>
      <c r="L140" s="76">
        <f t="shared" si="37"/>
        <v>0.89012689191200933</v>
      </c>
      <c r="M140" s="76">
        <f t="shared" si="37"/>
        <v>0.89534589293996836</v>
      </c>
      <c r="N140" s="76">
        <f t="shared" si="37"/>
        <v>0.89564767709209414</v>
      </c>
      <c r="O140" s="76">
        <f t="shared" si="37"/>
        <v>0.89863252063802557</v>
      </c>
      <c r="P140" s="76">
        <f t="shared" si="37"/>
        <v>0.9030073910047397</v>
      </c>
      <c r="Q140" s="76">
        <f t="shared" si="37"/>
        <v>0.90002657960939725</v>
      </c>
      <c r="R140" s="76">
        <f t="shared" si="37"/>
        <v>0.90329144824005403</v>
      </c>
      <c r="S140" s="76">
        <f t="shared" si="37"/>
        <v>0.90102074037477475</v>
      </c>
      <c r="T140" s="76">
        <f t="shared" si="37"/>
        <v>0.9036781485063089</v>
      </c>
      <c r="U140" s="76">
        <f t="shared" si="37"/>
        <v>0.90668385105513583</v>
      </c>
      <c r="V140" s="76">
        <f t="shared" si="37"/>
        <v>0.8963697205036143</v>
      </c>
      <c r="W140" s="76">
        <f t="shared" si="37"/>
        <v>0.89793779780827088</v>
      </c>
      <c r="DA140" s="58"/>
    </row>
    <row r="141" spans="1:105" ht="11.5" customHeight="1" x14ac:dyDescent="0.35">
      <c r="A141" s="59" t="str">
        <f>$A$19</f>
        <v>Light commercial vehicles</v>
      </c>
      <c r="B141" s="77">
        <f t="shared" si="37"/>
        <v>0.36864341717558768</v>
      </c>
      <c r="C141" s="77">
        <f t="shared" si="37"/>
        <v>0.35894053020810546</v>
      </c>
      <c r="D141" s="77">
        <f t="shared" si="37"/>
        <v>0.35475509170337682</v>
      </c>
      <c r="E141" s="77">
        <f t="shared" si="37"/>
        <v>0.35176837913934328</v>
      </c>
      <c r="F141" s="77">
        <f t="shared" si="37"/>
        <v>0.33972891174772396</v>
      </c>
      <c r="G141" s="77">
        <f t="shared" si="37"/>
        <v>0.33563513383291305</v>
      </c>
      <c r="H141" s="77">
        <f t="shared" si="37"/>
        <v>0.31699631438056497</v>
      </c>
      <c r="I141" s="77">
        <f t="shared" si="37"/>
        <v>0.31897837080759189</v>
      </c>
      <c r="J141" s="77">
        <f t="shared" si="37"/>
        <v>0.32289590860882417</v>
      </c>
      <c r="K141" s="77">
        <f t="shared" si="37"/>
        <v>0.33904441835177579</v>
      </c>
      <c r="L141" s="77">
        <f t="shared" si="37"/>
        <v>0.33848050115236006</v>
      </c>
      <c r="M141" s="77">
        <f t="shared" si="37"/>
        <v>0.34653380803873335</v>
      </c>
      <c r="N141" s="77">
        <f t="shared" si="37"/>
        <v>0.34436424939388627</v>
      </c>
      <c r="O141" s="77">
        <f t="shared" si="37"/>
        <v>0.34589350526058754</v>
      </c>
      <c r="P141" s="77">
        <f t="shared" si="37"/>
        <v>0.35459127751145114</v>
      </c>
      <c r="Q141" s="77">
        <f t="shared" si="37"/>
        <v>0.34804656032151349</v>
      </c>
      <c r="R141" s="77">
        <f t="shared" si="37"/>
        <v>0.33367309487667834</v>
      </c>
      <c r="S141" s="77">
        <f t="shared" si="37"/>
        <v>0.32601565185618109</v>
      </c>
      <c r="T141" s="77">
        <f t="shared" si="37"/>
        <v>0.32262326994779827</v>
      </c>
      <c r="U141" s="77">
        <f t="shared" si="37"/>
        <v>0.32411655600141187</v>
      </c>
      <c r="V141" s="77">
        <f t="shared" si="37"/>
        <v>0.31945012194135158</v>
      </c>
      <c r="W141" s="77">
        <f t="shared" si="37"/>
        <v>0.32303001471509607</v>
      </c>
      <c r="DA141" s="49"/>
    </row>
    <row r="142" spans="1:105" ht="11.5" customHeight="1" x14ac:dyDescent="0.35">
      <c r="A142" s="59" t="str">
        <f>$A$20</f>
        <v>Heavy goods vehicles</v>
      </c>
      <c r="B142" s="77">
        <f t="shared" si="37"/>
        <v>0.51425148529049647</v>
      </c>
      <c r="C142" s="77">
        <f t="shared" si="37"/>
        <v>0.52760372088010732</v>
      </c>
      <c r="D142" s="77">
        <f t="shared" si="37"/>
        <v>0.53100051659714276</v>
      </c>
      <c r="E142" s="77">
        <f t="shared" si="37"/>
        <v>0.53379683074725692</v>
      </c>
      <c r="F142" s="77">
        <f t="shared" si="37"/>
        <v>0.54700604934210895</v>
      </c>
      <c r="G142" s="77">
        <f t="shared" si="37"/>
        <v>0.55300904001397311</v>
      </c>
      <c r="H142" s="77">
        <f t="shared" si="37"/>
        <v>0.57061879801999893</v>
      </c>
      <c r="I142" s="77">
        <f t="shared" si="37"/>
        <v>0.57013313011421285</v>
      </c>
      <c r="J142" s="77">
        <f t="shared" si="37"/>
        <v>0.56431680406781259</v>
      </c>
      <c r="K142" s="77">
        <f t="shared" si="37"/>
        <v>0.55137894391101694</v>
      </c>
      <c r="L142" s="77">
        <f t="shared" si="37"/>
        <v>0.55164639075964927</v>
      </c>
      <c r="M142" s="77">
        <f t="shared" si="37"/>
        <v>0.54881208490123501</v>
      </c>
      <c r="N142" s="77">
        <f t="shared" si="37"/>
        <v>0.55128342769820793</v>
      </c>
      <c r="O142" s="77">
        <f t="shared" si="37"/>
        <v>0.55273901537743797</v>
      </c>
      <c r="P142" s="77">
        <f t="shared" si="37"/>
        <v>0.54841611349328845</v>
      </c>
      <c r="Q142" s="77">
        <f t="shared" si="37"/>
        <v>0.55198001928788365</v>
      </c>
      <c r="R142" s="77">
        <f t="shared" si="37"/>
        <v>0.56961835336337563</v>
      </c>
      <c r="S142" s="77">
        <f t="shared" si="37"/>
        <v>0.57500508851859367</v>
      </c>
      <c r="T142" s="77">
        <f t="shared" si="37"/>
        <v>0.58105487855851068</v>
      </c>
      <c r="U142" s="77">
        <f t="shared" si="37"/>
        <v>0.58256729505372407</v>
      </c>
      <c r="V142" s="77">
        <f t="shared" si="37"/>
        <v>0.57691959856226271</v>
      </c>
      <c r="W142" s="77">
        <f t="shared" si="37"/>
        <v>0.57490778309317481</v>
      </c>
      <c r="DA142" s="49"/>
    </row>
    <row r="143" spans="1:105" ht="11.5" customHeight="1" x14ac:dyDescent="0.35">
      <c r="A143" s="61" t="str">
        <f>$A$21</f>
        <v>Rail transport</v>
      </c>
      <c r="B143" s="78">
        <f t="shared" si="37"/>
        <v>2.5281617852296972E-2</v>
      </c>
      <c r="C143" s="78">
        <f t="shared" si="37"/>
        <v>2.4031053518675294E-2</v>
      </c>
      <c r="D143" s="78">
        <f t="shared" si="37"/>
        <v>2.3948278587092107E-2</v>
      </c>
      <c r="E143" s="78">
        <f t="shared" si="37"/>
        <v>2.1493180417029693E-2</v>
      </c>
      <c r="F143" s="78">
        <f t="shared" si="37"/>
        <v>2.0673828243027582E-2</v>
      </c>
      <c r="G143" s="78">
        <f t="shared" si="37"/>
        <v>1.8736783181733177E-2</v>
      </c>
      <c r="H143" s="78">
        <f t="shared" si="37"/>
        <v>1.8407922190611423E-2</v>
      </c>
      <c r="I143" s="78">
        <f t="shared" si="37"/>
        <v>1.878759175016324E-2</v>
      </c>
      <c r="J143" s="78">
        <f t="shared" si="37"/>
        <v>1.7684733006895409E-2</v>
      </c>
      <c r="K143" s="78">
        <f t="shared" si="37"/>
        <v>1.6147806362700769E-2</v>
      </c>
      <c r="L143" s="78">
        <f t="shared" si="37"/>
        <v>1.7060771959919546E-2</v>
      </c>
      <c r="M143" s="78">
        <f t="shared" si="37"/>
        <v>1.6926315516226958E-2</v>
      </c>
      <c r="N143" s="78">
        <f t="shared" si="37"/>
        <v>1.6960241835814006E-2</v>
      </c>
      <c r="O143" s="78">
        <f t="shared" si="37"/>
        <v>1.6075381479532785E-2</v>
      </c>
      <c r="P143" s="78">
        <f t="shared" si="37"/>
        <v>1.5529451734742374E-2</v>
      </c>
      <c r="Q143" s="78">
        <f t="shared" si="37"/>
        <v>1.4844948332429747E-2</v>
      </c>
      <c r="R143" s="78">
        <f t="shared" si="37"/>
        <v>1.430594368559202E-2</v>
      </c>
      <c r="S143" s="78">
        <f t="shared" si="37"/>
        <v>1.4217625174169288E-2</v>
      </c>
      <c r="T143" s="78">
        <f t="shared" si="37"/>
        <v>1.4235596017462694E-2</v>
      </c>
      <c r="U143" s="78">
        <f t="shared" si="37"/>
        <v>1.3504595563795001E-2</v>
      </c>
      <c r="V143" s="78">
        <f t="shared" si="37"/>
        <v>1.4561413453448179E-2</v>
      </c>
      <c r="W143" s="78">
        <f t="shared" si="37"/>
        <v>1.3854696770155413E-2</v>
      </c>
      <c r="DA143" s="63"/>
    </row>
    <row r="144" spans="1:105" ht="11.5" customHeight="1" x14ac:dyDescent="0.35">
      <c r="A144" s="61" t="str">
        <f>$A$22</f>
        <v>Aviation</v>
      </c>
      <c r="B144" s="78">
        <f t="shared" si="37"/>
        <v>3.0808070662785673E-2</v>
      </c>
      <c r="C144" s="78">
        <f t="shared" si="37"/>
        <v>2.8099340399171325E-2</v>
      </c>
      <c r="D144" s="78">
        <f t="shared" si="37"/>
        <v>2.9912871770871589E-2</v>
      </c>
      <c r="E144" s="78">
        <f t="shared" si="37"/>
        <v>3.0910915369164606E-2</v>
      </c>
      <c r="F144" s="78">
        <f t="shared" si="37"/>
        <v>3.2213836820580634E-2</v>
      </c>
      <c r="G144" s="78">
        <f t="shared" si="37"/>
        <v>3.4421696226178293E-2</v>
      </c>
      <c r="H144" s="78">
        <f t="shared" si="37"/>
        <v>3.6585091038692535E-2</v>
      </c>
      <c r="I144" s="78">
        <f t="shared" si="37"/>
        <v>3.7400693485963324E-2</v>
      </c>
      <c r="J144" s="78">
        <f t="shared" si="37"/>
        <v>3.9635321732346365E-2</v>
      </c>
      <c r="K144" s="78">
        <f t="shared" si="37"/>
        <v>3.548109784054905E-2</v>
      </c>
      <c r="L144" s="78">
        <f t="shared" si="37"/>
        <v>3.8827520089746541E-2</v>
      </c>
      <c r="M144" s="78">
        <f t="shared" si="37"/>
        <v>3.851788163079365E-2</v>
      </c>
      <c r="N144" s="78">
        <f t="shared" si="37"/>
        <v>3.7369668382725374E-2</v>
      </c>
      <c r="O144" s="78">
        <f t="shared" si="37"/>
        <v>3.8426270273840324E-2</v>
      </c>
      <c r="P144" s="78">
        <f t="shared" si="37"/>
        <v>3.7560406807693361E-2</v>
      </c>
      <c r="Q144" s="78">
        <f t="shared" si="37"/>
        <v>3.9031086078189697E-2</v>
      </c>
      <c r="R144" s="78">
        <f t="shared" si="37"/>
        <v>3.6178374322932617E-2</v>
      </c>
      <c r="S144" s="78">
        <f t="shared" si="37"/>
        <v>3.8261810334409598E-2</v>
      </c>
      <c r="T144" s="78">
        <f t="shared" si="37"/>
        <v>3.7849314024835046E-2</v>
      </c>
      <c r="U144" s="78">
        <f t="shared" si="37"/>
        <v>3.5236641838382946E-2</v>
      </c>
      <c r="V144" s="78">
        <f t="shared" si="37"/>
        <v>4.86260854295857E-2</v>
      </c>
      <c r="W144" s="78">
        <f t="shared" si="37"/>
        <v>4.8445535553811946E-2</v>
      </c>
      <c r="DA144" s="63"/>
    </row>
    <row r="145" spans="1:105" ht="11.5" customHeight="1" x14ac:dyDescent="0.35">
      <c r="A145" s="59" t="s">
        <v>69</v>
      </c>
      <c r="B145" s="77">
        <f t="shared" si="37"/>
        <v>2.3844609297238167E-3</v>
      </c>
      <c r="C145" s="77">
        <f t="shared" si="37"/>
        <v>2.5025351967473764E-3</v>
      </c>
      <c r="D145" s="77">
        <f t="shared" si="37"/>
        <v>2.1577133544190825E-3</v>
      </c>
      <c r="E145" s="77">
        <f t="shared" si="37"/>
        <v>1.7728420391598242E-3</v>
      </c>
      <c r="F145" s="77">
        <f t="shared" si="37"/>
        <v>1.8140170684114369E-3</v>
      </c>
      <c r="G145" s="77">
        <f t="shared" si="37"/>
        <v>1.7806744050521009E-3</v>
      </c>
      <c r="H145" s="77">
        <f t="shared" si="37"/>
        <v>1.7035597561048217E-3</v>
      </c>
      <c r="I145" s="77">
        <f t="shared" si="37"/>
        <v>1.568448471342317E-3</v>
      </c>
      <c r="J145" s="77">
        <f t="shared" si="37"/>
        <v>1.5817474529695227E-3</v>
      </c>
      <c r="K145" s="77">
        <f t="shared" si="37"/>
        <v>1.4109065498827443E-3</v>
      </c>
      <c r="L145" s="77">
        <f t="shared" si="37"/>
        <v>1.2837720873012926E-3</v>
      </c>
      <c r="M145" s="77">
        <f t="shared" si="37"/>
        <v>1.2230874511040084E-3</v>
      </c>
      <c r="N145" s="77">
        <f t="shared" si="37"/>
        <v>1.1990459378549514E-3</v>
      </c>
      <c r="O145" s="77">
        <f t="shared" si="37"/>
        <v>1.1590543812558579E-3</v>
      </c>
      <c r="P145" s="77">
        <f t="shared" si="37"/>
        <v>1.2236928383113975E-3</v>
      </c>
      <c r="Q145" s="77">
        <f t="shared" si="37"/>
        <v>1.1843691748126112E-3</v>
      </c>
      <c r="R145" s="77">
        <f t="shared" si="37"/>
        <v>1.037569636242995E-3</v>
      </c>
      <c r="S145" s="77">
        <f t="shared" si="37"/>
        <v>1.0775941388914319E-3</v>
      </c>
      <c r="T145" s="77">
        <f t="shared" si="37"/>
        <v>1.0478170994715089E-3</v>
      </c>
      <c r="U145" s="77">
        <f t="shared" si="37"/>
        <v>1.0578505115624969E-3</v>
      </c>
      <c r="V145" s="77">
        <f t="shared" si="37"/>
        <v>1.0607269320080371E-3</v>
      </c>
      <c r="W145" s="77">
        <f t="shared" si="37"/>
        <v>1.0357313240825811E-3</v>
      </c>
      <c r="DA145" s="49"/>
    </row>
    <row r="146" spans="1:105" ht="11.5" customHeight="1" x14ac:dyDescent="0.35">
      <c r="A146" s="59" t="str">
        <f>$A$24</f>
        <v>International - Intra-EEAwUK</v>
      </c>
      <c r="B146" s="77">
        <f t="shared" si="37"/>
        <v>3.3321277136978324E-3</v>
      </c>
      <c r="C146" s="77">
        <f t="shared" si="37"/>
        <v>2.906331528194158E-3</v>
      </c>
      <c r="D146" s="77">
        <f t="shared" si="37"/>
        <v>3.0836633135391755E-3</v>
      </c>
      <c r="E146" s="77">
        <f t="shared" si="37"/>
        <v>2.9970750651245252E-3</v>
      </c>
      <c r="F146" s="77">
        <f t="shared" si="37"/>
        <v>3.2165450334998664E-3</v>
      </c>
      <c r="G146" s="77">
        <f t="shared" si="37"/>
        <v>3.3789671096458138E-3</v>
      </c>
      <c r="H146" s="77">
        <f t="shared" si="37"/>
        <v>4.1194048222960274E-3</v>
      </c>
      <c r="I146" s="77">
        <f t="shared" si="37"/>
        <v>4.3187469537058418E-3</v>
      </c>
      <c r="J146" s="77">
        <f t="shared" si="37"/>
        <v>4.5072609421957606E-3</v>
      </c>
      <c r="K146" s="77">
        <f t="shared" si="37"/>
        <v>4.2747894240607338E-3</v>
      </c>
      <c r="L146" s="77">
        <f t="shared" si="37"/>
        <v>4.2511949342322894E-3</v>
      </c>
      <c r="M146" s="77">
        <f t="shared" si="37"/>
        <v>4.0448692877020978E-3</v>
      </c>
      <c r="N146" s="77">
        <f t="shared" si="37"/>
        <v>4.0277126216715911E-3</v>
      </c>
      <c r="O146" s="77">
        <f t="shared" si="37"/>
        <v>4.204420548402055E-3</v>
      </c>
      <c r="P146" s="77">
        <f t="shared" si="37"/>
        <v>4.1714351835379308E-3</v>
      </c>
      <c r="Q146" s="77">
        <f t="shared" si="37"/>
        <v>4.2934677288177688E-3</v>
      </c>
      <c r="R146" s="77">
        <f t="shared" si="37"/>
        <v>3.8778446341299322E-3</v>
      </c>
      <c r="S146" s="77">
        <f t="shared" si="37"/>
        <v>4.388851622989228E-3</v>
      </c>
      <c r="T146" s="77">
        <f t="shared" si="37"/>
        <v>4.426665622450956E-3</v>
      </c>
      <c r="U146" s="77">
        <f t="shared" si="37"/>
        <v>4.4197113320699095E-3</v>
      </c>
      <c r="V146" s="77">
        <f t="shared" si="37"/>
        <v>4.7943784433866141E-3</v>
      </c>
      <c r="W146" s="77">
        <f t="shared" si="37"/>
        <v>5.8150667052473013E-3</v>
      </c>
      <c r="DA146" s="49"/>
    </row>
    <row r="147" spans="1:105" ht="11.5" customHeight="1" x14ac:dyDescent="0.35">
      <c r="A147" s="59" t="str">
        <f>$A$25</f>
        <v>International - Extra-EEAwUK</v>
      </c>
      <c r="B147" s="77">
        <f t="shared" si="37"/>
        <v>2.5091482019364026E-2</v>
      </c>
      <c r="C147" s="77">
        <f t="shared" si="37"/>
        <v>2.2690473674229789E-2</v>
      </c>
      <c r="D147" s="77">
        <f t="shared" si="37"/>
        <v>2.4671495102913329E-2</v>
      </c>
      <c r="E147" s="77">
        <f t="shared" si="37"/>
        <v>2.6140998264880255E-2</v>
      </c>
      <c r="F147" s="77">
        <f t="shared" si="37"/>
        <v>2.7183274718669329E-2</v>
      </c>
      <c r="G147" s="77">
        <f t="shared" si="37"/>
        <v>2.9262054711480377E-2</v>
      </c>
      <c r="H147" s="77">
        <f t="shared" si="37"/>
        <v>3.0762126460291684E-2</v>
      </c>
      <c r="I147" s="77">
        <f t="shared" si="37"/>
        <v>3.151349806091517E-2</v>
      </c>
      <c r="J147" s="77">
        <f t="shared" si="37"/>
        <v>3.3546313337181083E-2</v>
      </c>
      <c r="K147" s="77">
        <f t="shared" si="37"/>
        <v>2.9795401866605571E-2</v>
      </c>
      <c r="L147" s="77">
        <f t="shared" si="37"/>
        <v>3.3292553068212959E-2</v>
      </c>
      <c r="M147" s="77">
        <f t="shared" si="37"/>
        <v>3.3249924891987546E-2</v>
      </c>
      <c r="N147" s="77">
        <f t="shared" si="37"/>
        <v>3.2142909823198833E-2</v>
      </c>
      <c r="O147" s="77">
        <f t="shared" si="37"/>
        <v>3.3062795344182411E-2</v>
      </c>
      <c r="P147" s="77">
        <f t="shared" si="37"/>
        <v>3.2165278785844034E-2</v>
      </c>
      <c r="Q147" s="77">
        <f t="shared" si="37"/>
        <v>3.3553249174559319E-2</v>
      </c>
      <c r="R147" s="77">
        <f t="shared" si="37"/>
        <v>3.1262960052559685E-2</v>
      </c>
      <c r="S147" s="77">
        <f t="shared" si="37"/>
        <v>3.2795364572528941E-2</v>
      </c>
      <c r="T147" s="77">
        <f t="shared" si="37"/>
        <v>3.2374831302912577E-2</v>
      </c>
      <c r="U147" s="77">
        <f t="shared" si="37"/>
        <v>2.975907999475054E-2</v>
      </c>
      <c r="V147" s="77">
        <f t="shared" si="37"/>
        <v>4.2770980054191055E-2</v>
      </c>
      <c r="W147" s="77">
        <f t="shared" si="37"/>
        <v>4.1594737524482062E-2</v>
      </c>
      <c r="DA147" s="49"/>
    </row>
    <row r="148" spans="1:105" ht="11.5" customHeight="1" x14ac:dyDescent="0.35">
      <c r="A148" s="61" t="s">
        <v>74</v>
      </c>
      <c r="B148" s="78">
        <f t="shared" si="37"/>
        <v>6.1015409018833143E-2</v>
      </c>
      <c r="C148" s="78">
        <f t="shared" si="37"/>
        <v>6.1325354993940803E-2</v>
      </c>
      <c r="D148" s="78">
        <f t="shared" si="37"/>
        <v>6.0383241341516812E-2</v>
      </c>
      <c r="E148" s="78">
        <f t="shared" si="37"/>
        <v>6.2030694327205448E-2</v>
      </c>
      <c r="F148" s="78">
        <f t="shared" si="37"/>
        <v>6.0377373846559133E-2</v>
      </c>
      <c r="G148" s="78">
        <f t="shared" si="37"/>
        <v>5.8197346745202314E-2</v>
      </c>
      <c r="H148" s="78">
        <f t="shared" si="37"/>
        <v>5.7391874370132198E-2</v>
      </c>
      <c r="I148" s="78">
        <f t="shared" si="37"/>
        <v>5.4700213842068558E-2</v>
      </c>
      <c r="J148" s="78">
        <f t="shared" si="37"/>
        <v>5.5467232584121506E-2</v>
      </c>
      <c r="K148" s="78">
        <f t="shared" si="37"/>
        <v>5.794773353395747E-2</v>
      </c>
      <c r="L148" s="78">
        <f t="shared" si="37"/>
        <v>5.3984816038324578E-2</v>
      </c>
      <c r="M148" s="78">
        <f t="shared" si="37"/>
        <v>4.9209909913011059E-2</v>
      </c>
      <c r="N148" s="78">
        <f t="shared" si="37"/>
        <v>5.0022412689366538E-2</v>
      </c>
      <c r="O148" s="78">
        <f t="shared" si="37"/>
        <v>4.6865827608601286E-2</v>
      </c>
      <c r="P148" s="78">
        <f t="shared" si="37"/>
        <v>4.3902750452824504E-2</v>
      </c>
      <c r="Q148" s="78">
        <f t="shared" si="37"/>
        <v>4.6097385979983509E-2</v>
      </c>
      <c r="R148" s="78">
        <f t="shared" si="37"/>
        <v>4.6224233751421359E-2</v>
      </c>
      <c r="S148" s="78">
        <f t="shared" si="37"/>
        <v>4.6499824116646209E-2</v>
      </c>
      <c r="T148" s="78">
        <f t="shared" si="37"/>
        <v>4.4236941451393251E-2</v>
      </c>
      <c r="U148" s="78">
        <f t="shared" si="37"/>
        <v>4.4574911542686252E-2</v>
      </c>
      <c r="V148" s="78">
        <f t="shared" si="37"/>
        <v>4.0442780613351846E-2</v>
      </c>
      <c r="W148" s="78">
        <f t="shared" si="37"/>
        <v>3.9761969867761732E-2</v>
      </c>
      <c r="DA148" s="63"/>
    </row>
    <row r="149" spans="1:105" ht="11.5" customHeight="1" x14ac:dyDescent="0.35">
      <c r="A149" s="59" t="str">
        <f>$A$27</f>
        <v>Domestic coastal shipping</v>
      </c>
      <c r="B149" s="77">
        <f t="shared" si="37"/>
        <v>4.8304454313301881E-2</v>
      </c>
      <c r="C149" s="77">
        <f t="shared" si="37"/>
        <v>4.8931627676433123E-2</v>
      </c>
      <c r="D149" s="77">
        <f t="shared" si="37"/>
        <v>4.8706837080949576E-2</v>
      </c>
      <c r="E149" s="77">
        <f t="shared" si="37"/>
        <v>5.0416051372510713E-2</v>
      </c>
      <c r="F149" s="77">
        <f t="shared" si="37"/>
        <v>4.9002033395487914E-2</v>
      </c>
      <c r="G149" s="77">
        <f t="shared" si="37"/>
        <v>4.7026131553884243E-2</v>
      </c>
      <c r="H149" s="77">
        <f t="shared" si="37"/>
        <v>4.8147645876936651E-2</v>
      </c>
      <c r="I149" s="77">
        <f t="shared" si="37"/>
        <v>4.4259577709344924E-2</v>
      </c>
      <c r="J149" s="77">
        <f t="shared" si="37"/>
        <v>4.4853775679947881E-2</v>
      </c>
      <c r="K149" s="77">
        <f t="shared" si="37"/>
        <v>4.6583862474150736E-2</v>
      </c>
      <c r="L149" s="77">
        <f t="shared" si="37"/>
        <v>4.2369113366081741E-2</v>
      </c>
      <c r="M149" s="77">
        <f t="shared" si="37"/>
        <v>3.742464317109976E-2</v>
      </c>
      <c r="N149" s="77">
        <f t="shared" si="37"/>
        <v>3.797667871063317E-2</v>
      </c>
      <c r="O149" s="77">
        <f t="shared" si="37"/>
        <v>3.3352555105415391E-2</v>
      </c>
      <c r="P149" s="77">
        <f t="shared" si="37"/>
        <v>3.1449129686934245E-2</v>
      </c>
      <c r="Q149" s="77">
        <f t="shared" si="37"/>
        <v>3.3283600732734918E-2</v>
      </c>
      <c r="R149" s="77">
        <f t="shared" si="37"/>
        <v>3.4496840739488041E-2</v>
      </c>
      <c r="S149" s="77">
        <f t="shared" si="37"/>
        <v>3.5813992834790573E-2</v>
      </c>
      <c r="T149" s="77">
        <f t="shared" si="37"/>
        <v>3.3794710372615444E-2</v>
      </c>
      <c r="U149" s="77">
        <f t="shared" si="37"/>
        <v>3.4091687400157306E-2</v>
      </c>
      <c r="V149" s="77">
        <f t="shared" si="37"/>
        <v>3.0546961283829062E-2</v>
      </c>
      <c r="W149" s="77">
        <f t="shared" si="37"/>
        <v>2.9985805325362706E-2</v>
      </c>
      <c r="DA149" s="49"/>
    </row>
    <row r="150" spans="1:105" ht="11.5" customHeight="1" x14ac:dyDescent="0.35">
      <c r="A150" s="67" t="str">
        <f>$A$28</f>
        <v>Inland waterways</v>
      </c>
      <c r="B150" s="79">
        <f t="shared" si="37"/>
        <v>1.2710954705531257E-2</v>
      </c>
      <c r="C150" s="79">
        <f t="shared" si="37"/>
        <v>1.2393727317507684E-2</v>
      </c>
      <c r="D150" s="79">
        <f t="shared" si="37"/>
        <v>1.1676404260567234E-2</v>
      </c>
      <c r="E150" s="79">
        <f t="shared" si="37"/>
        <v>1.1614642954694731E-2</v>
      </c>
      <c r="F150" s="79">
        <f t="shared" si="37"/>
        <v>1.137534045107122E-2</v>
      </c>
      <c r="G150" s="79">
        <f t="shared" si="37"/>
        <v>1.1171215191318062E-2</v>
      </c>
      <c r="H150" s="79">
        <f t="shared" si="37"/>
        <v>9.2442284931955436E-3</v>
      </c>
      <c r="I150" s="79">
        <f t="shared" si="37"/>
        <v>1.0440636132723639E-2</v>
      </c>
      <c r="J150" s="79">
        <f t="shared" si="37"/>
        <v>1.0613456904173627E-2</v>
      </c>
      <c r="K150" s="79">
        <f t="shared" si="37"/>
        <v>1.1363871059806735E-2</v>
      </c>
      <c r="L150" s="79">
        <f t="shared" si="37"/>
        <v>1.1615702672242833E-2</v>
      </c>
      <c r="M150" s="79">
        <f t="shared" si="37"/>
        <v>1.1785266741911292E-2</v>
      </c>
      <c r="N150" s="79">
        <f t="shared" si="37"/>
        <v>1.2045733978733368E-2</v>
      </c>
      <c r="O150" s="79">
        <f t="shared" ref="O150:W150" si="38">IF(O58=0,0,O58/O$47)</f>
        <v>1.3513272503185894E-2</v>
      </c>
      <c r="P150" s="79">
        <f t="shared" si="38"/>
        <v>1.2453620765890258E-2</v>
      </c>
      <c r="Q150" s="79">
        <f t="shared" si="38"/>
        <v>1.2813785247248587E-2</v>
      </c>
      <c r="R150" s="79">
        <f t="shared" si="38"/>
        <v>1.1727393011933323E-2</v>
      </c>
      <c r="S150" s="79">
        <f t="shared" si="38"/>
        <v>1.0685831281855636E-2</v>
      </c>
      <c r="T150" s="79">
        <f t="shared" si="38"/>
        <v>1.0442231078777802E-2</v>
      </c>
      <c r="U150" s="79">
        <f t="shared" si="38"/>
        <v>1.048322414252895E-2</v>
      </c>
      <c r="V150" s="79">
        <f t="shared" si="38"/>
        <v>9.8958193295227807E-3</v>
      </c>
      <c r="W150" s="79">
        <f t="shared" si="38"/>
        <v>9.7761645423990254E-3</v>
      </c>
      <c r="DA150" s="69"/>
    </row>
    <row r="151" spans="1:105" ht="11.5" customHeight="1" x14ac:dyDescent="0.35">
      <c r="A151" s="53" t="s">
        <v>80</v>
      </c>
      <c r="B151" s="75">
        <f>IF(B59=0,0,B59/B$59)</f>
        <v>1</v>
      </c>
      <c r="C151" s="75">
        <f t="shared" ref="C151:W153" si="39">IF(C59=0,0,C59/C$59)</f>
        <v>1</v>
      </c>
      <c r="D151" s="75">
        <f t="shared" si="39"/>
        <v>1</v>
      </c>
      <c r="E151" s="75">
        <f t="shared" si="39"/>
        <v>1</v>
      </c>
      <c r="F151" s="75">
        <f t="shared" si="39"/>
        <v>1</v>
      </c>
      <c r="G151" s="75">
        <f t="shared" si="39"/>
        <v>1</v>
      </c>
      <c r="H151" s="75">
        <f t="shared" si="39"/>
        <v>1</v>
      </c>
      <c r="I151" s="75">
        <f t="shared" si="39"/>
        <v>1</v>
      </c>
      <c r="J151" s="75">
        <f t="shared" si="39"/>
        <v>1</v>
      </c>
      <c r="K151" s="75">
        <f t="shared" si="39"/>
        <v>1</v>
      </c>
      <c r="L151" s="75">
        <f t="shared" si="39"/>
        <v>1</v>
      </c>
      <c r="M151" s="75">
        <f t="shared" si="39"/>
        <v>1</v>
      </c>
      <c r="N151" s="75">
        <f t="shared" si="39"/>
        <v>1</v>
      </c>
      <c r="O151" s="75">
        <f t="shared" si="39"/>
        <v>1</v>
      </c>
      <c r="P151" s="75">
        <f t="shared" si="39"/>
        <v>1</v>
      </c>
      <c r="Q151" s="75">
        <f t="shared" si="39"/>
        <v>1</v>
      </c>
      <c r="R151" s="75">
        <f t="shared" si="39"/>
        <v>1</v>
      </c>
      <c r="S151" s="75">
        <f t="shared" si="39"/>
        <v>1</v>
      </c>
      <c r="T151" s="75">
        <f t="shared" si="39"/>
        <v>1</v>
      </c>
      <c r="U151" s="75">
        <f t="shared" si="39"/>
        <v>1</v>
      </c>
      <c r="V151" s="75">
        <f t="shared" si="39"/>
        <v>1</v>
      </c>
      <c r="W151" s="75">
        <f t="shared" si="39"/>
        <v>1</v>
      </c>
      <c r="DA151" s="55"/>
    </row>
    <row r="152" spans="1:105" ht="11.5" customHeight="1" x14ac:dyDescent="0.35">
      <c r="A152" s="59" t="str">
        <f>$A$30</f>
        <v>Intra-EEA</v>
      </c>
      <c r="B152" s="77">
        <f>IF(B60=0,0,B60/B$59)</f>
        <v>0.30600690961516652</v>
      </c>
      <c r="C152" s="77">
        <f t="shared" si="39"/>
        <v>0.29452894124120232</v>
      </c>
      <c r="D152" s="77">
        <f t="shared" si="39"/>
        <v>0.28582914492887401</v>
      </c>
      <c r="E152" s="77">
        <f t="shared" si="39"/>
        <v>0.28801791721864206</v>
      </c>
      <c r="F152" s="77">
        <f t="shared" si="39"/>
        <v>0.27950097534371948</v>
      </c>
      <c r="G152" s="77">
        <f t="shared" si="39"/>
        <v>0.26447419351795609</v>
      </c>
      <c r="H152" s="77">
        <f t="shared" si="39"/>
        <v>0.25403912630472797</v>
      </c>
      <c r="I152" s="77">
        <f t="shared" si="39"/>
        <v>0.24883254891461756</v>
      </c>
      <c r="J152" s="77">
        <f t="shared" si="39"/>
        <v>0.24865918716156479</v>
      </c>
      <c r="K152" s="77">
        <f t="shared" si="39"/>
        <v>0.26674609570389368</v>
      </c>
      <c r="L152" s="77">
        <f t="shared" si="39"/>
        <v>0.27343491289779281</v>
      </c>
      <c r="M152" s="77">
        <f t="shared" si="39"/>
        <v>0.25767637134290639</v>
      </c>
      <c r="N152" s="77">
        <f t="shared" si="39"/>
        <v>0.25996108578950372</v>
      </c>
      <c r="O152" s="77">
        <f t="shared" si="39"/>
        <v>0.2665886480111726</v>
      </c>
      <c r="P152" s="77">
        <f t="shared" si="39"/>
        <v>0.26858066975110922</v>
      </c>
      <c r="Q152" s="77">
        <f t="shared" si="39"/>
        <v>0.27392551907511703</v>
      </c>
      <c r="R152" s="77">
        <f t="shared" si="39"/>
        <v>0.28058609401290474</v>
      </c>
      <c r="S152" s="77">
        <f t="shared" si="39"/>
        <v>0.28084643720385843</v>
      </c>
      <c r="T152" s="77">
        <f t="shared" si="39"/>
        <v>0.28102099759990434</v>
      </c>
      <c r="U152" s="77">
        <f t="shared" si="39"/>
        <v>0.28596056732190728</v>
      </c>
      <c r="V152" s="77">
        <f t="shared" si="39"/>
        <v>0.26478423229552989</v>
      </c>
      <c r="W152" s="77">
        <f t="shared" si="39"/>
        <v>0.26489726541480657</v>
      </c>
      <c r="DA152" s="49"/>
    </row>
    <row r="153" spans="1:105" ht="11.5" customHeight="1" x14ac:dyDescent="0.35">
      <c r="A153" s="67" t="str">
        <f>$A$31</f>
        <v>Extra-EEA</v>
      </c>
      <c r="B153" s="79">
        <f>IF(B61=0,0,B61/B$59)</f>
        <v>0.69399309038483348</v>
      </c>
      <c r="C153" s="79">
        <f t="shared" si="39"/>
        <v>0.70547105875879779</v>
      </c>
      <c r="D153" s="79">
        <f t="shared" si="39"/>
        <v>0.71417085507112588</v>
      </c>
      <c r="E153" s="79">
        <f t="shared" si="39"/>
        <v>0.71198208278135799</v>
      </c>
      <c r="F153" s="79">
        <f t="shared" si="39"/>
        <v>0.72049902465628057</v>
      </c>
      <c r="G153" s="79">
        <f t="shared" si="39"/>
        <v>0.73552580648204391</v>
      </c>
      <c r="H153" s="79">
        <f t="shared" si="39"/>
        <v>0.74596087369527209</v>
      </c>
      <c r="I153" s="79">
        <f t="shared" si="39"/>
        <v>0.75116745108538252</v>
      </c>
      <c r="J153" s="79">
        <f t="shared" si="39"/>
        <v>0.75134081283843512</v>
      </c>
      <c r="K153" s="79">
        <f t="shared" si="39"/>
        <v>0.73325390429610626</v>
      </c>
      <c r="L153" s="79">
        <f t="shared" si="39"/>
        <v>0.72656508710220724</v>
      </c>
      <c r="M153" s="79">
        <f t="shared" si="39"/>
        <v>0.74232362865709356</v>
      </c>
      <c r="N153" s="79">
        <f t="shared" si="39"/>
        <v>0.74003891421049628</v>
      </c>
      <c r="O153" s="79">
        <f t="shared" si="39"/>
        <v>0.73341135198882734</v>
      </c>
      <c r="P153" s="79">
        <f t="shared" si="39"/>
        <v>0.73141933024889083</v>
      </c>
      <c r="Q153" s="79">
        <f t="shared" si="39"/>
        <v>0.7260744809248828</v>
      </c>
      <c r="R153" s="79">
        <f t="shared" si="39"/>
        <v>0.7194139059870952</v>
      </c>
      <c r="S153" s="79">
        <f t="shared" si="39"/>
        <v>0.71915356279614151</v>
      </c>
      <c r="T153" s="79">
        <f t="shared" si="39"/>
        <v>0.71897900240009571</v>
      </c>
      <c r="U153" s="79">
        <f t="shared" si="39"/>
        <v>0.71403943267809267</v>
      </c>
      <c r="V153" s="79">
        <f t="shared" si="39"/>
        <v>0.73521576770447006</v>
      </c>
      <c r="W153" s="79">
        <f t="shared" si="39"/>
        <v>0.73510273458519348</v>
      </c>
      <c r="DA153" s="69"/>
    </row>
    <row r="154" spans="1:105" x14ac:dyDescent="0.35">
      <c r="A154" s="48"/>
      <c r="B154" s="48"/>
      <c r="C154" s="48"/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DA154" s="49"/>
    </row>
    <row r="155" spans="1:105" ht="11.5" customHeight="1" x14ac:dyDescent="0.35">
      <c r="A155" s="50" t="s">
        <v>88</v>
      </c>
      <c r="B155" s="74"/>
      <c r="C155" s="74"/>
      <c r="D155" s="74"/>
      <c r="E155" s="74"/>
      <c r="F155" s="74"/>
      <c r="G155" s="74"/>
      <c r="H155" s="74"/>
      <c r="I155" s="74"/>
      <c r="J155" s="74"/>
      <c r="K155" s="74"/>
      <c r="L155" s="74"/>
      <c r="M155" s="74"/>
      <c r="N155" s="74"/>
      <c r="O155" s="74"/>
      <c r="P155" s="74"/>
      <c r="Q155" s="74"/>
      <c r="R155" s="74"/>
      <c r="S155" s="74"/>
      <c r="T155" s="74"/>
      <c r="U155" s="74"/>
      <c r="V155" s="74"/>
      <c r="W155" s="74"/>
      <c r="DA155" s="52"/>
    </row>
    <row r="156" spans="1:105" ht="11.5" customHeight="1" x14ac:dyDescent="0.35">
      <c r="A156" s="53" t="s">
        <v>78</v>
      </c>
      <c r="B156" s="75">
        <f t="shared" ref="B156:W167" si="40">IF(B64=0,0,B64/B$64)</f>
        <v>1</v>
      </c>
      <c r="C156" s="75">
        <f t="shared" si="40"/>
        <v>1</v>
      </c>
      <c r="D156" s="75">
        <f t="shared" si="40"/>
        <v>1</v>
      </c>
      <c r="E156" s="75">
        <f t="shared" si="40"/>
        <v>1</v>
      </c>
      <c r="F156" s="75">
        <f t="shared" si="40"/>
        <v>1</v>
      </c>
      <c r="G156" s="75">
        <f t="shared" si="40"/>
        <v>1</v>
      </c>
      <c r="H156" s="75">
        <f t="shared" si="40"/>
        <v>1</v>
      </c>
      <c r="I156" s="75">
        <f t="shared" si="40"/>
        <v>1</v>
      </c>
      <c r="J156" s="75">
        <f t="shared" si="40"/>
        <v>1</v>
      </c>
      <c r="K156" s="75">
        <f t="shared" si="40"/>
        <v>1</v>
      </c>
      <c r="L156" s="75">
        <f t="shared" si="40"/>
        <v>1</v>
      </c>
      <c r="M156" s="75">
        <f t="shared" si="40"/>
        <v>1</v>
      </c>
      <c r="N156" s="75">
        <f t="shared" si="40"/>
        <v>1</v>
      </c>
      <c r="O156" s="75">
        <f t="shared" si="40"/>
        <v>1</v>
      </c>
      <c r="P156" s="75">
        <f t="shared" si="40"/>
        <v>1</v>
      </c>
      <c r="Q156" s="75">
        <f t="shared" si="40"/>
        <v>1</v>
      </c>
      <c r="R156" s="75">
        <f t="shared" si="40"/>
        <v>1</v>
      </c>
      <c r="S156" s="75">
        <f t="shared" si="40"/>
        <v>1</v>
      </c>
      <c r="T156" s="75">
        <f t="shared" si="40"/>
        <v>1</v>
      </c>
      <c r="U156" s="75">
        <f t="shared" si="40"/>
        <v>1</v>
      </c>
      <c r="V156" s="75">
        <f t="shared" si="40"/>
        <v>1</v>
      </c>
      <c r="W156" s="75">
        <f t="shared" si="40"/>
        <v>1</v>
      </c>
      <c r="DA156" s="55"/>
    </row>
    <row r="157" spans="1:105" ht="11.5" customHeight="1" x14ac:dyDescent="0.35">
      <c r="A157" s="56" t="str">
        <f>$A$5</f>
        <v>Road transport</v>
      </c>
      <c r="B157" s="76">
        <f t="shared" si="40"/>
        <v>0.8298206271795725</v>
      </c>
      <c r="C157" s="76">
        <f t="shared" si="40"/>
        <v>0.83531292024255976</v>
      </c>
      <c r="D157" s="76">
        <f t="shared" si="40"/>
        <v>0.84183307681193231</v>
      </c>
      <c r="E157" s="76">
        <f t="shared" si="40"/>
        <v>0.84063463000584837</v>
      </c>
      <c r="F157" s="76">
        <f t="shared" si="40"/>
        <v>0.83443849122114488</v>
      </c>
      <c r="G157" s="76">
        <f t="shared" si="40"/>
        <v>0.8279537182928538</v>
      </c>
      <c r="H157" s="76">
        <f t="shared" si="40"/>
        <v>0.82478731061903632</v>
      </c>
      <c r="I157" s="76">
        <f t="shared" si="40"/>
        <v>0.8193311463289048</v>
      </c>
      <c r="J157" s="76">
        <f t="shared" si="40"/>
        <v>0.81663424460573808</v>
      </c>
      <c r="K157" s="76">
        <f t="shared" si="40"/>
        <v>0.82778119675977391</v>
      </c>
      <c r="L157" s="76">
        <f t="shared" si="40"/>
        <v>0.82525062100360402</v>
      </c>
      <c r="M157" s="76">
        <f t="shared" si="40"/>
        <v>0.81892526605617189</v>
      </c>
      <c r="N157" s="76">
        <f t="shared" si="40"/>
        <v>0.81624457076142132</v>
      </c>
      <c r="O157" s="76">
        <f t="shared" si="40"/>
        <v>0.81957060301695894</v>
      </c>
      <c r="P157" s="76">
        <f t="shared" si="40"/>
        <v>0.82104433285439749</v>
      </c>
      <c r="Q157" s="76">
        <f t="shared" si="40"/>
        <v>0.81768211786481526</v>
      </c>
      <c r="R157" s="76">
        <f t="shared" si="40"/>
        <v>0.81197329461678946</v>
      </c>
      <c r="S157" s="76">
        <f t="shared" si="40"/>
        <v>0.80314045497144981</v>
      </c>
      <c r="T157" s="76">
        <f t="shared" si="40"/>
        <v>0.7934088178568619</v>
      </c>
      <c r="U157" s="76">
        <f t="shared" si="40"/>
        <v>0.79005897488747256</v>
      </c>
      <c r="V157" s="76">
        <f t="shared" si="40"/>
        <v>0.89386375940664631</v>
      </c>
      <c r="W157" s="76">
        <f t="shared" si="40"/>
        <v>0.87717146913803834</v>
      </c>
      <c r="DA157" s="58"/>
    </row>
    <row r="158" spans="1:105" ht="11.5" customHeight="1" x14ac:dyDescent="0.35">
      <c r="A158" s="59" t="str">
        <f>$A$6</f>
        <v>Powered two-wheelers</v>
      </c>
      <c r="B158" s="77">
        <f t="shared" si="40"/>
        <v>1.6583465746534385E-2</v>
      </c>
      <c r="C158" s="77">
        <f t="shared" si="40"/>
        <v>1.6849146231502233E-2</v>
      </c>
      <c r="D158" s="77">
        <f t="shared" si="40"/>
        <v>1.676301711588855E-2</v>
      </c>
      <c r="E158" s="77">
        <f t="shared" si="40"/>
        <v>1.6901940841495162E-2</v>
      </c>
      <c r="F158" s="77">
        <f t="shared" si="40"/>
        <v>1.68603583498875E-2</v>
      </c>
      <c r="G158" s="77">
        <f t="shared" si="40"/>
        <v>1.7236009440912033E-2</v>
      </c>
      <c r="H158" s="77">
        <f t="shared" si="40"/>
        <v>1.6590189175989971E-2</v>
      </c>
      <c r="I158" s="77">
        <f t="shared" si="40"/>
        <v>1.5632484084082701E-2</v>
      </c>
      <c r="J158" s="77">
        <f t="shared" si="40"/>
        <v>1.6125977038319646E-2</v>
      </c>
      <c r="K158" s="77">
        <f t="shared" si="40"/>
        <v>1.6063583902576253E-2</v>
      </c>
      <c r="L158" s="77">
        <f t="shared" si="40"/>
        <v>1.6494879461285392E-2</v>
      </c>
      <c r="M158" s="77">
        <f t="shared" si="40"/>
        <v>1.6416170418321552E-2</v>
      </c>
      <c r="N158" s="77">
        <f t="shared" si="40"/>
        <v>1.6493094982712283E-2</v>
      </c>
      <c r="O158" s="77">
        <f t="shared" si="40"/>
        <v>1.6356009507549299E-2</v>
      </c>
      <c r="P158" s="77">
        <f t="shared" si="40"/>
        <v>1.6400362418000518E-2</v>
      </c>
      <c r="Q158" s="77">
        <f t="shared" si="40"/>
        <v>1.6217237693035066E-2</v>
      </c>
      <c r="R158" s="77">
        <f t="shared" si="40"/>
        <v>1.5872301633217803E-2</v>
      </c>
      <c r="S158" s="77">
        <f t="shared" si="40"/>
        <v>1.4768665622373445E-2</v>
      </c>
      <c r="T158" s="77">
        <f t="shared" si="40"/>
        <v>1.4013654859416946E-2</v>
      </c>
      <c r="U158" s="77">
        <f t="shared" si="40"/>
        <v>1.4467386123727957E-2</v>
      </c>
      <c r="V158" s="77">
        <f t="shared" si="40"/>
        <v>1.6852464478981893E-2</v>
      </c>
      <c r="W158" s="77">
        <f t="shared" si="40"/>
        <v>1.5433392357557026E-2</v>
      </c>
      <c r="DA158" s="49"/>
    </row>
    <row r="159" spans="1:105" ht="11.5" customHeight="1" x14ac:dyDescent="0.35">
      <c r="A159" s="59" t="str">
        <f>$A$7</f>
        <v>Passenger cars</v>
      </c>
      <c r="B159" s="77">
        <f t="shared" si="40"/>
        <v>0.74231078358103353</v>
      </c>
      <c r="C159" s="77">
        <f t="shared" si="40"/>
        <v>0.74857243513301153</v>
      </c>
      <c r="D159" s="77">
        <f t="shared" si="40"/>
        <v>0.75648648490155357</v>
      </c>
      <c r="E159" s="77">
        <f t="shared" si="40"/>
        <v>0.75509936486881568</v>
      </c>
      <c r="F159" s="77">
        <f t="shared" si="40"/>
        <v>0.7510432362795848</v>
      </c>
      <c r="G159" s="77">
        <f t="shared" si="40"/>
        <v>0.7454202219711058</v>
      </c>
      <c r="H159" s="77">
        <f t="shared" si="40"/>
        <v>0.74391596582740027</v>
      </c>
      <c r="I159" s="77">
        <f t="shared" si="40"/>
        <v>0.7405220054363002</v>
      </c>
      <c r="J159" s="77">
        <f t="shared" si="40"/>
        <v>0.73711741312896784</v>
      </c>
      <c r="K159" s="77">
        <f t="shared" si="40"/>
        <v>0.74756140714799857</v>
      </c>
      <c r="L159" s="77">
        <f t="shared" si="40"/>
        <v>0.74363092179811552</v>
      </c>
      <c r="M159" s="77">
        <f t="shared" si="40"/>
        <v>0.73719641859750407</v>
      </c>
      <c r="N159" s="77">
        <f t="shared" si="40"/>
        <v>0.73390501172601996</v>
      </c>
      <c r="O159" s="77">
        <f t="shared" si="40"/>
        <v>0.73714115636207178</v>
      </c>
      <c r="P159" s="77">
        <f t="shared" si="40"/>
        <v>0.73907470019279808</v>
      </c>
      <c r="Q159" s="77">
        <f t="shared" si="40"/>
        <v>0.73508559395050255</v>
      </c>
      <c r="R159" s="77">
        <f t="shared" si="40"/>
        <v>0.729836835243721</v>
      </c>
      <c r="S159" s="77">
        <f t="shared" si="40"/>
        <v>0.72466516790770641</v>
      </c>
      <c r="T159" s="77">
        <f t="shared" si="40"/>
        <v>0.71590175789457533</v>
      </c>
      <c r="U159" s="77">
        <f t="shared" si="40"/>
        <v>0.71239056698383141</v>
      </c>
      <c r="V159" s="77">
        <f t="shared" si="40"/>
        <v>0.80153843143438153</v>
      </c>
      <c r="W159" s="77">
        <f t="shared" si="40"/>
        <v>0.79007973257753961</v>
      </c>
      <c r="DA159" s="49"/>
    </row>
    <row r="160" spans="1:105" ht="11.5" customHeight="1" x14ac:dyDescent="0.35">
      <c r="A160" s="59" t="str">
        <f>$A$8</f>
        <v>Motor coaches, buses and trolley buses</v>
      </c>
      <c r="B160" s="77">
        <f t="shared" si="40"/>
        <v>7.0926377852004632E-2</v>
      </c>
      <c r="C160" s="77">
        <f t="shared" si="40"/>
        <v>6.9891338878045967E-2</v>
      </c>
      <c r="D160" s="77">
        <f t="shared" si="40"/>
        <v>6.8583574794490162E-2</v>
      </c>
      <c r="E160" s="77">
        <f t="shared" si="40"/>
        <v>6.8633324295537451E-2</v>
      </c>
      <c r="F160" s="77">
        <f t="shared" si="40"/>
        <v>6.653489659167254E-2</v>
      </c>
      <c r="G160" s="77">
        <f t="shared" si="40"/>
        <v>6.5297486880836031E-2</v>
      </c>
      <c r="H160" s="77">
        <f t="shared" si="40"/>
        <v>6.428115561564611E-2</v>
      </c>
      <c r="I160" s="77">
        <f t="shared" si="40"/>
        <v>6.3176656808522011E-2</v>
      </c>
      <c r="J160" s="77">
        <f t="shared" si="40"/>
        <v>6.3390854438450536E-2</v>
      </c>
      <c r="K160" s="77">
        <f t="shared" si="40"/>
        <v>6.4156205709199027E-2</v>
      </c>
      <c r="L160" s="77">
        <f t="shared" si="40"/>
        <v>6.5124819744203102E-2</v>
      </c>
      <c r="M160" s="77">
        <f t="shared" si="40"/>
        <v>6.5312677040346268E-2</v>
      </c>
      <c r="N160" s="77">
        <f t="shared" si="40"/>
        <v>6.5846464052688958E-2</v>
      </c>
      <c r="O160" s="77">
        <f t="shared" si="40"/>
        <v>6.6073437147337793E-2</v>
      </c>
      <c r="P160" s="77">
        <f t="shared" si="40"/>
        <v>6.5569270243598765E-2</v>
      </c>
      <c r="Q160" s="77">
        <f t="shared" si="40"/>
        <v>6.6379286221277617E-2</v>
      </c>
      <c r="R160" s="77">
        <f t="shared" si="40"/>
        <v>6.6264157739850643E-2</v>
      </c>
      <c r="S160" s="77">
        <f t="shared" si="40"/>
        <v>6.3706621441369793E-2</v>
      </c>
      <c r="T160" s="77">
        <f t="shared" si="40"/>
        <v>6.3493405102869535E-2</v>
      </c>
      <c r="U160" s="77">
        <f t="shared" si="40"/>
        <v>6.3201021779913311E-2</v>
      </c>
      <c r="V160" s="77">
        <f t="shared" si="40"/>
        <v>7.5472863493282763E-2</v>
      </c>
      <c r="W160" s="77">
        <f t="shared" si="40"/>
        <v>7.165834420294169E-2</v>
      </c>
      <c r="DA160" s="49"/>
    </row>
    <row r="161" spans="1:105" ht="11.5" customHeight="1" x14ac:dyDescent="0.35">
      <c r="A161" s="61" t="str">
        <f>$A$9</f>
        <v>Rail, metro and tram</v>
      </c>
      <c r="B161" s="78">
        <f t="shared" si="40"/>
        <v>1.0446238348768245E-2</v>
      </c>
      <c r="C161" s="78">
        <f t="shared" si="40"/>
        <v>9.1707133499195521E-3</v>
      </c>
      <c r="D161" s="78">
        <f t="shared" si="40"/>
        <v>9.1421819965440115E-3</v>
      </c>
      <c r="E161" s="78">
        <f t="shared" si="40"/>
        <v>9.3718679700253524E-3</v>
      </c>
      <c r="F161" s="78">
        <f t="shared" si="40"/>
        <v>9.3881707111640456E-3</v>
      </c>
      <c r="G161" s="78">
        <f t="shared" si="40"/>
        <v>8.8884620045583812E-3</v>
      </c>
      <c r="H161" s="78">
        <f t="shared" si="40"/>
        <v>7.8982038711205467E-3</v>
      </c>
      <c r="I161" s="78">
        <f t="shared" si="40"/>
        <v>8.3824610517635699E-3</v>
      </c>
      <c r="J161" s="78">
        <f t="shared" si="40"/>
        <v>8.1745380401544807E-3</v>
      </c>
      <c r="K161" s="78">
        <f t="shared" si="40"/>
        <v>7.3946384440119334E-3</v>
      </c>
      <c r="L161" s="78">
        <f t="shared" si="40"/>
        <v>7.2357548806129346E-3</v>
      </c>
      <c r="M161" s="78">
        <f t="shared" si="40"/>
        <v>7.1954564190057618E-3</v>
      </c>
      <c r="N161" s="78">
        <f t="shared" si="40"/>
        <v>7.6558000783819042E-3</v>
      </c>
      <c r="O161" s="78">
        <f t="shared" si="40"/>
        <v>5.2292968272514917E-3</v>
      </c>
      <c r="P161" s="78">
        <f t="shared" si="40"/>
        <v>4.8525025069448575E-3</v>
      </c>
      <c r="Q161" s="78">
        <f t="shared" si="40"/>
        <v>4.623365955503677E-3</v>
      </c>
      <c r="R161" s="78">
        <f t="shared" si="40"/>
        <v>4.4100134699469155E-3</v>
      </c>
      <c r="S161" s="78">
        <f t="shared" si="40"/>
        <v>4.170438793556947E-3</v>
      </c>
      <c r="T161" s="78">
        <f t="shared" si="40"/>
        <v>3.8838869582134986E-3</v>
      </c>
      <c r="U161" s="78">
        <f t="shared" si="40"/>
        <v>3.8038246673749933E-3</v>
      </c>
      <c r="V161" s="78">
        <f t="shared" si="40"/>
        <v>4.342254648036779E-3</v>
      </c>
      <c r="W161" s="78">
        <f t="shared" si="40"/>
        <v>4.7352186427470121E-3</v>
      </c>
      <c r="DA161" s="63"/>
    </row>
    <row r="162" spans="1:105" ht="11.5" customHeight="1" x14ac:dyDescent="0.35">
      <c r="A162" s="59" t="str">
        <f>$A$10</f>
        <v>Metro and tram, urban light rail</v>
      </c>
      <c r="B162" s="77">
        <f t="shared" si="40"/>
        <v>0</v>
      </c>
      <c r="C162" s="77">
        <f t="shared" si="40"/>
        <v>0</v>
      </c>
      <c r="D162" s="77">
        <f t="shared" si="40"/>
        <v>0</v>
      </c>
      <c r="E162" s="77">
        <f t="shared" si="40"/>
        <v>0</v>
      </c>
      <c r="F162" s="77">
        <f t="shared" si="40"/>
        <v>0</v>
      </c>
      <c r="G162" s="77">
        <f t="shared" si="40"/>
        <v>0</v>
      </c>
      <c r="H162" s="77">
        <f t="shared" si="40"/>
        <v>0</v>
      </c>
      <c r="I162" s="77">
        <f t="shared" si="40"/>
        <v>0</v>
      </c>
      <c r="J162" s="77">
        <f t="shared" si="40"/>
        <v>0</v>
      </c>
      <c r="K162" s="77">
        <f t="shared" si="40"/>
        <v>0</v>
      </c>
      <c r="L162" s="77">
        <f t="shared" si="40"/>
        <v>0</v>
      </c>
      <c r="M162" s="77">
        <f t="shared" si="40"/>
        <v>0</v>
      </c>
      <c r="N162" s="77">
        <f t="shared" si="40"/>
        <v>0</v>
      </c>
      <c r="O162" s="77">
        <f t="shared" si="40"/>
        <v>0</v>
      </c>
      <c r="P162" s="77">
        <f t="shared" si="40"/>
        <v>0</v>
      </c>
      <c r="Q162" s="77">
        <f t="shared" si="40"/>
        <v>0</v>
      </c>
      <c r="R162" s="77">
        <f t="shared" si="40"/>
        <v>0</v>
      </c>
      <c r="S162" s="77">
        <f t="shared" si="40"/>
        <v>0</v>
      </c>
      <c r="T162" s="77">
        <f t="shared" si="40"/>
        <v>0</v>
      </c>
      <c r="U162" s="77">
        <f t="shared" si="40"/>
        <v>0</v>
      </c>
      <c r="V162" s="77">
        <f t="shared" si="40"/>
        <v>0</v>
      </c>
      <c r="W162" s="77">
        <f t="shared" si="40"/>
        <v>0</v>
      </c>
      <c r="DA162" s="49"/>
    </row>
    <row r="163" spans="1:105" ht="11.5" customHeight="1" x14ac:dyDescent="0.35">
      <c r="A163" s="59" t="str">
        <f>$A$11</f>
        <v>Conventional passenger trains</v>
      </c>
      <c r="B163" s="77">
        <f t="shared" si="40"/>
        <v>1.0446238348768245E-2</v>
      </c>
      <c r="C163" s="77">
        <f t="shared" si="40"/>
        <v>9.1707133499195521E-3</v>
      </c>
      <c r="D163" s="77">
        <f t="shared" si="40"/>
        <v>9.1421819965440115E-3</v>
      </c>
      <c r="E163" s="77">
        <f t="shared" si="40"/>
        <v>9.3718679700253524E-3</v>
      </c>
      <c r="F163" s="77">
        <f t="shared" si="40"/>
        <v>9.3881707111640456E-3</v>
      </c>
      <c r="G163" s="77">
        <f t="shared" si="40"/>
        <v>8.8884620045583812E-3</v>
      </c>
      <c r="H163" s="77">
        <f t="shared" si="40"/>
        <v>7.8982038711205467E-3</v>
      </c>
      <c r="I163" s="77">
        <f t="shared" si="40"/>
        <v>8.3824610517635699E-3</v>
      </c>
      <c r="J163" s="77">
        <f t="shared" si="40"/>
        <v>8.1745380401544807E-3</v>
      </c>
      <c r="K163" s="77">
        <f t="shared" si="40"/>
        <v>7.3946384440119334E-3</v>
      </c>
      <c r="L163" s="77">
        <f t="shared" si="40"/>
        <v>7.2357548806129346E-3</v>
      </c>
      <c r="M163" s="77">
        <f t="shared" si="40"/>
        <v>7.1954564190057618E-3</v>
      </c>
      <c r="N163" s="77">
        <f t="shared" si="40"/>
        <v>7.6558000783819042E-3</v>
      </c>
      <c r="O163" s="77">
        <f t="shared" si="40"/>
        <v>5.2292968272514917E-3</v>
      </c>
      <c r="P163" s="77">
        <f t="shared" si="40"/>
        <v>4.8525025069448575E-3</v>
      </c>
      <c r="Q163" s="77">
        <f t="shared" si="40"/>
        <v>4.623365955503677E-3</v>
      </c>
      <c r="R163" s="77">
        <f t="shared" si="40"/>
        <v>4.4100134699469155E-3</v>
      </c>
      <c r="S163" s="77">
        <f t="shared" si="40"/>
        <v>4.170438793556947E-3</v>
      </c>
      <c r="T163" s="77">
        <f t="shared" si="40"/>
        <v>3.8838869582134986E-3</v>
      </c>
      <c r="U163" s="77">
        <f t="shared" si="40"/>
        <v>3.8038246673749933E-3</v>
      </c>
      <c r="V163" s="77">
        <f t="shared" si="40"/>
        <v>4.342254648036779E-3</v>
      </c>
      <c r="W163" s="77">
        <f t="shared" si="40"/>
        <v>4.7352186427470121E-3</v>
      </c>
      <c r="DA163" s="49"/>
    </row>
    <row r="164" spans="1:105" ht="11.5" customHeight="1" x14ac:dyDescent="0.35">
      <c r="A164" s="59" t="str">
        <f>$A$12</f>
        <v>High speed passenger trains</v>
      </c>
      <c r="B164" s="77">
        <f t="shared" si="40"/>
        <v>0</v>
      </c>
      <c r="C164" s="77">
        <f t="shared" si="40"/>
        <v>0</v>
      </c>
      <c r="D164" s="77">
        <f t="shared" si="40"/>
        <v>0</v>
      </c>
      <c r="E164" s="77">
        <f t="shared" si="40"/>
        <v>0</v>
      </c>
      <c r="F164" s="77">
        <f t="shared" si="40"/>
        <v>0</v>
      </c>
      <c r="G164" s="77">
        <f t="shared" si="40"/>
        <v>0</v>
      </c>
      <c r="H164" s="77">
        <f t="shared" si="40"/>
        <v>0</v>
      </c>
      <c r="I164" s="77">
        <f t="shared" si="40"/>
        <v>0</v>
      </c>
      <c r="J164" s="77">
        <f t="shared" si="40"/>
        <v>0</v>
      </c>
      <c r="K164" s="77">
        <f t="shared" si="40"/>
        <v>0</v>
      </c>
      <c r="L164" s="77">
        <f t="shared" si="40"/>
        <v>0</v>
      </c>
      <c r="M164" s="77">
        <f t="shared" si="40"/>
        <v>0</v>
      </c>
      <c r="N164" s="77">
        <f t="shared" si="40"/>
        <v>0</v>
      </c>
      <c r="O164" s="77">
        <f t="shared" si="40"/>
        <v>0</v>
      </c>
      <c r="P164" s="77">
        <f t="shared" si="40"/>
        <v>0</v>
      </c>
      <c r="Q164" s="77">
        <f t="shared" si="40"/>
        <v>0</v>
      </c>
      <c r="R164" s="77">
        <f t="shared" si="40"/>
        <v>0</v>
      </c>
      <c r="S164" s="77">
        <f t="shared" si="40"/>
        <v>0</v>
      </c>
      <c r="T164" s="77">
        <f t="shared" si="40"/>
        <v>0</v>
      </c>
      <c r="U164" s="77">
        <f t="shared" si="40"/>
        <v>0</v>
      </c>
      <c r="V164" s="77">
        <f t="shared" si="40"/>
        <v>0</v>
      </c>
      <c r="W164" s="77">
        <f t="shared" si="40"/>
        <v>0</v>
      </c>
      <c r="DA164" s="49"/>
    </row>
    <row r="165" spans="1:105" ht="11.5" customHeight="1" x14ac:dyDescent="0.35">
      <c r="A165" s="61" t="str">
        <f>$A$13</f>
        <v>Aviation</v>
      </c>
      <c r="B165" s="78">
        <f t="shared" si="40"/>
        <v>0.15973313447165932</v>
      </c>
      <c r="C165" s="78">
        <f t="shared" si="40"/>
        <v>0.15551636640752073</v>
      </c>
      <c r="D165" s="78">
        <f t="shared" si="40"/>
        <v>0.14902474119152362</v>
      </c>
      <c r="E165" s="78">
        <f t="shared" si="40"/>
        <v>0.14999350202412637</v>
      </c>
      <c r="F165" s="78">
        <f t="shared" si="40"/>
        <v>0.15617333806769107</v>
      </c>
      <c r="G165" s="78">
        <f t="shared" si="40"/>
        <v>0.16315781970258783</v>
      </c>
      <c r="H165" s="78">
        <f t="shared" si="40"/>
        <v>0.16731448550984301</v>
      </c>
      <c r="I165" s="78">
        <f t="shared" si="40"/>
        <v>0.17228639261933143</v>
      </c>
      <c r="J165" s="78">
        <f t="shared" si="40"/>
        <v>0.1751912173541075</v>
      </c>
      <c r="K165" s="78">
        <f t="shared" si="40"/>
        <v>0.16482416479621412</v>
      </c>
      <c r="L165" s="78">
        <f t="shared" si="40"/>
        <v>0.16751362411578305</v>
      </c>
      <c r="M165" s="78">
        <f t="shared" si="40"/>
        <v>0.17387927752482235</v>
      </c>
      <c r="N165" s="78">
        <f t="shared" si="40"/>
        <v>0.17609962916019684</v>
      </c>
      <c r="O165" s="78">
        <f t="shared" si="40"/>
        <v>0.17520010015578966</v>
      </c>
      <c r="P165" s="78">
        <f t="shared" si="40"/>
        <v>0.1741031646386576</v>
      </c>
      <c r="Q165" s="78">
        <f t="shared" si="40"/>
        <v>0.17769451617968107</v>
      </c>
      <c r="R165" s="78">
        <f t="shared" si="40"/>
        <v>0.18361669191326366</v>
      </c>
      <c r="S165" s="78">
        <f t="shared" si="40"/>
        <v>0.19268910623499336</v>
      </c>
      <c r="T165" s="78">
        <f t="shared" si="40"/>
        <v>0.20270729518492467</v>
      </c>
      <c r="U165" s="78">
        <f t="shared" si="40"/>
        <v>0.20613720044515235</v>
      </c>
      <c r="V165" s="78">
        <f t="shared" si="40"/>
        <v>0.10179398594531695</v>
      </c>
      <c r="W165" s="78">
        <f t="shared" si="40"/>
        <v>0.11809331221921468</v>
      </c>
      <c r="DA165" s="63"/>
    </row>
    <row r="166" spans="1:105" ht="11.5" customHeight="1" x14ac:dyDescent="0.35">
      <c r="A166" s="59" t="str">
        <f>$A$14</f>
        <v>Domestic</v>
      </c>
      <c r="B166" s="77">
        <f t="shared" si="40"/>
        <v>2.7691141951994371E-2</v>
      </c>
      <c r="C166" s="77">
        <f t="shared" si="40"/>
        <v>2.6720016953056324E-2</v>
      </c>
      <c r="D166" s="77">
        <f t="shared" si="40"/>
        <v>2.4896029536594366E-2</v>
      </c>
      <c r="E166" s="77">
        <f t="shared" si="40"/>
        <v>2.5065981266563703E-2</v>
      </c>
      <c r="F166" s="77">
        <f t="shared" si="40"/>
        <v>2.5408678876707263E-2</v>
      </c>
      <c r="G166" s="77">
        <f t="shared" si="40"/>
        <v>2.7323325749620701E-2</v>
      </c>
      <c r="H166" s="77">
        <f t="shared" si="40"/>
        <v>2.756702335755264E-2</v>
      </c>
      <c r="I166" s="77">
        <f t="shared" si="40"/>
        <v>2.8583875760418306E-2</v>
      </c>
      <c r="J166" s="77">
        <f t="shared" si="40"/>
        <v>2.7889542565798432E-2</v>
      </c>
      <c r="K166" s="77">
        <f t="shared" si="40"/>
        <v>2.5836937334571097E-2</v>
      </c>
      <c r="L166" s="77">
        <f t="shared" si="40"/>
        <v>2.7052553786776352E-2</v>
      </c>
      <c r="M166" s="77">
        <f t="shared" si="40"/>
        <v>2.8746313916351577E-2</v>
      </c>
      <c r="N166" s="77">
        <f t="shared" si="40"/>
        <v>2.7442907015913336E-2</v>
      </c>
      <c r="O166" s="77">
        <f t="shared" si="40"/>
        <v>2.5669789796115432E-2</v>
      </c>
      <c r="P166" s="77">
        <f t="shared" si="40"/>
        <v>2.5214571160734115E-2</v>
      </c>
      <c r="Q166" s="77">
        <f t="shared" si="40"/>
        <v>2.571738002835992E-2</v>
      </c>
      <c r="R166" s="77">
        <f t="shared" si="40"/>
        <v>2.6692096917448518E-2</v>
      </c>
      <c r="S166" s="77">
        <f t="shared" si="40"/>
        <v>2.7383831072799736E-2</v>
      </c>
      <c r="T166" s="77">
        <f t="shared" si="40"/>
        <v>2.8526672428476972E-2</v>
      </c>
      <c r="U166" s="77">
        <f t="shared" si="40"/>
        <v>2.9295371001763576E-2</v>
      </c>
      <c r="V166" s="77">
        <f t="shared" si="40"/>
        <v>1.7827482808372409E-2</v>
      </c>
      <c r="W166" s="77">
        <f t="shared" si="40"/>
        <v>2.3414720603508545E-2</v>
      </c>
      <c r="DA166" s="49"/>
    </row>
    <row r="167" spans="1:105" ht="11.5" customHeight="1" x14ac:dyDescent="0.35">
      <c r="A167" s="59" t="str">
        <f>$A$15</f>
        <v>International - Intra-EEAwUK</v>
      </c>
      <c r="B167" s="77">
        <f t="shared" si="40"/>
        <v>5.5283068374155087E-2</v>
      </c>
      <c r="C167" s="77">
        <f t="shared" si="40"/>
        <v>5.5037196527156364E-2</v>
      </c>
      <c r="D167" s="77">
        <f t="shared" si="40"/>
        <v>5.1840839713593788E-2</v>
      </c>
      <c r="E167" s="77">
        <f t="shared" si="40"/>
        <v>5.5107400097654254E-2</v>
      </c>
      <c r="F167" s="77">
        <f t="shared" si="40"/>
        <v>5.6759392864943831E-2</v>
      </c>
      <c r="G167" s="77">
        <f t="shared" si="40"/>
        <v>5.928354373925053E-2</v>
      </c>
      <c r="H167" s="77">
        <f t="shared" si="40"/>
        <v>6.2203948527058586E-2</v>
      </c>
      <c r="I167" s="77">
        <f t="shared" si="40"/>
        <v>6.508612994629813E-2</v>
      </c>
      <c r="J167" s="77">
        <f t="shared" si="40"/>
        <v>6.6350344992141944E-2</v>
      </c>
      <c r="K167" s="77">
        <f t="shared" si="40"/>
        <v>5.9702559429533009E-2</v>
      </c>
      <c r="L167" s="77">
        <f t="shared" si="40"/>
        <v>6.0175213240894303E-2</v>
      </c>
      <c r="M167" s="77">
        <f t="shared" si="40"/>
        <v>6.3406074882701918E-2</v>
      </c>
      <c r="N167" s="77">
        <f t="shared" si="40"/>
        <v>6.3554731010852003E-2</v>
      </c>
      <c r="O167" s="77">
        <f t="shared" ref="O167:W167" si="41">IF(O75=0,0,O75/O$64)</f>
        <v>6.4067923309697072E-2</v>
      </c>
      <c r="P167" s="77">
        <f t="shared" si="41"/>
        <v>6.4812125664695797E-2</v>
      </c>
      <c r="Q167" s="77">
        <f t="shared" si="41"/>
        <v>6.6793002822625083E-2</v>
      </c>
      <c r="R167" s="77">
        <f t="shared" si="41"/>
        <v>7.1777046871075792E-2</v>
      </c>
      <c r="S167" s="77">
        <f t="shared" si="41"/>
        <v>7.805882252680707E-2</v>
      </c>
      <c r="T167" s="77">
        <f t="shared" si="41"/>
        <v>8.2130352484828889E-2</v>
      </c>
      <c r="U167" s="77">
        <f t="shared" si="41"/>
        <v>8.1992438418464625E-2</v>
      </c>
      <c r="V167" s="77">
        <f t="shared" si="41"/>
        <v>3.2968341360728959E-2</v>
      </c>
      <c r="W167" s="77">
        <f t="shared" si="41"/>
        <v>4.0815089175732018E-2</v>
      </c>
      <c r="DA167" s="49"/>
    </row>
    <row r="168" spans="1:105" ht="11.5" customHeight="1" x14ac:dyDescent="0.35">
      <c r="A168" s="59" t="str">
        <f>$A$16</f>
        <v>International - Extra-EEAwUK</v>
      </c>
      <c r="B168" s="77">
        <f t="shared" ref="B168:W168" si="42">IF(B76=0,0,B76/B$64)</f>
        <v>7.6758924145509888E-2</v>
      </c>
      <c r="C168" s="77">
        <f t="shared" si="42"/>
        <v>7.3759152927308058E-2</v>
      </c>
      <c r="D168" s="77">
        <f t="shared" si="42"/>
        <v>7.2287871941335471E-2</v>
      </c>
      <c r="E168" s="77">
        <f t="shared" si="42"/>
        <v>6.9820120659908433E-2</v>
      </c>
      <c r="F168" s="77">
        <f t="shared" si="42"/>
        <v>7.4005266326039973E-2</v>
      </c>
      <c r="G168" s="77">
        <f t="shared" si="42"/>
        <v>7.6550950213716606E-2</v>
      </c>
      <c r="H168" s="77">
        <f t="shared" si="42"/>
        <v>7.7543513625231777E-2</v>
      </c>
      <c r="I168" s="77">
        <f t="shared" si="42"/>
        <v>7.8616386912614994E-2</v>
      </c>
      <c r="J168" s="77">
        <f t="shared" si="42"/>
        <v>8.0951329796167121E-2</v>
      </c>
      <c r="K168" s="77">
        <f t="shared" si="42"/>
        <v>7.9284668032109984E-2</v>
      </c>
      <c r="L168" s="77">
        <f t="shared" si="42"/>
        <v>8.0285857088112395E-2</v>
      </c>
      <c r="M168" s="77">
        <f t="shared" si="42"/>
        <v>8.1726888725768873E-2</v>
      </c>
      <c r="N168" s="77">
        <f t="shared" si="42"/>
        <v>8.5101991133431518E-2</v>
      </c>
      <c r="O168" s="77">
        <f t="shared" si="42"/>
        <v>8.5462387049977134E-2</v>
      </c>
      <c r="P168" s="77">
        <f t="shared" si="42"/>
        <v>8.4076467813227709E-2</v>
      </c>
      <c r="Q168" s="77">
        <f t="shared" si="42"/>
        <v>8.5184133328696107E-2</v>
      </c>
      <c r="R168" s="77">
        <f t="shared" si="42"/>
        <v>8.5147548124739361E-2</v>
      </c>
      <c r="S168" s="77">
        <f t="shared" si="42"/>
        <v>8.7246452635386523E-2</v>
      </c>
      <c r="T168" s="77">
        <f t="shared" si="42"/>
        <v>9.2050270271618814E-2</v>
      </c>
      <c r="U168" s="77">
        <f t="shared" si="42"/>
        <v>9.4849391024924137E-2</v>
      </c>
      <c r="V168" s="77">
        <f t="shared" si="42"/>
        <v>5.0998161776215585E-2</v>
      </c>
      <c r="W168" s="77">
        <f t="shared" si="42"/>
        <v>5.3863502439974113E-2</v>
      </c>
      <c r="DA168" s="49"/>
    </row>
    <row r="169" spans="1:105" ht="11.5" customHeight="1" x14ac:dyDescent="0.35">
      <c r="A169" s="53" t="s">
        <v>79</v>
      </c>
      <c r="B169" s="75">
        <f t="shared" ref="B169:W180" si="43">IF(B77=0,0,B77/B$77)</f>
        <v>1</v>
      </c>
      <c r="C169" s="75">
        <f t="shared" si="43"/>
        <v>1</v>
      </c>
      <c r="D169" s="75">
        <f t="shared" si="43"/>
        <v>1</v>
      </c>
      <c r="E169" s="75">
        <f t="shared" si="43"/>
        <v>1</v>
      </c>
      <c r="F169" s="75">
        <f t="shared" si="43"/>
        <v>1</v>
      </c>
      <c r="G169" s="75">
        <f t="shared" si="43"/>
        <v>1</v>
      </c>
      <c r="H169" s="75">
        <f t="shared" si="43"/>
        <v>1</v>
      </c>
      <c r="I169" s="75">
        <f t="shared" si="43"/>
        <v>1</v>
      </c>
      <c r="J169" s="75">
        <f t="shared" si="43"/>
        <v>1</v>
      </c>
      <c r="K169" s="75">
        <f t="shared" si="43"/>
        <v>1</v>
      </c>
      <c r="L169" s="75">
        <f t="shared" si="43"/>
        <v>1</v>
      </c>
      <c r="M169" s="75">
        <f t="shared" si="43"/>
        <v>1</v>
      </c>
      <c r="N169" s="75">
        <f t="shared" si="43"/>
        <v>1</v>
      </c>
      <c r="O169" s="75">
        <f t="shared" si="43"/>
        <v>1</v>
      </c>
      <c r="P169" s="75">
        <f t="shared" si="43"/>
        <v>1</v>
      </c>
      <c r="Q169" s="75">
        <f t="shared" si="43"/>
        <v>1</v>
      </c>
      <c r="R169" s="75">
        <f t="shared" si="43"/>
        <v>1</v>
      </c>
      <c r="S169" s="75">
        <f t="shared" si="43"/>
        <v>1</v>
      </c>
      <c r="T169" s="75">
        <f t="shared" si="43"/>
        <v>1</v>
      </c>
      <c r="U169" s="75">
        <f t="shared" si="43"/>
        <v>1</v>
      </c>
      <c r="V169" s="75">
        <f t="shared" si="43"/>
        <v>1</v>
      </c>
      <c r="W169" s="75">
        <f t="shared" si="43"/>
        <v>1</v>
      </c>
      <c r="DA169" s="55"/>
    </row>
    <row r="170" spans="1:105" ht="11.5" customHeight="1" x14ac:dyDescent="0.35">
      <c r="A170" s="56" t="str">
        <f>$A$18</f>
        <v>Road transport</v>
      </c>
      <c r="B170" s="76">
        <f t="shared" si="43"/>
        <v>0.89534018134870785</v>
      </c>
      <c r="C170" s="76">
        <f t="shared" si="43"/>
        <v>0.89887335868774454</v>
      </c>
      <c r="D170" s="76">
        <f t="shared" si="43"/>
        <v>0.89813996470559521</v>
      </c>
      <c r="E170" s="76">
        <f t="shared" si="43"/>
        <v>0.89640274050549706</v>
      </c>
      <c r="F170" s="76">
        <f t="shared" si="43"/>
        <v>0.89712226527810712</v>
      </c>
      <c r="G170" s="76">
        <f t="shared" si="43"/>
        <v>0.89755262461503493</v>
      </c>
      <c r="H170" s="76">
        <f t="shared" si="43"/>
        <v>0.89494538440083093</v>
      </c>
      <c r="I170" s="76">
        <f t="shared" si="43"/>
        <v>0.89556796023093388</v>
      </c>
      <c r="J170" s="76">
        <f t="shared" si="43"/>
        <v>0.89216382366852032</v>
      </c>
      <c r="K170" s="76">
        <f t="shared" si="43"/>
        <v>0.89378080495977741</v>
      </c>
      <c r="L170" s="76">
        <f t="shared" si="43"/>
        <v>0.89357375229366776</v>
      </c>
      <c r="M170" s="76">
        <f t="shared" si="43"/>
        <v>0.89982841650221401</v>
      </c>
      <c r="N170" s="76">
        <f t="shared" si="43"/>
        <v>0.89966551175396037</v>
      </c>
      <c r="O170" s="76">
        <f t="shared" si="43"/>
        <v>0.90391931130204239</v>
      </c>
      <c r="P170" s="76">
        <f t="shared" si="43"/>
        <v>0.90794644418746495</v>
      </c>
      <c r="Q170" s="76">
        <f t="shared" si="43"/>
        <v>0.90445822770984008</v>
      </c>
      <c r="R170" s="76">
        <f t="shared" si="43"/>
        <v>0.90817282594935711</v>
      </c>
      <c r="S170" s="76">
        <f t="shared" si="43"/>
        <v>0.90545347210282912</v>
      </c>
      <c r="T170" s="76">
        <f t="shared" si="43"/>
        <v>0.90778868781078736</v>
      </c>
      <c r="U170" s="76">
        <f t="shared" si="43"/>
        <v>0.91012102614470192</v>
      </c>
      <c r="V170" s="76">
        <f t="shared" si="43"/>
        <v>0.89986216241816686</v>
      </c>
      <c r="W170" s="76">
        <f t="shared" si="43"/>
        <v>0.90111136770386935</v>
      </c>
      <c r="DA170" s="58"/>
    </row>
    <row r="171" spans="1:105" ht="11.5" customHeight="1" x14ac:dyDescent="0.35">
      <c r="A171" s="59" t="str">
        <f>$A$19</f>
        <v>Light commercial vehicles</v>
      </c>
      <c r="B171" s="77">
        <f t="shared" si="43"/>
        <v>0.37209898593177954</v>
      </c>
      <c r="C171" s="77">
        <f t="shared" si="43"/>
        <v>0.36226149195640539</v>
      </c>
      <c r="D171" s="77">
        <f t="shared" si="43"/>
        <v>0.35838113437218022</v>
      </c>
      <c r="E171" s="77">
        <f t="shared" si="43"/>
        <v>0.35498768434887584</v>
      </c>
      <c r="F171" s="77">
        <f t="shared" si="43"/>
        <v>0.34248485370395437</v>
      </c>
      <c r="G171" s="77">
        <f t="shared" si="43"/>
        <v>0.33851639934433236</v>
      </c>
      <c r="H171" s="77">
        <f t="shared" si="43"/>
        <v>0.32039419710609501</v>
      </c>
      <c r="I171" s="77">
        <f t="shared" si="43"/>
        <v>0.32259961508848045</v>
      </c>
      <c r="J171" s="77">
        <f t="shared" si="43"/>
        <v>0.32499766145733955</v>
      </c>
      <c r="K171" s="77">
        <f t="shared" si="43"/>
        <v>0.33992562075621058</v>
      </c>
      <c r="L171" s="77">
        <f t="shared" si="43"/>
        <v>0.33940524946295325</v>
      </c>
      <c r="M171" s="77">
        <f t="shared" si="43"/>
        <v>0.34786139934171378</v>
      </c>
      <c r="N171" s="77">
        <f t="shared" si="43"/>
        <v>0.34571297747269852</v>
      </c>
      <c r="O171" s="77">
        <f t="shared" si="43"/>
        <v>0.34694437798148253</v>
      </c>
      <c r="P171" s="77">
        <f t="shared" si="43"/>
        <v>0.3558355499548353</v>
      </c>
      <c r="Q171" s="77">
        <f t="shared" si="43"/>
        <v>0.34868933221801063</v>
      </c>
      <c r="R171" s="77">
        <f t="shared" si="43"/>
        <v>0.33454854203769469</v>
      </c>
      <c r="S171" s="77">
        <f t="shared" si="43"/>
        <v>0.32626399052539123</v>
      </c>
      <c r="T171" s="77">
        <f t="shared" si="43"/>
        <v>0.32290449950862193</v>
      </c>
      <c r="U171" s="77">
        <f t="shared" si="43"/>
        <v>0.32384879306224112</v>
      </c>
      <c r="V171" s="77">
        <f t="shared" si="43"/>
        <v>0.31972512972060591</v>
      </c>
      <c r="W171" s="77">
        <f t="shared" si="43"/>
        <v>0.32253389887931372</v>
      </c>
      <c r="DA171" s="49"/>
    </row>
    <row r="172" spans="1:105" ht="11.5" customHeight="1" x14ac:dyDescent="0.35">
      <c r="A172" s="59" t="str">
        <f>$A$20</f>
        <v>Heavy goods vehicles</v>
      </c>
      <c r="B172" s="77">
        <f t="shared" si="43"/>
        <v>0.52324119541692826</v>
      </c>
      <c r="C172" s="77">
        <f t="shared" si="43"/>
        <v>0.53661186673133909</v>
      </c>
      <c r="D172" s="77">
        <f t="shared" si="43"/>
        <v>0.53975883033341499</v>
      </c>
      <c r="E172" s="77">
        <f t="shared" si="43"/>
        <v>0.54141505615662122</v>
      </c>
      <c r="F172" s="77">
        <f t="shared" si="43"/>
        <v>0.55463741157415281</v>
      </c>
      <c r="G172" s="77">
        <f t="shared" si="43"/>
        <v>0.55903622527070274</v>
      </c>
      <c r="H172" s="77">
        <f t="shared" si="43"/>
        <v>0.57455118729473587</v>
      </c>
      <c r="I172" s="77">
        <f t="shared" si="43"/>
        <v>0.57296834514245354</v>
      </c>
      <c r="J172" s="77">
        <f t="shared" si="43"/>
        <v>0.56716616221118077</v>
      </c>
      <c r="K172" s="77">
        <f t="shared" si="43"/>
        <v>0.55385518420356683</v>
      </c>
      <c r="L172" s="77">
        <f t="shared" si="43"/>
        <v>0.55416850283071439</v>
      </c>
      <c r="M172" s="77">
        <f t="shared" si="43"/>
        <v>0.55196701716050034</v>
      </c>
      <c r="N172" s="77">
        <f t="shared" si="43"/>
        <v>0.5539525342812619</v>
      </c>
      <c r="O172" s="77">
        <f t="shared" si="43"/>
        <v>0.55697493332055981</v>
      </c>
      <c r="P172" s="77">
        <f t="shared" si="43"/>
        <v>0.55211089423262971</v>
      </c>
      <c r="Q172" s="77">
        <f t="shared" si="43"/>
        <v>0.5557688954918294</v>
      </c>
      <c r="R172" s="77">
        <f t="shared" si="43"/>
        <v>0.57362428391166242</v>
      </c>
      <c r="S172" s="77">
        <f t="shared" si="43"/>
        <v>0.57918948157743788</v>
      </c>
      <c r="T172" s="77">
        <f t="shared" si="43"/>
        <v>0.58488418830216549</v>
      </c>
      <c r="U172" s="77">
        <f t="shared" si="43"/>
        <v>0.58627223308246079</v>
      </c>
      <c r="V172" s="77">
        <f t="shared" si="43"/>
        <v>0.58013703269756101</v>
      </c>
      <c r="W172" s="77">
        <f t="shared" si="43"/>
        <v>0.57857746882455563</v>
      </c>
      <c r="DA172" s="49"/>
    </row>
    <row r="173" spans="1:105" ht="11.5" customHeight="1" x14ac:dyDescent="0.35">
      <c r="A173" s="61" t="str">
        <f>$A$21</f>
        <v>Rail transport</v>
      </c>
      <c r="B173" s="78">
        <f t="shared" si="43"/>
        <v>1.1179076846104863E-2</v>
      </c>
      <c r="C173" s="78">
        <f t="shared" si="43"/>
        <v>9.9415697301094719E-3</v>
      </c>
      <c r="D173" s="78">
        <f t="shared" si="43"/>
        <v>9.7556868775190569E-3</v>
      </c>
      <c r="E173" s="78">
        <f t="shared" si="43"/>
        <v>8.850078153159753E-3</v>
      </c>
      <c r="F173" s="78">
        <f t="shared" si="43"/>
        <v>8.5327209263765837E-3</v>
      </c>
      <c r="G173" s="78">
        <f t="shared" si="43"/>
        <v>7.8256867754106559E-3</v>
      </c>
      <c r="H173" s="78">
        <f t="shared" si="43"/>
        <v>8.2270996585922882E-3</v>
      </c>
      <c r="I173" s="78">
        <f t="shared" si="43"/>
        <v>8.7403809478203368E-3</v>
      </c>
      <c r="J173" s="78">
        <f t="shared" si="43"/>
        <v>8.678132701782389E-3</v>
      </c>
      <c r="K173" s="78">
        <f t="shared" si="43"/>
        <v>7.9524861820507095E-3</v>
      </c>
      <c r="L173" s="78">
        <f t="shared" si="43"/>
        <v>8.6269081751609005E-3</v>
      </c>
      <c r="M173" s="78">
        <f t="shared" si="43"/>
        <v>7.5465790060750349E-3</v>
      </c>
      <c r="N173" s="78">
        <f t="shared" si="43"/>
        <v>7.5767235750122432E-3</v>
      </c>
      <c r="O173" s="78">
        <f t="shared" si="43"/>
        <v>6.0934597111355106E-3</v>
      </c>
      <c r="P173" s="78">
        <f t="shared" si="43"/>
        <v>5.7758389640881888E-3</v>
      </c>
      <c r="Q173" s="78">
        <f t="shared" si="43"/>
        <v>5.6047456823385662E-3</v>
      </c>
      <c r="R173" s="78">
        <f t="shared" si="43"/>
        <v>4.9994644437322119E-3</v>
      </c>
      <c r="S173" s="78">
        <f t="shared" si="43"/>
        <v>4.9052508233807003E-3</v>
      </c>
      <c r="T173" s="78">
        <f t="shared" si="43"/>
        <v>4.8732018714481105E-3</v>
      </c>
      <c r="U173" s="78">
        <f t="shared" si="43"/>
        <v>4.7960774021888943E-3</v>
      </c>
      <c r="V173" s="78">
        <f t="shared" si="43"/>
        <v>4.6404823314025621E-3</v>
      </c>
      <c r="W173" s="78">
        <f t="shared" si="43"/>
        <v>4.7315639228545925E-3</v>
      </c>
      <c r="DA173" s="63"/>
    </row>
    <row r="174" spans="1:105" ht="11.5" customHeight="1" x14ac:dyDescent="0.35">
      <c r="A174" s="61" t="str">
        <f>$A$22</f>
        <v>Aviation</v>
      </c>
      <c r="B174" s="78">
        <f t="shared" si="43"/>
        <v>3.058953765434708E-2</v>
      </c>
      <c r="C174" s="78">
        <f t="shared" si="43"/>
        <v>2.7903570016701705E-2</v>
      </c>
      <c r="D174" s="78">
        <f t="shared" si="43"/>
        <v>2.9732267022322095E-2</v>
      </c>
      <c r="E174" s="78">
        <f t="shared" si="43"/>
        <v>3.0693452440901565E-2</v>
      </c>
      <c r="F174" s="78">
        <f t="shared" si="43"/>
        <v>3.2022002395910625E-2</v>
      </c>
      <c r="G174" s="78">
        <f t="shared" si="43"/>
        <v>3.4343030128542333E-2</v>
      </c>
      <c r="H174" s="78">
        <f t="shared" si="43"/>
        <v>3.6811408365735668E-2</v>
      </c>
      <c r="I174" s="78">
        <f t="shared" si="43"/>
        <v>3.7953097957717868E-2</v>
      </c>
      <c r="J174" s="78">
        <f t="shared" si="43"/>
        <v>4.0401024289959536E-2</v>
      </c>
      <c r="K174" s="78">
        <f t="shared" si="43"/>
        <v>3.638652260706926E-2</v>
      </c>
      <c r="L174" s="78">
        <f t="shared" si="43"/>
        <v>4.0015846068305556E-2</v>
      </c>
      <c r="M174" s="78">
        <f t="shared" si="43"/>
        <v>3.9854458760711052E-2</v>
      </c>
      <c r="N174" s="78">
        <f t="shared" si="43"/>
        <v>3.8875441155691845E-2</v>
      </c>
      <c r="O174" s="78">
        <f t="shared" si="43"/>
        <v>3.9777450955882823E-2</v>
      </c>
      <c r="P174" s="78">
        <f t="shared" si="43"/>
        <v>3.9057389755243144E-2</v>
      </c>
      <c r="Q174" s="78">
        <f t="shared" si="43"/>
        <v>4.0475277690356082E-2</v>
      </c>
      <c r="R174" s="78">
        <f t="shared" si="43"/>
        <v>3.7372192470421145E-2</v>
      </c>
      <c r="S174" s="78">
        <f t="shared" si="43"/>
        <v>3.9651841278598277E-2</v>
      </c>
      <c r="T174" s="78">
        <f t="shared" si="43"/>
        <v>3.9476405485874465E-2</v>
      </c>
      <c r="U174" s="78">
        <f t="shared" si="43"/>
        <v>3.6812392306354073E-2</v>
      </c>
      <c r="V174" s="78">
        <f t="shared" si="43"/>
        <v>5.1338701478712959E-2</v>
      </c>
      <c r="W174" s="78">
        <f t="shared" si="43"/>
        <v>5.0981870063842569E-2</v>
      </c>
      <c r="DA174" s="63"/>
    </row>
    <row r="175" spans="1:105" ht="11.5" customHeight="1" x14ac:dyDescent="0.35">
      <c r="A175" s="59" t="s">
        <v>69</v>
      </c>
      <c r="B175" s="77">
        <f t="shared" si="43"/>
        <v>2.3664365597652164E-3</v>
      </c>
      <c r="C175" s="77">
        <f t="shared" si="43"/>
        <v>2.4839681482868355E-3</v>
      </c>
      <c r="D175" s="77">
        <f t="shared" si="43"/>
        <v>2.1437234284212318E-3</v>
      </c>
      <c r="E175" s="77">
        <f t="shared" si="43"/>
        <v>1.7596083725586553E-3</v>
      </c>
      <c r="F175" s="77">
        <f t="shared" si="43"/>
        <v>1.8025163939040479E-3</v>
      </c>
      <c r="G175" s="77">
        <f t="shared" si="43"/>
        <v>1.7758335964828372E-3</v>
      </c>
      <c r="H175" s="77">
        <f t="shared" si="43"/>
        <v>1.713247823563398E-3</v>
      </c>
      <c r="I175" s="77">
        <f t="shared" si="43"/>
        <v>1.5909565798850366E-3</v>
      </c>
      <c r="J175" s="77">
        <f t="shared" si="43"/>
        <v>1.6117081836196532E-3</v>
      </c>
      <c r="K175" s="77">
        <f t="shared" si="43"/>
        <v>1.446195943744785E-3</v>
      </c>
      <c r="L175" s="77">
        <f t="shared" si="43"/>
        <v>1.3224667822278812E-3</v>
      </c>
      <c r="M175" s="77">
        <f t="shared" si="43"/>
        <v>1.2649662191813232E-3</v>
      </c>
      <c r="N175" s="77">
        <f t="shared" si="43"/>
        <v>1.2467717710588635E-3</v>
      </c>
      <c r="O175" s="77">
        <f t="shared" si="43"/>
        <v>1.1992570721490326E-3</v>
      </c>
      <c r="P175" s="77">
        <f t="shared" si="43"/>
        <v>1.2719762547305827E-3</v>
      </c>
      <c r="Q175" s="77">
        <f t="shared" si="43"/>
        <v>1.2277027933327164E-3</v>
      </c>
      <c r="R175" s="77">
        <f t="shared" si="43"/>
        <v>1.0715023168383184E-3</v>
      </c>
      <c r="S175" s="77">
        <f t="shared" si="43"/>
        <v>1.1164331967285425E-3</v>
      </c>
      <c r="T175" s="77">
        <f t="shared" si="43"/>
        <v>1.092498367606291E-3</v>
      </c>
      <c r="U175" s="77">
        <f t="shared" si="43"/>
        <v>1.104743799727717E-3</v>
      </c>
      <c r="V175" s="77">
        <f t="shared" si="43"/>
        <v>1.1193410909394192E-3</v>
      </c>
      <c r="W175" s="77">
        <f t="shared" si="43"/>
        <v>1.0893990426632091E-3</v>
      </c>
      <c r="DA175" s="49"/>
    </row>
    <row r="176" spans="1:105" ht="11.5" customHeight="1" x14ac:dyDescent="0.35">
      <c r="A176" s="59" t="str">
        <f>$A$24</f>
        <v>International - Intra-EEAwUK</v>
      </c>
      <c r="B176" s="77">
        <f t="shared" si="43"/>
        <v>3.3086054203211039E-3</v>
      </c>
      <c r="C176" s="77">
        <f t="shared" si="43"/>
        <v>2.8862014742929475E-3</v>
      </c>
      <c r="D176" s="77">
        <f t="shared" si="43"/>
        <v>3.0651494001034986E-3</v>
      </c>
      <c r="E176" s="77">
        <f t="shared" si="43"/>
        <v>2.9760578522180885E-3</v>
      </c>
      <c r="F176" s="77">
        <f t="shared" si="43"/>
        <v>3.1974501773861181E-3</v>
      </c>
      <c r="G176" s="77">
        <f t="shared" si="43"/>
        <v>3.3713135723375367E-3</v>
      </c>
      <c r="H176" s="77">
        <f t="shared" si="43"/>
        <v>4.1449824662387986E-3</v>
      </c>
      <c r="I176" s="77">
        <f t="shared" si="43"/>
        <v>4.3826125299254353E-3</v>
      </c>
      <c r="J176" s="77">
        <f t="shared" si="43"/>
        <v>4.5944028010673687E-3</v>
      </c>
      <c r="K176" s="77">
        <f t="shared" si="43"/>
        <v>4.383965373699718E-3</v>
      </c>
      <c r="L176" s="77">
        <f t="shared" si="43"/>
        <v>4.3813712471804491E-3</v>
      </c>
      <c r="M176" s="77">
        <f t="shared" si="43"/>
        <v>4.1852879642448179E-3</v>
      </c>
      <c r="N176" s="77">
        <f t="shared" si="43"/>
        <v>4.1900707362222097E-3</v>
      </c>
      <c r="O176" s="77">
        <f t="shared" si="43"/>
        <v>4.3523227372958577E-3</v>
      </c>
      <c r="P176" s="77">
        <f t="shared" si="43"/>
        <v>4.3377451090756466E-3</v>
      </c>
      <c r="Q176" s="77">
        <f t="shared" si="43"/>
        <v>4.452385873651583E-3</v>
      </c>
      <c r="R176" s="77">
        <f t="shared" si="43"/>
        <v>4.0058398553355808E-3</v>
      </c>
      <c r="S176" s="77">
        <f t="shared" si="43"/>
        <v>4.5483323841440408E-3</v>
      </c>
      <c r="T176" s="77">
        <f t="shared" si="43"/>
        <v>4.6170051333390564E-3</v>
      </c>
      <c r="U176" s="77">
        <f t="shared" si="43"/>
        <v>4.6174098870647049E-3</v>
      </c>
      <c r="V176" s="77">
        <f t="shared" si="43"/>
        <v>5.0618885039329852E-3</v>
      </c>
      <c r="W176" s="77">
        <f t="shared" si="43"/>
        <v>6.1195780217177462E-3</v>
      </c>
      <c r="DA176" s="49"/>
    </row>
    <row r="177" spans="1:105" ht="11.5" customHeight="1" x14ac:dyDescent="0.35">
      <c r="A177" s="59" t="str">
        <f>$A$25</f>
        <v>International - Extra-EEAwUK</v>
      </c>
      <c r="B177" s="77">
        <f t="shared" si="43"/>
        <v>2.491449567426076E-2</v>
      </c>
      <c r="C177" s="77">
        <f t="shared" si="43"/>
        <v>2.2533400394121921E-2</v>
      </c>
      <c r="D177" s="77">
        <f t="shared" si="43"/>
        <v>2.4523394193797361E-2</v>
      </c>
      <c r="E177" s="77">
        <f t="shared" si="43"/>
        <v>2.5957786216124819E-2</v>
      </c>
      <c r="F177" s="77">
        <f t="shared" si="43"/>
        <v>2.7022035824620455E-2</v>
      </c>
      <c r="G177" s="77">
        <f t="shared" si="43"/>
        <v>2.9195882959721958E-2</v>
      </c>
      <c r="H177" s="77">
        <f t="shared" si="43"/>
        <v>3.0953178075933466E-2</v>
      </c>
      <c r="I177" s="77">
        <f t="shared" si="43"/>
        <v>3.1979528847907397E-2</v>
      </c>
      <c r="J177" s="77">
        <f t="shared" si="43"/>
        <v>3.4194913305272516E-2</v>
      </c>
      <c r="K177" s="77">
        <f t="shared" si="43"/>
        <v>3.0556361289624755E-2</v>
      </c>
      <c r="L177" s="77">
        <f t="shared" si="43"/>
        <v>3.4312008038897224E-2</v>
      </c>
      <c r="M177" s="77">
        <f t="shared" si="43"/>
        <v>3.4404204577284908E-2</v>
      </c>
      <c r="N177" s="77">
        <f t="shared" si="43"/>
        <v>3.3438598648410769E-2</v>
      </c>
      <c r="O177" s="77">
        <f t="shared" si="43"/>
        <v>3.4225871146437936E-2</v>
      </c>
      <c r="P177" s="77">
        <f t="shared" si="43"/>
        <v>3.3447668391436911E-2</v>
      </c>
      <c r="Q177" s="77">
        <f t="shared" si="43"/>
        <v>3.4795189023371781E-2</v>
      </c>
      <c r="R177" s="77">
        <f t="shared" si="43"/>
        <v>3.2294850298247246E-2</v>
      </c>
      <c r="S177" s="77">
        <f t="shared" si="43"/>
        <v>3.3987075697725695E-2</v>
      </c>
      <c r="T177" s="77">
        <f t="shared" si="43"/>
        <v>3.3766901984929119E-2</v>
      </c>
      <c r="U177" s="77">
        <f t="shared" si="43"/>
        <v>3.1090238619561651E-2</v>
      </c>
      <c r="V177" s="77">
        <f t="shared" si="43"/>
        <v>4.5157471883840554E-2</v>
      </c>
      <c r="W177" s="77">
        <f t="shared" si="43"/>
        <v>4.3772892999461611E-2</v>
      </c>
      <c r="DA177" s="49"/>
    </row>
    <row r="178" spans="1:105" ht="11.5" customHeight="1" x14ac:dyDescent="0.35">
      <c r="A178" s="61" t="s">
        <v>74</v>
      </c>
      <c r="B178" s="78">
        <f t="shared" si="43"/>
        <v>6.289120415084018E-2</v>
      </c>
      <c r="C178" s="78">
        <f t="shared" si="43"/>
        <v>6.3281501565444376E-2</v>
      </c>
      <c r="D178" s="78">
        <f t="shared" si="43"/>
        <v>6.2372081394563683E-2</v>
      </c>
      <c r="E178" s="78">
        <f t="shared" si="43"/>
        <v>6.4053728900441614E-2</v>
      </c>
      <c r="F178" s="78">
        <f t="shared" si="43"/>
        <v>6.2323011399605596E-2</v>
      </c>
      <c r="G178" s="78">
        <f t="shared" si="43"/>
        <v>6.027865848101191E-2</v>
      </c>
      <c r="H178" s="78">
        <f t="shared" si="43"/>
        <v>6.0016107574841326E-2</v>
      </c>
      <c r="I178" s="78">
        <f t="shared" si="43"/>
        <v>5.7738560863527924E-2</v>
      </c>
      <c r="J178" s="78">
        <f t="shared" si="43"/>
        <v>5.8757019339737794E-2</v>
      </c>
      <c r="K178" s="78">
        <f t="shared" si="43"/>
        <v>6.1880186251102746E-2</v>
      </c>
      <c r="L178" s="78">
        <f t="shared" si="43"/>
        <v>5.7783493462865931E-2</v>
      </c>
      <c r="M178" s="78">
        <f t="shared" si="43"/>
        <v>5.2770545730999853E-2</v>
      </c>
      <c r="N178" s="78">
        <f t="shared" si="43"/>
        <v>5.3882323515335492E-2</v>
      </c>
      <c r="O178" s="78">
        <f t="shared" si="43"/>
        <v>5.0209778030939338E-2</v>
      </c>
      <c r="P178" s="78">
        <f t="shared" si="43"/>
        <v>4.7220327093203819E-2</v>
      </c>
      <c r="Q178" s="78">
        <f t="shared" si="43"/>
        <v>4.9461748917465242E-2</v>
      </c>
      <c r="R178" s="78">
        <f t="shared" si="43"/>
        <v>4.9455517136489401E-2</v>
      </c>
      <c r="S178" s="78">
        <f t="shared" si="43"/>
        <v>4.9989435795191904E-2</v>
      </c>
      <c r="T178" s="78">
        <f t="shared" si="43"/>
        <v>4.7861704831890124E-2</v>
      </c>
      <c r="U178" s="78">
        <f t="shared" si="43"/>
        <v>4.8270504146755031E-2</v>
      </c>
      <c r="V178" s="78">
        <f t="shared" si="43"/>
        <v>4.4158653771717613E-2</v>
      </c>
      <c r="W178" s="78">
        <f t="shared" si="43"/>
        <v>4.3175198309433359E-2</v>
      </c>
      <c r="DA178" s="63"/>
    </row>
    <row r="179" spans="1:105" ht="11.5" customHeight="1" x14ac:dyDescent="0.35">
      <c r="A179" s="59" t="str">
        <f>$A$27</f>
        <v>Domestic coastal shipping</v>
      </c>
      <c r="B179" s="77">
        <f t="shared" si="43"/>
        <v>4.9817943267318206E-2</v>
      </c>
      <c r="C179" s="77">
        <f t="shared" si="43"/>
        <v>5.0528547094058761E-2</v>
      </c>
      <c r="D179" s="77">
        <f t="shared" si="43"/>
        <v>5.0360206793145929E-2</v>
      </c>
      <c r="E179" s="77">
        <f t="shared" si="43"/>
        <v>5.2121074160226939E-2</v>
      </c>
      <c r="F179" s="77">
        <f t="shared" si="43"/>
        <v>5.0668269186348702E-2</v>
      </c>
      <c r="G179" s="77">
        <f t="shared" si="43"/>
        <v>4.8796247957616008E-2</v>
      </c>
      <c r="H179" s="77">
        <f t="shared" si="43"/>
        <v>5.045397730414606E-2</v>
      </c>
      <c r="I179" s="77">
        <f t="shared" si="43"/>
        <v>4.6856219890877258E-2</v>
      </c>
      <c r="J179" s="77">
        <f t="shared" si="43"/>
        <v>4.7646260932465545E-2</v>
      </c>
      <c r="K179" s="77">
        <f t="shared" si="43"/>
        <v>4.991046606672727E-2</v>
      </c>
      <c r="L179" s="77">
        <f t="shared" si="43"/>
        <v>4.548302305858079E-2</v>
      </c>
      <c r="M179" s="77">
        <f t="shared" si="43"/>
        <v>4.0246862331270603E-2</v>
      </c>
      <c r="N179" s="77">
        <f t="shared" si="43"/>
        <v>4.1022182987179509E-2</v>
      </c>
      <c r="O179" s="77">
        <f t="shared" si="43"/>
        <v>3.588180635205495E-2</v>
      </c>
      <c r="P179" s="77">
        <f t="shared" si="43"/>
        <v>3.3936957416186263E-2</v>
      </c>
      <c r="Q179" s="77">
        <f t="shared" si="43"/>
        <v>3.5824554690098077E-2</v>
      </c>
      <c r="R179" s="77">
        <f t="shared" si="43"/>
        <v>3.7044311419631479E-2</v>
      </c>
      <c r="S179" s="77">
        <f t="shared" si="43"/>
        <v>3.8639975518995742E-2</v>
      </c>
      <c r="T179" s="77">
        <f t="shared" si="43"/>
        <v>3.6708296146122997E-2</v>
      </c>
      <c r="U179" s="77">
        <f t="shared" si="43"/>
        <v>3.7073651545729537E-2</v>
      </c>
      <c r="V179" s="77">
        <f t="shared" si="43"/>
        <v>3.3464234096256533E-2</v>
      </c>
      <c r="W179" s="77">
        <f t="shared" si="43"/>
        <v>3.2649953095009801E-2</v>
      </c>
      <c r="DA179" s="49"/>
    </row>
    <row r="180" spans="1:105" ht="11.5" customHeight="1" x14ac:dyDescent="0.35">
      <c r="A180" s="67" t="str">
        <f>$A$28</f>
        <v>Inland waterways</v>
      </c>
      <c r="B180" s="79">
        <f t="shared" si="43"/>
        <v>1.3073260883521976E-2</v>
      </c>
      <c r="C180" s="79">
        <f t="shared" si="43"/>
        <v>1.275295447138561E-2</v>
      </c>
      <c r="D180" s="79">
        <f t="shared" si="43"/>
        <v>1.2011874601417753E-2</v>
      </c>
      <c r="E180" s="79">
        <f t="shared" si="43"/>
        <v>1.1932654740214668E-2</v>
      </c>
      <c r="F180" s="79">
        <f t="shared" si="43"/>
        <v>1.1654742213256897E-2</v>
      </c>
      <c r="G180" s="79">
        <f t="shared" si="43"/>
        <v>1.1482410523395905E-2</v>
      </c>
      <c r="H180" s="79">
        <f t="shared" si="43"/>
        <v>9.5621302706952616E-3</v>
      </c>
      <c r="I180" s="79">
        <f t="shared" si="43"/>
        <v>1.0882340972650671E-2</v>
      </c>
      <c r="J180" s="79">
        <f t="shared" si="43"/>
        <v>1.1110758407272252E-2</v>
      </c>
      <c r="K180" s="79">
        <f t="shared" si="43"/>
        <v>1.1969720184375469E-2</v>
      </c>
      <c r="L180" s="79">
        <f t="shared" si="43"/>
        <v>1.2300470404285146E-2</v>
      </c>
      <c r="M180" s="79">
        <f t="shared" si="43"/>
        <v>1.2523683399729245E-2</v>
      </c>
      <c r="N180" s="79">
        <f t="shared" si="43"/>
        <v>1.2860140528155982E-2</v>
      </c>
      <c r="O180" s="79">
        <f t="shared" ref="O180:W180" si="44">IF(O88=0,0,O88/O$77)</f>
        <v>1.4327971678884386E-2</v>
      </c>
      <c r="P180" s="79">
        <f t="shared" si="44"/>
        <v>1.3283369677017549E-2</v>
      </c>
      <c r="Q180" s="79">
        <f t="shared" si="44"/>
        <v>1.363719422736716E-2</v>
      </c>
      <c r="R180" s="79">
        <f t="shared" si="44"/>
        <v>1.2411205716857915E-2</v>
      </c>
      <c r="S180" s="79">
        <f t="shared" si="44"/>
        <v>1.1349460276196158E-2</v>
      </c>
      <c r="T180" s="79">
        <f t="shared" si="44"/>
        <v>1.1153408685767131E-2</v>
      </c>
      <c r="U180" s="79">
        <f t="shared" si="44"/>
        <v>1.1196852601025492E-2</v>
      </c>
      <c r="V180" s="79">
        <f t="shared" si="44"/>
        <v>1.0694419675461081E-2</v>
      </c>
      <c r="W180" s="79">
        <f t="shared" si="44"/>
        <v>1.052524521442356E-2</v>
      </c>
      <c r="DA180" s="69"/>
    </row>
    <row r="181" spans="1:105" ht="11.5" customHeight="1" x14ac:dyDescent="0.35">
      <c r="A181" s="53" t="s">
        <v>80</v>
      </c>
      <c r="B181" s="75">
        <f>IF(B89=0,0,B89/B$89)</f>
        <v>1</v>
      </c>
      <c r="C181" s="75">
        <f t="shared" ref="C181:W183" si="45">IF(C89=0,0,C89/C$89)</f>
        <v>1</v>
      </c>
      <c r="D181" s="75">
        <f t="shared" si="45"/>
        <v>1</v>
      </c>
      <c r="E181" s="75">
        <f t="shared" si="45"/>
        <v>1</v>
      </c>
      <c r="F181" s="75">
        <f t="shared" si="45"/>
        <v>1</v>
      </c>
      <c r="G181" s="75">
        <f t="shared" si="45"/>
        <v>1</v>
      </c>
      <c r="H181" s="75">
        <f t="shared" si="45"/>
        <v>1</v>
      </c>
      <c r="I181" s="75">
        <f t="shared" si="45"/>
        <v>1</v>
      </c>
      <c r="J181" s="75">
        <f t="shared" si="45"/>
        <v>1</v>
      </c>
      <c r="K181" s="75">
        <f t="shared" si="45"/>
        <v>1</v>
      </c>
      <c r="L181" s="75">
        <f t="shared" si="45"/>
        <v>1</v>
      </c>
      <c r="M181" s="75">
        <f t="shared" si="45"/>
        <v>1</v>
      </c>
      <c r="N181" s="75">
        <f t="shared" si="45"/>
        <v>1</v>
      </c>
      <c r="O181" s="75">
        <f t="shared" si="45"/>
        <v>1</v>
      </c>
      <c r="P181" s="75">
        <f t="shared" si="45"/>
        <v>1</v>
      </c>
      <c r="Q181" s="75">
        <f t="shared" si="45"/>
        <v>1</v>
      </c>
      <c r="R181" s="75">
        <f t="shared" si="45"/>
        <v>1</v>
      </c>
      <c r="S181" s="75">
        <f t="shared" si="45"/>
        <v>1</v>
      </c>
      <c r="T181" s="75">
        <f t="shared" si="45"/>
        <v>1</v>
      </c>
      <c r="U181" s="75">
        <f t="shared" si="45"/>
        <v>1</v>
      </c>
      <c r="V181" s="75">
        <f t="shared" si="45"/>
        <v>1</v>
      </c>
      <c r="W181" s="75">
        <f t="shared" si="45"/>
        <v>1</v>
      </c>
      <c r="DA181" s="55"/>
    </row>
    <row r="182" spans="1:105" ht="11.5" customHeight="1" x14ac:dyDescent="0.35">
      <c r="A182" s="59" t="str">
        <f>$A$30</f>
        <v>Intra-EEA</v>
      </c>
      <c r="B182" s="77">
        <f>IF(B90=0,0,B90/B$89)</f>
        <v>0.3031954471673336</v>
      </c>
      <c r="C182" s="77">
        <f t="shared" si="45"/>
        <v>0.29190692411752045</v>
      </c>
      <c r="D182" s="77">
        <f t="shared" si="45"/>
        <v>0.28336086825171425</v>
      </c>
      <c r="E182" s="77">
        <f t="shared" si="45"/>
        <v>0.28574143850310835</v>
      </c>
      <c r="F182" s="77">
        <f t="shared" si="45"/>
        <v>0.2775010845112188</v>
      </c>
      <c r="G182" s="77">
        <f t="shared" si="45"/>
        <v>0.26253988664793593</v>
      </c>
      <c r="H182" s="77">
        <f t="shared" si="45"/>
        <v>0.25215750387129765</v>
      </c>
      <c r="I182" s="77">
        <f t="shared" si="45"/>
        <v>0.24711342291726346</v>
      </c>
      <c r="J182" s="77">
        <f t="shared" si="45"/>
        <v>0.24692043307379385</v>
      </c>
      <c r="K182" s="77">
        <f t="shared" si="45"/>
        <v>0.26470931635560235</v>
      </c>
      <c r="L182" s="77">
        <f t="shared" si="45"/>
        <v>0.27128831706130446</v>
      </c>
      <c r="M182" s="77">
        <f t="shared" si="45"/>
        <v>0.25565030633403341</v>
      </c>
      <c r="N182" s="77">
        <f t="shared" si="45"/>
        <v>0.25784699469916073</v>
      </c>
      <c r="O182" s="77">
        <f t="shared" si="45"/>
        <v>0.26439576436952522</v>
      </c>
      <c r="P182" s="77">
        <f t="shared" si="45"/>
        <v>0.26617976174819036</v>
      </c>
      <c r="Q182" s="77">
        <f t="shared" si="45"/>
        <v>0.2702096446449575</v>
      </c>
      <c r="R182" s="77">
        <f t="shared" si="45"/>
        <v>0.27701366611393119</v>
      </c>
      <c r="S182" s="77">
        <f t="shared" si="45"/>
        <v>0.27765533089486077</v>
      </c>
      <c r="T182" s="77">
        <f t="shared" si="45"/>
        <v>0.27798080109104756</v>
      </c>
      <c r="U182" s="77">
        <f t="shared" si="45"/>
        <v>0.28293779002594954</v>
      </c>
      <c r="V182" s="77">
        <f t="shared" si="45"/>
        <v>0.26158350568751271</v>
      </c>
      <c r="W182" s="77">
        <f t="shared" si="45"/>
        <v>0.26128202727871819</v>
      </c>
      <c r="DA182" s="49"/>
    </row>
    <row r="183" spans="1:105" ht="11.5" customHeight="1" x14ac:dyDescent="0.35">
      <c r="A183" s="67" t="str">
        <f>$A$31</f>
        <v>Extra-EEA</v>
      </c>
      <c r="B183" s="79">
        <f>IF(B91=0,0,B91/B$89)</f>
        <v>0.6968045528326664</v>
      </c>
      <c r="C183" s="79">
        <f t="shared" si="45"/>
        <v>0.70809307588247949</v>
      </c>
      <c r="D183" s="79">
        <f t="shared" si="45"/>
        <v>0.71663913174828564</v>
      </c>
      <c r="E183" s="79">
        <f t="shared" si="45"/>
        <v>0.71425856149689182</v>
      </c>
      <c r="F183" s="79">
        <f t="shared" si="45"/>
        <v>0.7224989154887812</v>
      </c>
      <c r="G183" s="79">
        <f t="shared" si="45"/>
        <v>0.73746011335206407</v>
      </c>
      <c r="H183" s="79">
        <f t="shared" si="45"/>
        <v>0.74784249612870224</v>
      </c>
      <c r="I183" s="79">
        <f t="shared" si="45"/>
        <v>0.75288657708273654</v>
      </c>
      <c r="J183" s="79">
        <f t="shared" si="45"/>
        <v>0.75307956692620615</v>
      </c>
      <c r="K183" s="79">
        <f t="shared" si="45"/>
        <v>0.73529068364439765</v>
      </c>
      <c r="L183" s="79">
        <f t="shared" si="45"/>
        <v>0.72871168293869559</v>
      </c>
      <c r="M183" s="79">
        <f t="shared" si="45"/>
        <v>0.74434969366596659</v>
      </c>
      <c r="N183" s="79">
        <f t="shared" si="45"/>
        <v>0.74215300530083927</v>
      </c>
      <c r="O183" s="79">
        <f t="shared" si="45"/>
        <v>0.73560423563047472</v>
      </c>
      <c r="P183" s="79">
        <f t="shared" si="45"/>
        <v>0.73382023825180964</v>
      </c>
      <c r="Q183" s="79">
        <f t="shared" si="45"/>
        <v>0.72979035535504244</v>
      </c>
      <c r="R183" s="79">
        <f t="shared" si="45"/>
        <v>0.7229863338860687</v>
      </c>
      <c r="S183" s="79">
        <f t="shared" si="45"/>
        <v>0.72234466910513928</v>
      </c>
      <c r="T183" s="79">
        <f t="shared" si="45"/>
        <v>0.7220191989089525</v>
      </c>
      <c r="U183" s="79">
        <f t="shared" si="45"/>
        <v>0.71706220997405046</v>
      </c>
      <c r="V183" s="79">
        <f t="shared" si="45"/>
        <v>0.73841649431248724</v>
      </c>
      <c r="W183" s="79">
        <f t="shared" si="45"/>
        <v>0.73871797272128192</v>
      </c>
      <c r="DA183" s="69"/>
    </row>
    <row r="184" spans="1:105" x14ac:dyDescent="0.35">
      <c r="A184" s="48"/>
      <c r="B184" s="48"/>
      <c r="C184" s="48"/>
      <c r="D184" s="48"/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DA184" s="49"/>
    </row>
    <row r="185" spans="1:105" ht="11.5" customHeight="1" x14ac:dyDescent="0.35">
      <c r="A185" s="50" t="s">
        <v>89</v>
      </c>
      <c r="B185" s="80"/>
      <c r="C185" s="80"/>
      <c r="D185" s="80"/>
      <c r="E185" s="80"/>
      <c r="F185" s="80"/>
      <c r="G185" s="80"/>
      <c r="H185" s="80"/>
      <c r="I185" s="80"/>
      <c r="J185" s="80"/>
      <c r="K185" s="80"/>
      <c r="L185" s="80"/>
      <c r="M185" s="80"/>
      <c r="N185" s="80"/>
      <c r="O185" s="80"/>
      <c r="P185" s="80"/>
      <c r="Q185" s="80"/>
      <c r="R185" s="80"/>
      <c r="S185" s="80"/>
      <c r="T185" s="80"/>
      <c r="U185" s="80"/>
      <c r="V185" s="80"/>
      <c r="W185" s="80"/>
      <c r="DA185" s="52"/>
    </row>
    <row r="186" spans="1:105" ht="11.5" customHeight="1" x14ac:dyDescent="0.35">
      <c r="A186" s="53" t="s">
        <v>90</v>
      </c>
      <c r="B186" s="81">
        <f t="shared" ref="B186:W197" si="46">IF(B34=0,0,B34/B4*1000)</f>
        <v>37.902390780144799</v>
      </c>
      <c r="C186" s="81">
        <f t="shared" si="46"/>
        <v>37.679796566523962</v>
      </c>
      <c r="D186" s="81">
        <f t="shared" si="46"/>
        <v>37.803067763569139</v>
      </c>
      <c r="E186" s="81">
        <f t="shared" si="46"/>
        <v>37.647852968563846</v>
      </c>
      <c r="F186" s="81">
        <f t="shared" si="46"/>
        <v>37.467481738358337</v>
      </c>
      <c r="G186" s="81">
        <f t="shared" si="46"/>
        <v>37.205792127415094</v>
      </c>
      <c r="H186" s="81">
        <f t="shared" si="46"/>
        <v>37.330498623147413</v>
      </c>
      <c r="I186" s="81">
        <f t="shared" si="46"/>
        <v>37.255030922091898</v>
      </c>
      <c r="J186" s="81">
        <f t="shared" si="46"/>
        <v>36.882728127608956</v>
      </c>
      <c r="K186" s="81">
        <f t="shared" si="46"/>
        <v>36.492020689027044</v>
      </c>
      <c r="L186" s="81">
        <f t="shared" si="46"/>
        <v>36.0559955239979</v>
      </c>
      <c r="M186" s="81">
        <f t="shared" si="46"/>
        <v>35.938990893450608</v>
      </c>
      <c r="N186" s="81">
        <f t="shared" si="46"/>
        <v>35.21252156311521</v>
      </c>
      <c r="O186" s="81">
        <f t="shared" si="46"/>
        <v>34.550606812610781</v>
      </c>
      <c r="P186" s="81">
        <f t="shared" si="46"/>
        <v>34.761756187246192</v>
      </c>
      <c r="Q186" s="81">
        <f t="shared" si="46"/>
        <v>34.570096973859094</v>
      </c>
      <c r="R186" s="81">
        <f t="shared" si="46"/>
        <v>34.399437802660799</v>
      </c>
      <c r="S186" s="81">
        <f t="shared" si="46"/>
        <v>34.368237694818582</v>
      </c>
      <c r="T186" s="81">
        <f t="shared" si="46"/>
        <v>33.979831684121457</v>
      </c>
      <c r="U186" s="81">
        <f t="shared" si="46"/>
        <v>33.778915702080056</v>
      </c>
      <c r="V186" s="81">
        <f t="shared" si="46"/>
        <v>38.500229965540775</v>
      </c>
      <c r="W186" s="81">
        <f t="shared" si="46"/>
        <v>38.137621897411975</v>
      </c>
      <c r="DA186" s="55" t="s">
        <v>243</v>
      </c>
    </row>
    <row r="187" spans="1:105" ht="11.5" customHeight="1" x14ac:dyDescent="0.35">
      <c r="A187" s="56" t="str">
        <f>$A$5</f>
        <v>Road transport</v>
      </c>
      <c r="B187" s="82">
        <f t="shared" si="46"/>
        <v>39.252387627456272</v>
      </c>
      <c r="C187" s="82">
        <f t="shared" si="46"/>
        <v>39.050095558639761</v>
      </c>
      <c r="D187" s="82">
        <f t="shared" si="46"/>
        <v>39.248027866795773</v>
      </c>
      <c r="E187" s="82">
        <f t="shared" si="46"/>
        <v>39.080551267979935</v>
      </c>
      <c r="F187" s="82">
        <f t="shared" si="46"/>
        <v>39.09387834032146</v>
      </c>
      <c r="G187" s="82">
        <f t="shared" si="46"/>
        <v>39.102554368747747</v>
      </c>
      <c r="H187" s="82">
        <f t="shared" si="46"/>
        <v>39.43059822702353</v>
      </c>
      <c r="I187" s="82">
        <f t="shared" si="46"/>
        <v>39.452831131780826</v>
      </c>
      <c r="J187" s="82">
        <f t="shared" si="46"/>
        <v>39.073976069599404</v>
      </c>
      <c r="K187" s="82">
        <f t="shared" si="46"/>
        <v>38.683034533154952</v>
      </c>
      <c r="L187" s="82">
        <f t="shared" si="46"/>
        <v>38.516618341766154</v>
      </c>
      <c r="M187" s="82">
        <f t="shared" si="46"/>
        <v>38.625431202900785</v>
      </c>
      <c r="N187" s="82">
        <f t="shared" si="46"/>
        <v>37.885170446657874</v>
      </c>
      <c r="O187" s="82">
        <f t="shared" si="46"/>
        <v>37.298819441141887</v>
      </c>
      <c r="P187" s="82">
        <f t="shared" si="46"/>
        <v>37.824948137416285</v>
      </c>
      <c r="Q187" s="82">
        <f t="shared" si="46"/>
        <v>37.530830786662378</v>
      </c>
      <c r="R187" s="82">
        <f t="shared" si="46"/>
        <v>37.353610932394155</v>
      </c>
      <c r="S187" s="82">
        <f t="shared" si="46"/>
        <v>37.593828512985205</v>
      </c>
      <c r="T187" s="82">
        <f t="shared" si="46"/>
        <v>37.32164617529515</v>
      </c>
      <c r="U187" s="82">
        <f t="shared" si="46"/>
        <v>37.305525596497311</v>
      </c>
      <c r="V187" s="82">
        <f t="shared" si="46"/>
        <v>40.108242651305041</v>
      </c>
      <c r="W187" s="82">
        <f t="shared" si="46"/>
        <v>40.009214355758552</v>
      </c>
      <c r="DA187" s="58" t="s">
        <v>244</v>
      </c>
    </row>
    <row r="188" spans="1:105" ht="11.5" customHeight="1" x14ac:dyDescent="0.35">
      <c r="A188" s="59" t="str">
        <f>$A$6</f>
        <v>Powered two-wheelers</v>
      </c>
      <c r="B188" s="83">
        <f t="shared" si="46"/>
        <v>34.416959671618557</v>
      </c>
      <c r="C188" s="83">
        <f t="shared" si="46"/>
        <v>33.844343670847024</v>
      </c>
      <c r="D188" s="83">
        <f t="shared" si="46"/>
        <v>33.603933093275103</v>
      </c>
      <c r="E188" s="83">
        <f t="shared" si="46"/>
        <v>33.179066923683365</v>
      </c>
      <c r="F188" s="83">
        <f t="shared" si="46"/>
        <v>32.721096537615487</v>
      </c>
      <c r="G188" s="83">
        <f t="shared" si="46"/>
        <v>32.364646960307233</v>
      </c>
      <c r="H188" s="83">
        <f t="shared" si="46"/>
        <v>32.004840739505141</v>
      </c>
      <c r="I188" s="83">
        <f t="shared" si="46"/>
        <v>31.796143627393498</v>
      </c>
      <c r="J188" s="83">
        <f t="shared" si="46"/>
        <v>31.359488255797771</v>
      </c>
      <c r="K188" s="83">
        <f t="shared" si="46"/>
        <v>31.49689783293455</v>
      </c>
      <c r="L188" s="83">
        <f t="shared" si="46"/>
        <v>31.532599772825701</v>
      </c>
      <c r="M188" s="83">
        <f t="shared" si="46"/>
        <v>30.432302511909111</v>
      </c>
      <c r="N188" s="83">
        <f t="shared" si="46"/>
        <v>30.357008244297969</v>
      </c>
      <c r="O188" s="83">
        <f t="shared" si="46"/>
        <v>30.14697936244626</v>
      </c>
      <c r="P188" s="83">
        <f t="shared" si="46"/>
        <v>30.143096042173998</v>
      </c>
      <c r="Q188" s="83">
        <f t="shared" si="46"/>
        <v>30.46123079656941</v>
      </c>
      <c r="R188" s="83">
        <f t="shared" si="46"/>
        <v>30.139173868243965</v>
      </c>
      <c r="S188" s="83">
        <f t="shared" si="46"/>
        <v>30.240529197717635</v>
      </c>
      <c r="T188" s="83">
        <f t="shared" si="46"/>
        <v>30.321604733632469</v>
      </c>
      <c r="U188" s="83">
        <f t="shared" si="46"/>
        <v>29.820625529268153</v>
      </c>
      <c r="V188" s="83">
        <f t="shared" si="46"/>
        <v>29.392211186231279</v>
      </c>
      <c r="W188" s="83">
        <f t="shared" si="46"/>
        <v>28.059377739877078</v>
      </c>
      <c r="DA188" s="49" t="s">
        <v>245</v>
      </c>
    </row>
    <row r="189" spans="1:105" ht="11.5" customHeight="1" x14ac:dyDescent="0.35">
      <c r="A189" s="59" t="str">
        <f>$A$7</f>
        <v>Passenger cars</v>
      </c>
      <c r="B189" s="83">
        <f t="shared" si="46"/>
        <v>40.961977716710891</v>
      </c>
      <c r="C189" s="83">
        <f t="shared" si="46"/>
        <v>40.729611526110467</v>
      </c>
      <c r="D189" s="83">
        <f t="shared" si="46"/>
        <v>40.943584373779508</v>
      </c>
      <c r="E189" s="83">
        <f t="shared" si="46"/>
        <v>40.74615299261837</v>
      </c>
      <c r="F189" s="83">
        <f t="shared" si="46"/>
        <v>40.829363471391666</v>
      </c>
      <c r="G189" s="83">
        <f t="shared" si="46"/>
        <v>40.910167212589833</v>
      </c>
      <c r="H189" s="83">
        <f t="shared" si="46"/>
        <v>41.250391811405372</v>
      </c>
      <c r="I189" s="83">
        <f t="shared" si="46"/>
        <v>41.339230943861331</v>
      </c>
      <c r="J189" s="83">
        <f t="shared" si="46"/>
        <v>40.963565641214309</v>
      </c>
      <c r="K189" s="83">
        <f t="shared" si="46"/>
        <v>40.227929402067531</v>
      </c>
      <c r="L189" s="83">
        <f t="shared" si="46"/>
        <v>39.962257767979224</v>
      </c>
      <c r="M189" s="83">
        <f t="shared" si="46"/>
        <v>40.1239309262399</v>
      </c>
      <c r="N189" s="83">
        <f t="shared" si="46"/>
        <v>39.288390530485138</v>
      </c>
      <c r="O189" s="83">
        <f t="shared" si="46"/>
        <v>38.583155100769147</v>
      </c>
      <c r="P189" s="83">
        <f t="shared" si="46"/>
        <v>39.071246764115443</v>
      </c>
      <c r="Q189" s="83">
        <f t="shared" si="46"/>
        <v>38.734229118611076</v>
      </c>
      <c r="R189" s="83">
        <f t="shared" si="46"/>
        <v>38.497062238044371</v>
      </c>
      <c r="S189" s="83">
        <f t="shared" si="46"/>
        <v>38.636185802362803</v>
      </c>
      <c r="T189" s="83">
        <f t="shared" si="46"/>
        <v>38.324027734585222</v>
      </c>
      <c r="U189" s="83">
        <f t="shared" si="46"/>
        <v>38.310849162617885</v>
      </c>
      <c r="V189" s="83">
        <f t="shared" si="46"/>
        <v>39.943795457920082</v>
      </c>
      <c r="W189" s="83">
        <f t="shared" si="46"/>
        <v>40.17563868336125</v>
      </c>
      <c r="DA189" s="49" t="s">
        <v>246</v>
      </c>
    </row>
    <row r="190" spans="1:105" ht="11.5" customHeight="1" x14ac:dyDescent="0.35">
      <c r="A190" s="59" t="str">
        <f>$A$8</f>
        <v>Motor coaches, buses and trolley buses</v>
      </c>
      <c r="B190" s="83">
        <f t="shared" si="46"/>
        <v>27.611925208868392</v>
      </c>
      <c r="C190" s="83">
        <f t="shared" si="46"/>
        <v>27.47655294704618</v>
      </c>
      <c r="D190" s="83">
        <f t="shared" si="46"/>
        <v>27.404747604927913</v>
      </c>
      <c r="E190" s="83">
        <f t="shared" si="46"/>
        <v>27.498130702775128</v>
      </c>
      <c r="F190" s="83">
        <f t="shared" si="46"/>
        <v>27.049057967520923</v>
      </c>
      <c r="G190" s="83">
        <f t="shared" si="46"/>
        <v>26.707833598075041</v>
      </c>
      <c r="H190" s="83">
        <f t="shared" si="46"/>
        <v>26.954164419513546</v>
      </c>
      <c r="I190" s="83">
        <f t="shared" si="46"/>
        <v>26.535336908592299</v>
      </c>
      <c r="J190" s="83">
        <f t="shared" si="46"/>
        <v>26.337266462109479</v>
      </c>
      <c r="K190" s="83">
        <f t="shared" si="46"/>
        <v>27.674295992649924</v>
      </c>
      <c r="L190" s="83">
        <f t="shared" si="46"/>
        <v>28.240147068935265</v>
      </c>
      <c r="M190" s="83">
        <f t="shared" si="46"/>
        <v>28.437320483138684</v>
      </c>
      <c r="N190" s="83">
        <f t="shared" si="46"/>
        <v>28.292543764923007</v>
      </c>
      <c r="O190" s="83">
        <f t="shared" si="46"/>
        <v>28.38601808078085</v>
      </c>
      <c r="P190" s="83">
        <f t="shared" si="46"/>
        <v>29.172573957550593</v>
      </c>
      <c r="Q190" s="83">
        <f t="shared" si="46"/>
        <v>29.138700454983645</v>
      </c>
      <c r="R190" s="83">
        <f t="shared" si="46"/>
        <v>29.388081811792865</v>
      </c>
      <c r="S190" s="83">
        <f t="shared" si="46"/>
        <v>30.054137911024135</v>
      </c>
      <c r="T190" s="83">
        <f t="shared" si="46"/>
        <v>29.990292517956256</v>
      </c>
      <c r="U190" s="83">
        <f t="shared" si="46"/>
        <v>30.138514387133995</v>
      </c>
      <c r="V190" s="83">
        <f t="shared" si="46"/>
        <v>45.806964670850334</v>
      </c>
      <c r="W190" s="83">
        <f t="shared" si="46"/>
        <v>41.933389254798925</v>
      </c>
      <c r="DA190" s="49" t="s">
        <v>247</v>
      </c>
    </row>
    <row r="191" spans="1:105" ht="11.5" customHeight="1" x14ac:dyDescent="0.35">
      <c r="A191" s="61" t="str">
        <f>$A$9</f>
        <v>Rail, metro and tram</v>
      </c>
      <c r="B191" s="84">
        <f t="shared" si="46"/>
        <v>12.800331845912194</v>
      </c>
      <c r="C191" s="84">
        <f t="shared" si="46"/>
        <v>12.138305399862585</v>
      </c>
      <c r="D191" s="84">
        <f t="shared" si="46"/>
        <v>12.487789292909964</v>
      </c>
      <c r="E191" s="84">
        <f t="shared" si="46"/>
        <v>12.493463923323048</v>
      </c>
      <c r="F191" s="84">
        <f t="shared" si="46"/>
        <v>12.450618563572123</v>
      </c>
      <c r="G191" s="84">
        <f t="shared" si="46"/>
        <v>12.090989735853787</v>
      </c>
      <c r="H191" s="84">
        <f t="shared" si="46"/>
        <v>11.051037108955722</v>
      </c>
      <c r="I191" s="84">
        <f t="shared" si="46"/>
        <v>11.202094591264281</v>
      </c>
      <c r="J191" s="84">
        <f t="shared" si="46"/>
        <v>10.781266215389795</v>
      </c>
      <c r="K191" s="84">
        <f t="shared" si="46"/>
        <v>10.751627450175144</v>
      </c>
      <c r="L191" s="84">
        <f t="shared" si="46"/>
        <v>10.681762068001726</v>
      </c>
      <c r="M191" s="84">
        <f t="shared" si="46"/>
        <v>10.474899697409654</v>
      </c>
      <c r="N191" s="84">
        <f t="shared" si="46"/>
        <v>10.534264448300902</v>
      </c>
      <c r="O191" s="84">
        <f t="shared" si="46"/>
        <v>9.4103506517058495</v>
      </c>
      <c r="P191" s="84">
        <f t="shared" si="46"/>
        <v>9.0240128470043501</v>
      </c>
      <c r="Q191" s="84">
        <f t="shared" si="46"/>
        <v>9.0108289513212565</v>
      </c>
      <c r="R191" s="84">
        <f t="shared" si="46"/>
        <v>8.969764207853121</v>
      </c>
      <c r="S191" s="84">
        <f t="shared" si="46"/>
        <v>8.6121970675530726</v>
      </c>
      <c r="T191" s="84">
        <f t="shared" si="46"/>
        <v>8.3161377171264146</v>
      </c>
      <c r="U191" s="84">
        <f t="shared" si="46"/>
        <v>8.0118368501485797</v>
      </c>
      <c r="V191" s="84">
        <f t="shared" si="46"/>
        <v>12.42307236813622</v>
      </c>
      <c r="W191" s="84">
        <f t="shared" si="46"/>
        <v>12.036850154033955</v>
      </c>
      <c r="DA191" s="63" t="s">
        <v>248</v>
      </c>
    </row>
    <row r="192" spans="1:105" ht="11.5" customHeight="1" x14ac:dyDescent="0.35">
      <c r="A192" s="59" t="str">
        <f>$A$10</f>
        <v>Metro and tram, urban light rail</v>
      </c>
      <c r="B192" s="83">
        <f t="shared" si="46"/>
        <v>5.5225163835597977</v>
      </c>
      <c r="C192" s="83">
        <f t="shared" si="46"/>
        <v>5.501151631430699</v>
      </c>
      <c r="D192" s="83">
        <f t="shared" si="46"/>
        <v>5.4510565145729863</v>
      </c>
      <c r="E192" s="83">
        <f t="shared" si="46"/>
        <v>5.4891901172922086</v>
      </c>
      <c r="F192" s="83">
        <f t="shared" si="46"/>
        <v>5.3923030326929666</v>
      </c>
      <c r="G192" s="83">
        <f t="shared" si="46"/>
        <v>5.1220532729205868</v>
      </c>
      <c r="H192" s="83">
        <f t="shared" si="46"/>
        <v>5.0202840678645329</v>
      </c>
      <c r="I192" s="83">
        <f t="shared" si="46"/>
        <v>4.9433450551074678</v>
      </c>
      <c r="J192" s="83">
        <f t="shared" si="46"/>
        <v>4.8288856065701733</v>
      </c>
      <c r="K192" s="83">
        <f t="shared" si="46"/>
        <v>4.8471502425829573</v>
      </c>
      <c r="L192" s="83">
        <f t="shared" si="46"/>
        <v>4.7781661975778578</v>
      </c>
      <c r="M192" s="83">
        <f t="shared" si="46"/>
        <v>4.7018063038573459</v>
      </c>
      <c r="N192" s="83">
        <f t="shared" si="46"/>
        <v>4.6165084831602101</v>
      </c>
      <c r="O192" s="83">
        <f t="shared" si="46"/>
        <v>4.5553338087800936</v>
      </c>
      <c r="P192" s="83">
        <f t="shared" si="46"/>
        <v>4.446949789174762</v>
      </c>
      <c r="Q192" s="83">
        <f t="shared" si="46"/>
        <v>4.3138059301764127</v>
      </c>
      <c r="R192" s="83">
        <f t="shared" si="46"/>
        <v>4.2231525407045396</v>
      </c>
      <c r="S192" s="83">
        <f t="shared" si="46"/>
        <v>4.1272344493866884</v>
      </c>
      <c r="T192" s="83">
        <f t="shared" si="46"/>
        <v>4.0227945648298373</v>
      </c>
      <c r="U192" s="83">
        <f t="shared" si="46"/>
        <v>4.0024471814857243</v>
      </c>
      <c r="V192" s="83">
        <f t="shared" si="46"/>
        <v>5.7846320069475139</v>
      </c>
      <c r="W192" s="83">
        <f t="shared" si="46"/>
        <v>5.5029925136836688</v>
      </c>
      <c r="DA192" s="49" t="s">
        <v>249</v>
      </c>
    </row>
    <row r="193" spans="1:105" ht="11.5" customHeight="1" x14ac:dyDescent="0.35">
      <c r="A193" s="59" t="str">
        <f>$A$11</f>
        <v>Conventional passenger trains</v>
      </c>
      <c r="B193" s="83">
        <f t="shared" si="46"/>
        <v>15.644501633588666</v>
      </c>
      <c r="C193" s="83">
        <f t="shared" si="46"/>
        <v>14.809612832670423</v>
      </c>
      <c r="D193" s="83">
        <f t="shared" si="46"/>
        <v>15.550935536868066</v>
      </c>
      <c r="E193" s="83">
        <f t="shared" si="46"/>
        <v>15.752110433949868</v>
      </c>
      <c r="F193" s="83">
        <f t="shared" si="46"/>
        <v>15.866517520495307</v>
      </c>
      <c r="G193" s="83">
        <f t="shared" si="46"/>
        <v>15.491288406094384</v>
      </c>
      <c r="H193" s="83">
        <f t="shared" si="46"/>
        <v>13.993558132144834</v>
      </c>
      <c r="I193" s="83">
        <f t="shared" si="46"/>
        <v>14.438658840827173</v>
      </c>
      <c r="J193" s="83">
        <f t="shared" si="46"/>
        <v>13.928399230385391</v>
      </c>
      <c r="K193" s="83">
        <f t="shared" si="46"/>
        <v>13.952395036502319</v>
      </c>
      <c r="L193" s="83">
        <f t="shared" si="46"/>
        <v>14.032214005627829</v>
      </c>
      <c r="M193" s="83">
        <f t="shared" si="46"/>
        <v>13.65979028754267</v>
      </c>
      <c r="N193" s="83">
        <f t="shared" si="46"/>
        <v>13.829863594724616</v>
      </c>
      <c r="O193" s="83">
        <f t="shared" si="46"/>
        <v>11.96586798857278</v>
      </c>
      <c r="P193" s="83">
        <f t="shared" si="46"/>
        <v>11.342919652195581</v>
      </c>
      <c r="Q193" s="83">
        <f t="shared" si="46"/>
        <v>11.386556409309387</v>
      </c>
      <c r="R193" s="83">
        <f t="shared" si="46"/>
        <v>11.554482390534421</v>
      </c>
      <c r="S193" s="83">
        <f t="shared" si="46"/>
        <v>11.197885636576656</v>
      </c>
      <c r="T193" s="83">
        <f t="shared" si="46"/>
        <v>10.828811547948705</v>
      </c>
      <c r="U193" s="83">
        <f t="shared" si="46"/>
        <v>10.316646829867659</v>
      </c>
      <c r="V193" s="83">
        <f t="shared" si="46"/>
        <v>16.394321959072801</v>
      </c>
      <c r="W193" s="83">
        <f t="shared" si="46"/>
        <v>16.15948549440742</v>
      </c>
      <c r="DA193" s="49" t="s">
        <v>250</v>
      </c>
    </row>
    <row r="194" spans="1:105" ht="11.5" customHeight="1" x14ac:dyDescent="0.35">
      <c r="A194" s="59" t="str">
        <f>$A$12</f>
        <v>High speed passenger trains</v>
      </c>
      <c r="B194" s="83">
        <f t="shared" si="46"/>
        <v>7.6636295914958916</v>
      </c>
      <c r="C194" s="83">
        <f t="shared" si="46"/>
        <v>7.8530259267461693</v>
      </c>
      <c r="D194" s="83">
        <f t="shared" si="46"/>
        <v>7.7792993354415705</v>
      </c>
      <c r="E194" s="83">
        <f t="shared" si="46"/>
        <v>7.6390976856253729</v>
      </c>
      <c r="F194" s="83">
        <f t="shared" si="46"/>
        <v>7.6394123507291498</v>
      </c>
      <c r="G194" s="83">
        <f t="shared" si="46"/>
        <v>7.3859866127924247</v>
      </c>
      <c r="H194" s="83">
        <f t="shared" si="46"/>
        <v>7.0608827906803082</v>
      </c>
      <c r="I194" s="83">
        <f t="shared" si="46"/>
        <v>6.8390373168049043</v>
      </c>
      <c r="J194" s="83">
        <f t="shared" si="46"/>
        <v>6.8961058294448421</v>
      </c>
      <c r="K194" s="83">
        <f t="shared" si="46"/>
        <v>7.3267251941280485</v>
      </c>
      <c r="L194" s="83">
        <f t="shared" si="46"/>
        <v>7.1734839728681434</v>
      </c>
      <c r="M194" s="83">
        <f t="shared" si="46"/>
        <v>7.0248273137516444</v>
      </c>
      <c r="N194" s="83">
        <f t="shared" si="46"/>
        <v>6.9971306058673708</v>
      </c>
      <c r="O194" s="83">
        <f t="shared" si="46"/>
        <v>6.8393499582095076</v>
      </c>
      <c r="P194" s="83">
        <f t="shared" si="46"/>
        <v>6.6934147271842139</v>
      </c>
      <c r="Q194" s="83">
        <f t="shared" si="46"/>
        <v>6.5656977254815017</v>
      </c>
      <c r="R194" s="83">
        <f t="shared" si="46"/>
        <v>6.238629979434239</v>
      </c>
      <c r="S194" s="83">
        <f t="shared" si="46"/>
        <v>5.8943044139895564</v>
      </c>
      <c r="T194" s="83">
        <f t="shared" si="46"/>
        <v>5.6527510544525912</v>
      </c>
      <c r="U194" s="83">
        <f t="shared" si="46"/>
        <v>5.5864604624331928</v>
      </c>
      <c r="V194" s="83">
        <f t="shared" si="46"/>
        <v>8.3271920240661288</v>
      </c>
      <c r="W194" s="83">
        <f t="shared" si="46"/>
        <v>7.5872162749515049</v>
      </c>
      <c r="DA194" s="49" t="s">
        <v>251</v>
      </c>
    </row>
    <row r="195" spans="1:105" ht="11.5" customHeight="1" x14ac:dyDescent="0.35">
      <c r="A195" s="61" t="str">
        <f>$A$13</f>
        <v>Aviation</v>
      </c>
      <c r="B195" s="84">
        <f t="shared" si="46"/>
        <v>44.125458078183925</v>
      </c>
      <c r="C195" s="84">
        <f t="shared" si="46"/>
        <v>44.076366157480322</v>
      </c>
      <c r="D195" s="84">
        <f t="shared" si="46"/>
        <v>43.326430594619275</v>
      </c>
      <c r="E195" s="84">
        <f t="shared" si="46"/>
        <v>42.77212653154772</v>
      </c>
      <c r="F195" s="84">
        <f t="shared" si="46"/>
        <v>41.045254309846626</v>
      </c>
      <c r="G195" s="84">
        <f t="shared" si="46"/>
        <v>39.470830436558138</v>
      </c>
      <c r="H195" s="84">
        <f t="shared" si="46"/>
        <v>39.259575625612506</v>
      </c>
      <c r="I195" s="84">
        <f t="shared" si="46"/>
        <v>38.522351272920147</v>
      </c>
      <c r="J195" s="84">
        <f t="shared" si="46"/>
        <v>38.572161363315892</v>
      </c>
      <c r="K195" s="84">
        <f t="shared" si="46"/>
        <v>37.75543664690381</v>
      </c>
      <c r="L195" s="84">
        <f t="shared" si="46"/>
        <v>35.910438134936349</v>
      </c>
      <c r="M195" s="84">
        <f t="shared" si="46"/>
        <v>35.051900493519035</v>
      </c>
      <c r="N195" s="84">
        <f t="shared" si="46"/>
        <v>34.272101820604654</v>
      </c>
      <c r="O195" s="84">
        <f t="shared" si="46"/>
        <v>33.440999704328263</v>
      </c>
      <c r="P195" s="84">
        <f t="shared" si="46"/>
        <v>32.57336445913095</v>
      </c>
      <c r="Q195" s="84">
        <f t="shared" si="46"/>
        <v>32.620239274795004</v>
      </c>
      <c r="R195" s="84">
        <f t="shared" si="46"/>
        <v>32.475588581616684</v>
      </c>
      <c r="S195" s="84">
        <f t="shared" si="46"/>
        <v>31.97587630052011</v>
      </c>
      <c r="T195" s="84">
        <f t="shared" si="46"/>
        <v>31.430014600787253</v>
      </c>
      <c r="U195" s="84">
        <f t="shared" si="46"/>
        <v>30.884363709333627</v>
      </c>
      <c r="V195" s="84">
        <f t="shared" si="46"/>
        <v>40.930460515125041</v>
      </c>
      <c r="W195" s="84">
        <f t="shared" si="46"/>
        <v>39.18669883343712</v>
      </c>
      <c r="DA195" s="63" t="s">
        <v>252</v>
      </c>
    </row>
    <row r="196" spans="1:105" ht="11.5" customHeight="1" x14ac:dyDescent="0.35">
      <c r="A196" s="59" t="str">
        <f>$A$14</f>
        <v>Domestic</v>
      </c>
      <c r="B196" s="83">
        <f t="shared" si="46"/>
        <v>66.562248730970765</v>
      </c>
      <c r="C196" s="83">
        <f t="shared" si="46"/>
        <v>67.0168570591822</v>
      </c>
      <c r="D196" s="83">
        <f t="shared" si="46"/>
        <v>62.346872212833759</v>
      </c>
      <c r="E196" s="83">
        <f t="shared" si="46"/>
        <v>61.566166856600312</v>
      </c>
      <c r="F196" s="83">
        <f t="shared" si="46"/>
        <v>61.147959907382372</v>
      </c>
      <c r="G196" s="83">
        <f t="shared" si="46"/>
        <v>62.672455601491009</v>
      </c>
      <c r="H196" s="83">
        <f t="shared" si="46"/>
        <v>61.799706258174474</v>
      </c>
      <c r="I196" s="83">
        <f t="shared" si="46"/>
        <v>60.64458863141467</v>
      </c>
      <c r="J196" s="83">
        <f t="shared" si="46"/>
        <v>61.019501156208221</v>
      </c>
      <c r="K196" s="83">
        <f t="shared" si="46"/>
        <v>56.832392330458063</v>
      </c>
      <c r="L196" s="83">
        <f t="shared" si="46"/>
        <v>56.899313090662133</v>
      </c>
      <c r="M196" s="83">
        <f t="shared" si="46"/>
        <v>58.832759672178732</v>
      </c>
      <c r="N196" s="83">
        <f t="shared" si="46"/>
        <v>57.824993490032519</v>
      </c>
      <c r="O196" s="83">
        <f t="shared" si="46"/>
        <v>56.742089126991033</v>
      </c>
      <c r="P196" s="83">
        <f t="shared" si="46"/>
        <v>57.032379262866932</v>
      </c>
      <c r="Q196" s="83">
        <f t="shared" si="46"/>
        <v>56.405563993885607</v>
      </c>
      <c r="R196" s="83">
        <f t="shared" si="46"/>
        <v>56.35276148759467</v>
      </c>
      <c r="S196" s="83">
        <f t="shared" si="46"/>
        <v>55.581774172624883</v>
      </c>
      <c r="T196" s="83">
        <f t="shared" si="46"/>
        <v>54.903496532588917</v>
      </c>
      <c r="U196" s="83">
        <f t="shared" si="46"/>
        <v>55.625555695100296</v>
      </c>
      <c r="V196" s="83">
        <f t="shared" si="46"/>
        <v>63.58570166460094</v>
      </c>
      <c r="W196" s="83">
        <f t="shared" si="46"/>
        <v>60.57488132188012</v>
      </c>
      <c r="DA196" s="49" t="s">
        <v>253</v>
      </c>
    </row>
    <row r="197" spans="1:105" ht="11.5" customHeight="1" x14ac:dyDescent="0.35">
      <c r="A197" s="59" t="str">
        <f>$A$15</f>
        <v>International - Intra-EEAwUK</v>
      </c>
      <c r="B197" s="83">
        <f t="shared" si="46"/>
        <v>35.720819224718873</v>
      </c>
      <c r="C197" s="83">
        <f t="shared" si="46"/>
        <v>35.890522313761444</v>
      </c>
      <c r="D197" s="83">
        <f t="shared" si="46"/>
        <v>35.21802613996681</v>
      </c>
      <c r="E197" s="83">
        <f t="shared" si="46"/>
        <v>35.991852193694122</v>
      </c>
      <c r="F197" s="83">
        <f t="shared" si="46"/>
        <v>35.306528387565834</v>
      </c>
      <c r="G197" s="83">
        <f t="shared" si="46"/>
        <v>34.152535921999494</v>
      </c>
      <c r="H197" s="83">
        <f t="shared" si="46"/>
        <v>34.849167898332972</v>
      </c>
      <c r="I197" s="83">
        <f t="shared" si="46"/>
        <v>35.647872099040228</v>
      </c>
      <c r="J197" s="83">
        <f t="shared" si="46"/>
        <v>36.910063715365261</v>
      </c>
      <c r="K197" s="83">
        <f t="shared" si="46"/>
        <v>35.240916997353267</v>
      </c>
      <c r="L197" s="83">
        <f t="shared" si="46"/>
        <v>33.840662472833053</v>
      </c>
      <c r="M197" s="83">
        <f t="shared" si="46"/>
        <v>32.590198700370763</v>
      </c>
      <c r="N197" s="83">
        <f t="shared" si="46"/>
        <v>31.646855583414442</v>
      </c>
      <c r="O197" s="83">
        <f t="shared" ref="O197:W212" si="47">IF(O45=0,0,O45/O15*1000)</f>
        <v>30.985703459160984</v>
      </c>
      <c r="P197" s="83">
        <f t="shared" si="47"/>
        <v>30.109832084154991</v>
      </c>
      <c r="Q197" s="83">
        <f t="shared" si="47"/>
        <v>30.054169818805882</v>
      </c>
      <c r="R197" s="83">
        <f t="shared" si="47"/>
        <v>29.652919109950535</v>
      </c>
      <c r="S197" s="83">
        <f t="shared" si="47"/>
        <v>29.964385562771046</v>
      </c>
      <c r="T197" s="83">
        <f t="shared" si="47"/>
        <v>30.097044359774362</v>
      </c>
      <c r="U197" s="83">
        <f t="shared" si="47"/>
        <v>29.782986597768435</v>
      </c>
      <c r="V197" s="83">
        <f t="shared" si="47"/>
        <v>33.125529362443785</v>
      </c>
      <c r="W197" s="83">
        <f t="shared" si="47"/>
        <v>31.004843378246175</v>
      </c>
      <c r="DA197" s="49" t="s">
        <v>254</v>
      </c>
    </row>
    <row r="198" spans="1:105" ht="11.5" customHeight="1" x14ac:dyDescent="0.35">
      <c r="A198" s="59" t="str">
        <f>$A$16</f>
        <v>International - Extra-EEAwUK</v>
      </c>
      <c r="B198" s="83">
        <f t="shared" ref="B198:V210" si="48">IF(B46=0,0,B46/B16*1000)</f>
        <v>46.340578549739647</v>
      </c>
      <c r="C198" s="83">
        <f t="shared" si="48"/>
        <v>46.20764748144326</v>
      </c>
      <c r="D198" s="83">
        <f t="shared" si="48"/>
        <v>46.091550134409665</v>
      </c>
      <c r="E198" s="83">
        <f t="shared" si="48"/>
        <v>44.509953956740411</v>
      </c>
      <c r="F198" s="83">
        <f t="shared" si="48"/>
        <v>41.533170305006799</v>
      </c>
      <c r="G198" s="83">
        <f t="shared" si="48"/>
        <v>39.018275071155216</v>
      </c>
      <c r="H198" s="83">
        <f t="shared" si="48"/>
        <v>38.183011475188259</v>
      </c>
      <c r="I198" s="83">
        <f t="shared" si="48"/>
        <v>36.139858759386605</v>
      </c>
      <c r="J198" s="83">
        <f t="shared" si="48"/>
        <v>35.391326483630195</v>
      </c>
      <c r="K198" s="83">
        <f t="shared" si="48"/>
        <v>35.763054096128229</v>
      </c>
      <c r="L198" s="83">
        <f t="shared" si="48"/>
        <v>33.296426039346258</v>
      </c>
      <c r="M198" s="83">
        <f t="shared" si="48"/>
        <v>32.3468176357161</v>
      </c>
      <c r="N198" s="83">
        <f t="shared" si="48"/>
        <v>32.046773166252812</v>
      </c>
      <c r="O198" s="83">
        <f t="shared" si="48"/>
        <v>31.430036693744007</v>
      </c>
      <c r="P198" s="83">
        <f t="shared" si="48"/>
        <v>30.568586172495273</v>
      </c>
      <c r="Q198" s="83">
        <f t="shared" si="48"/>
        <v>30.762263553498023</v>
      </c>
      <c r="R198" s="83">
        <f t="shared" si="48"/>
        <v>30.852301367416949</v>
      </c>
      <c r="S198" s="83">
        <f t="shared" si="48"/>
        <v>29.792895578877424</v>
      </c>
      <c r="T198" s="83">
        <f t="shared" si="48"/>
        <v>28.75544769070958</v>
      </c>
      <c r="U198" s="83">
        <f t="shared" si="48"/>
        <v>27.938587153979604</v>
      </c>
      <c r="V198" s="83">
        <f t="shared" si="48"/>
        <v>42.097361977355717</v>
      </c>
      <c r="W198" s="83">
        <f t="shared" si="47"/>
        <v>41.094484203897622</v>
      </c>
      <c r="DA198" s="49" t="s">
        <v>255</v>
      </c>
    </row>
    <row r="199" spans="1:105" ht="11.5" customHeight="1" x14ac:dyDescent="0.35">
      <c r="A199" s="53" t="s">
        <v>91</v>
      </c>
      <c r="B199" s="81">
        <f t="shared" si="48"/>
        <v>43.170921466916063</v>
      </c>
      <c r="C199" s="81">
        <f t="shared" si="48"/>
        <v>43.962587278934926</v>
      </c>
      <c r="D199" s="81">
        <f t="shared" si="48"/>
        <v>43.138272862647234</v>
      </c>
      <c r="E199" s="81">
        <f t="shared" si="48"/>
        <v>44.014041638551568</v>
      </c>
      <c r="F199" s="81">
        <f t="shared" si="48"/>
        <v>42.414666818840182</v>
      </c>
      <c r="G199" s="81">
        <f t="shared" si="48"/>
        <v>42.112544389208757</v>
      </c>
      <c r="H199" s="81">
        <f t="shared" si="48"/>
        <v>42.088631615006094</v>
      </c>
      <c r="I199" s="81">
        <f t="shared" si="48"/>
        <v>41.64748250084444</v>
      </c>
      <c r="J199" s="81">
        <f t="shared" si="48"/>
        <v>40.948541984384129</v>
      </c>
      <c r="K199" s="81">
        <f t="shared" si="48"/>
        <v>42.714576146743489</v>
      </c>
      <c r="L199" s="81">
        <f t="shared" si="48"/>
        <v>41.560008637298161</v>
      </c>
      <c r="M199" s="81">
        <f t="shared" si="48"/>
        <v>40.89275123116655</v>
      </c>
      <c r="N199" s="81">
        <f t="shared" si="48"/>
        <v>40.438094529740695</v>
      </c>
      <c r="O199" s="81">
        <f t="shared" si="48"/>
        <v>38.75021980682434</v>
      </c>
      <c r="P199" s="81">
        <f t="shared" si="48"/>
        <v>37.916226094989042</v>
      </c>
      <c r="Q199" s="81">
        <f t="shared" si="48"/>
        <v>37.630198036134729</v>
      </c>
      <c r="R199" s="81">
        <f t="shared" si="48"/>
        <v>37.81367211761512</v>
      </c>
      <c r="S199" s="81">
        <f t="shared" si="48"/>
        <v>37.864441199050518</v>
      </c>
      <c r="T199" s="81">
        <f t="shared" si="48"/>
        <v>38.625213906284046</v>
      </c>
      <c r="U199" s="81">
        <f t="shared" si="48"/>
        <v>38.004824998699135</v>
      </c>
      <c r="V199" s="81">
        <f t="shared" si="48"/>
        <v>36.821521483469645</v>
      </c>
      <c r="W199" s="81">
        <f t="shared" si="47"/>
        <v>38.067350320198926</v>
      </c>
      <c r="DA199" s="55" t="s">
        <v>256</v>
      </c>
    </row>
    <row r="200" spans="1:105" ht="11.5" customHeight="1" x14ac:dyDescent="0.35">
      <c r="A200" s="56" t="str">
        <f>$A$18</f>
        <v>Road transport</v>
      </c>
      <c r="B200" s="82">
        <f t="shared" si="48"/>
        <v>55.422776833422958</v>
      </c>
      <c r="C200" s="82">
        <f t="shared" si="48"/>
        <v>55.165758764956337</v>
      </c>
      <c r="D200" s="82">
        <f t="shared" si="48"/>
        <v>53.612330699713404</v>
      </c>
      <c r="E200" s="82">
        <f t="shared" si="48"/>
        <v>54.645876540683375</v>
      </c>
      <c r="F200" s="82">
        <f t="shared" si="48"/>
        <v>52.040263275501381</v>
      </c>
      <c r="G200" s="82">
        <f t="shared" si="48"/>
        <v>51.698055174599453</v>
      </c>
      <c r="H200" s="82">
        <f t="shared" si="48"/>
        <v>51.919739167724551</v>
      </c>
      <c r="I200" s="82">
        <f t="shared" si="48"/>
        <v>51.329411562118665</v>
      </c>
      <c r="J200" s="82">
        <f t="shared" si="48"/>
        <v>50.408499688270332</v>
      </c>
      <c r="K200" s="82">
        <f t="shared" si="48"/>
        <v>51.87848273115236</v>
      </c>
      <c r="L200" s="82">
        <f t="shared" si="48"/>
        <v>51.491101322012121</v>
      </c>
      <c r="M200" s="82">
        <f t="shared" si="48"/>
        <v>51.513459234809112</v>
      </c>
      <c r="N200" s="82">
        <f t="shared" si="48"/>
        <v>51.171189708774079</v>
      </c>
      <c r="O200" s="82">
        <f t="shared" si="48"/>
        <v>48.76043614190322</v>
      </c>
      <c r="P200" s="82">
        <f t="shared" si="48"/>
        <v>48.140653479815768</v>
      </c>
      <c r="Q200" s="82">
        <f t="shared" si="48"/>
        <v>47.509638226782826</v>
      </c>
      <c r="R200" s="82">
        <f t="shared" si="48"/>
        <v>47.653432962408772</v>
      </c>
      <c r="S200" s="82">
        <f t="shared" si="48"/>
        <v>47.09654068538002</v>
      </c>
      <c r="T200" s="82">
        <f t="shared" si="48"/>
        <v>48.073027181435094</v>
      </c>
      <c r="U200" s="82">
        <f t="shared" si="48"/>
        <v>46.99711039498267</v>
      </c>
      <c r="V200" s="82">
        <f t="shared" si="48"/>
        <v>44.364036284549421</v>
      </c>
      <c r="W200" s="82">
        <f t="shared" si="47"/>
        <v>45.856323455295204</v>
      </c>
      <c r="DA200" s="58" t="s">
        <v>257</v>
      </c>
    </row>
    <row r="201" spans="1:105" ht="11.5" customHeight="1" x14ac:dyDescent="0.35">
      <c r="A201" s="59" t="str">
        <f>$A$19</f>
        <v>Light commercial vehicles</v>
      </c>
      <c r="B201" s="83">
        <f t="shared" si="48"/>
        <v>474.06818763212453</v>
      </c>
      <c r="C201" s="83">
        <f t="shared" si="48"/>
        <v>449.95520560259052</v>
      </c>
      <c r="D201" s="83">
        <f t="shared" si="48"/>
        <v>440.03766628208115</v>
      </c>
      <c r="E201" s="83">
        <f t="shared" si="48"/>
        <v>429.9804350235712</v>
      </c>
      <c r="F201" s="83">
        <f t="shared" si="48"/>
        <v>421.28920176945047</v>
      </c>
      <c r="G201" s="83">
        <f t="shared" si="48"/>
        <v>414.83270619713295</v>
      </c>
      <c r="H201" s="83">
        <f t="shared" si="48"/>
        <v>401.58294840913675</v>
      </c>
      <c r="I201" s="83">
        <f t="shared" si="48"/>
        <v>393.45677060733158</v>
      </c>
      <c r="J201" s="83">
        <f t="shared" si="48"/>
        <v>388.63331488423989</v>
      </c>
      <c r="K201" s="83">
        <f t="shared" si="48"/>
        <v>384.10244578079107</v>
      </c>
      <c r="L201" s="83">
        <f t="shared" si="48"/>
        <v>383.53221874653832</v>
      </c>
      <c r="M201" s="83">
        <f t="shared" si="48"/>
        <v>381.6614827891139</v>
      </c>
      <c r="N201" s="83">
        <f t="shared" si="48"/>
        <v>374.48352489159498</v>
      </c>
      <c r="O201" s="83">
        <f t="shared" si="48"/>
        <v>365.51939173415485</v>
      </c>
      <c r="P201" s="83">
        <f t="shared" si="48"/>
        <v>360.82352660527323</v>
      </c>
      <c r="Q201" s="83">
        <f t="shared" si="48"/>
        <v>354.73367092108117</v>
      </c>
      <c r="R201" s="83">
        <f t="shared" si="48"/>
        <v>347.76238640789688</v>
      </c>
      <c r="S201" s="83">
        <f t="shared" si="48"/>
        <v>343.13604221558461</v>
      </c>
      <c r="T201" s="83">
        <f t="shared" si="48"/>
        <v>339.53236783538199</v>
      </c>
      <c r="U201" s="83">
        <f t="shared" si="48"/>
        <v>335.48972814338674</v>
      </c>
      <c r="V201" s="83">
        <f t="shared" si="48"/>
        <v>332.02718462627359</v>
      </c>
      <c r="W201" s="83">
        <f t="shared" si="47"/>
        <v>335.86010446223491</v>
      </c>
      <c r="DA201" s="49" t="s">
        <v>258</v>
      </c>
    </row>
    <row r="202" spans="1:105" ht="11.5" customHeight="1" x14ac:dyDescent="0.35">
      <c r="A202" s="59" t="str">
        <f>$A$20</f>
        <v>Heavy goods vehicles</v>
      </c>
      <c r="B202" s="83">
        <f t="shared" si="48"/>
        <v>33.938246927906093</v>
      </c>
      <c r="C202" s="83">
        <f t="shared" si="48"/>
        <v>34.545253915680775</v>
      </c>
      <c r="D202" s="83">
        <f t="shared" si="48"/>
        <v>33.788765640616965</v>
      </c>
      <c r="E202" s="83">
        <f t="shared" si="48"/>
        <v>34.690462143412717</v>
      </c>
      <c r="F202" s="83">
        <f t="shared" si="48"/>
        <v>33.697165598031411</v>
      </c>
      <c r="G202" s="83">
        <f t="shared" si="48"/>
        <v>33.761160602584802</v>
      </c>
      <c r="H202" s="83">
        <f t="shared" si="48"/>
        <v>34.9932446059413</v>
      </c>
      <c r="I202" s="83">
        <f t="shared" si="48"/>
        <v>34.530566034014612</v>
      </c>
      <c r="J202" s="83">
        <f t="shared" si="48"/>
        <v>33.651160856425001</v>
      </c>
      <c r="K202" s="83">
        <f t="shared" si="48"/>
        <v>33.866524425336181</v>
      </c>
      <c r="L202" s="83">
        <f t="shared" si="48"/>
        <v>33.627810211238952</v>
      </c>
      <c r="M202" s="83">
        <f t="shared" si="48"/>
        <v>33.316151438214085</v>
      </c>
      <c r="N202" s="83">
        <f t="shared" si="48"/>
        <v>33.243095205268681</v>
      </c>
      <c r="O202" s="83">
        <f t="shared" si="48"/>
        <v>31.615373305668022</v>
      </c>
      <c r="P202" s="83">
        <f t="shared" si="48"/>
        <v>30.853294938952256</v>
      </c>
      <c r="Q202" s="83">
        <f t="shared" si="48"/>
        <v>30.728832207966072</v>
      </c>
      <c r="R202" s="83">
        <f t="shared" si="48"/>
        <v>31.652591227265539</v>
      </c>
      <c r="S202" s="83">
        <f t="shared" si="48"/>
        <v>31.626266388613171</v>
      </c>
      <c r="T202" s="83">
        <f t="shared" si="48"/>
        <v>32.556051982948794</v>
      </c>
      <c r="U202" s="83">
        <f t="shared" si="48"/>
        <v>31.788710972327294</v>
      </c>
      <c r="V202" s="83">
        <f t="shared" si="48"/>
        <v>29.981136740167887</v>
      </c>
      <c r="W202" s="83">
        <f t="shared" si="47"/>
        <v>30.876237546311813</v>
      </c>
      <c r="DA202" s="49" t="s">
        <v>259</v>
      </c>
    </row>
    <row r="203" spans="1:105" ht="11.5" customHeight="1" x14ac:dyDescent="0.35">
      <c r="A203" s="61" t="str">
        <f>$A$21</f>
        <v>Rail transport</v>
      </c>
      <c r="B203" s="84">
        <f t="shared" si="48"/>
        <v>5.6240495260120733</v>
      </c>
      <c r="C203" s="84">
        <f t="shared" si="48"/>
        <v>5.7596826496511948</v>
      </c>
      <c r="D203" s="84">
        <f t="shared" si="48"/>
        <v>5.7918654224020178</v>
      </c>
      <c r="E203" s="84">
        <f t="shared" si="48"/>
        <v>5.2014479326647587</v>
      </c>
      <c r="F203" s="84">
        <f t="shared" si="48"/>
        <v>5.0458999092991901</v>
      </c>
      <c r="G203" s="84">
        <f t="shared" si="48"/>
        <v>4.6052142905547688</v>
      </c>
      <c r="H203" s="84">
        <f t="shared" si="48"/>
        <v>4.4456540413458905</v>
      </c>
      <c r="I203" s="84">
        <f t="shared" si="48"/>
        <v>4.4862040292199659</v>
      </c>
      <c r="J203" s="84">
        <f t="shared" si="48"/>
        <v>4.1939187072556141</v>
      </c>
      <c r="K203" s="84">
        <f t="shared" si="48"/>
        <v>4.3658226914619283</v>
      </c>
      <c r="L203" s="84">
        <f t="shared" si="48"/>
        <v>4.3233803910747115</v>
      </c>
      <c r="M203" s="84">
        <f t="shared" si="48"/>
        <v>3.9501025122215374</v>
      </c>
      <c r="N203" s="84">
        <f t="shared" si="48"/>
        <v>3.935031061137602</v>
      </c>
      <c r="O203" s="84">
        <f t="shared" si="48"/>
        <v>3.6287347347990022</v>
      </c>
      <c r="P203" s="84">
        <f t="shared" si="48"/>
        <v>3.4319028410011412</v>
      </c>
      <c r="Q203" s="84">
        <f t="shared" si="48"/>
        <v>3.2398417300188975</v>
      </c>
      <c r="R203" s="84">
        <f t="shared" si="48"/>
        <v>3.1607968380217235</v>
      </c>
      <c r="S203" s="84">
        <f t="shared" si="48"/>
        <v>3.2468775812426478</v>
      </c>
      <c r="T203" s="84">
        <f t="shared" si="48"/>
        <v>3.2563271267553588</v>
      </c>
      <c r="U203" s="84">
        <f t="shared" si="48"/>
        <v>3.1886419888771922</v>
      </c>
      <c r="V203" s="84">
        <f t="shared" si="48"/>
        <v>3.5010741455595569</v>
      </c>
      <c r="W203" s="84">
        <f t="shared" si="47"/>
        <v>3.3843041594825061</v>
      </c>
      <c r="DA203" s="63" t="s">
        <v>260</v>
      </c>
    </row>
    <row r="204" spans="1:105" ht="11.5" customHeight="1" x14ac:dyDescent="0.35">
      <c r="A204" s="61" t="str">
        <f>$A$22</f>
        <v>Aviation</v>
      </c>
      <c r="B204" s="84">
        <f t="shared" si="48"/>
        <v>102.29091993708587</v>
      </c>
      <c r="C204" s="84">
        <f t="shared" si="48"/>
        <v>98.878041158351081</v>
      </c>
      <c r="D204" s="84">
        <f t="shared" si="48"/>
        <v>103.99164698316689</v>
      </c>
      <c r="E204" s="84">
        <f t="shared" si="48"/>
        <v>109.21067367812255</v>
      </c>
      <c r="F204" s="84">
        <f t="shared" si="48"/>
        <v>112.17647302137608</v>
      </c>
      <c r="G204" s="84">
        <f t="shared" si="48"/>
        <v>114.48000855765541</v>
      </c>
      <c r="H204" s="84">
        <f t="shared" si="48"/>
        <v>117.65755952549816</v>
      </c>
      <c r="I204" s="84">
        <f t="shared" si="48"/>
        <v>114.21979079014422</v>
      </c>
      <c r="J204" s="84">
        <f t="shared" si="48"/>
        <v>115.11373569638963</v>
      </c>
      <c r="K204" s="84">
        <f t="shared" si="48"/>
        <v>107.8304459860429</v>
      </c>
      <c r="L204" s="84">
        <f t="shared" si="48"/>
        <v>100.96943926256702</v>
      </c>
      <c r="M204" s="84">
        <f t="shared" si="48"/>
        <v>91.305060990506206</v>
      </c>
      <c r="N204" s="84">
        <f t="shared" si="48"/>
        <v>88.45852657703405</v>
      </c>
      <c r="O204" s="84">
        <f t="shared" si="48"/>
        <v>88.864870640980826</v>
      </c>
      <c r="P204" s="84">
        <f t="shared" si="48"/>
        <v>77.043925714145729</v>
      </c>
      <c r="Q204" s="84">
        <f t="shared" si="48"/>
        <v>78.248494421933628</v>
      </c>
      <c r="R204" s="84">
        <f t="shared" si="48"/>
        <v>73.995351078841722</v>
      </c>
      <c r="S204" s="84">
        <f t="shared" si="48"/>
        <v>76.013042235566175</v>
      </c>
      <c r="T204" s="84">
        <f t="shared" si="48"/>
        <v>74.281424307202272</v>
      </c>
      <c r="U204" s="84">
        <f t="shared" si="48"/>
        <v>71.009828197971686</v>
      </c>
      <c r="V204" s="84">
        <f t="shared" si="48"/>
        <v>98.71386742566915</v>
      </c>
      <c r="W204" s="84">
        <f t="shared" si="47"/>
        <v>104.17551210150063</v>
      </c>
      <c r="DA204" s="63" t="s">
        <v>261</v>
      </c>
    </row>
    <row r="205" spans="1:105" ht="11.5" customHeight="1" x14ac:dyDescent="0.35">
      <c r="A205" s="59" t="s">
        <v>69</v>
      </c>
      <c r="B205" s="83">
        <f t="shared" si="48"/>
        <v>495.52335338471323</v>
      </c>
      <c r="C205" s="83">
        <f t="shared" si="48"/>
        <v>493.13055105774555</v>
      </c>
      <c r="D205" s="83">
        <f t="shared" si="48"/>
        <v>462.64414581329197</v>
      </c>
      <c r="E205" s="83">
        <f t="shared" si="48"/>
        <v>426.18751066537197</v>
      </c>
      <c r="F205" s="83">
        <f t="shared" si="48"/>
        <v>454.06027036993692</v>
      </c>
      <c r="G205" s="83">
        <f t="shared" si="48"/>
        <v>478.95533475024257</v>
      </c>
      <c r="H205" s="83">
        <f t="shared" si="48"/>
        <v>494.76236422662964</v>
      </c>
      <c r="I205" s="83">
        <f t="shared" si="48"/>
        <v>485.97649429621612</v>
      </c>
      <c r="J205" s="83">
        <f t="shared" si="48"/>
        <v>511.19704976804434</v>
      </c>
      <c r="K205" s="83">
        <f t="shared" si="48"/>
        <v>470.9756799537945</v>
      </c>
      <c r="L205" s="83">
        <f t="shared" si="48"/>
        <v>476.72370228450728</v>
      </c>
      <c r="M205" s="83">
        <f t="shared" si="48"/>
        <v>449.85313622238465</v>
      </c>
      <c r="N205" s="83">
        <f t="shared" si="48"/>
        <v>457.6862844079339</v>
      </c>
      <c r="O205" s="83">
        <f t="shared" si="48"/>
        <v>451.03220850449679</v>
      </c>
      <c r="P205" s="83">
        <f t="shared" si="48"/>
        <v>419.74034521681261</v>
      </c>
      <c r="Q205" s="83">
        <f t="shared" si="48"/>
        <v>419.2336214110839</v>
      </c>
      <c r="R205" s="83">
        <f t="shared" si="48"/>
        <v>374.87951494962039</v>
      </c>
      <c r="S205" s="83">
        <f t="shared" si="48"/>
        <v>405.84485966782205</v>
      </c>
      <c r="T205" s="83">
        <f t="shared" si="48"/>
        <v>396.3550063376785</v>
      </c>
      <c r="U205" s="83">
        <f t="shared" si="48"/>
        <v>387.89266044098474</v>
      </c>
      <c r="V205" s="83">
        <f t="shared" si="48"/>
        <v>421.21472649990568</v>
      </c>
      <c r="W205" s="83">
        <f t="shared" si="47"/>
        <v>380.93670070658396</v>
      </c>
      <c r="DA205" s="49" t="s">
        <v>262</v>
      </c>
    </row>
    <row r="206" spans="1:105" ht="11.5" customHeight="1" x14ac:dyDescent="0.35">
      <c r="A206" s="59" t="str">
        <f>$A$24</f>
        <v>International - Intra-EEAwUK</v>
      </c>
      <c r="B206" s="83">
        <f t="shared" si="48"/>
        <v>181.50586003896339</v>
      </c>
      <c r="C206" s="83">
        <f t="shared" si="48"/>
        <v>166.11022992360631</v>
      </c>
      <c r="D206" s="83">
        <f t="shared" si="48"/>
        <v>178.84162907699371</v>
      </c>
      <c r="E206" s="83">
        <f t="shared" si="48"/>
        <v>172.57955628620485</v>
      </c>
      <c r="F206" s="83">
        <f t="shared" si="48"/>
        <v>185.02792162857236</v>
      </c>
      <c r="G206" s="83">
        <f t="shared" si="48"/>
        <v>188.75693091487508</v>
      </c>
      <c r="H206" s="83">
        <f t="shared" si="48"/>
        <v>223.582670941917</v>
      </c>
      <c r="I206" s="83">
        <f t="shared" si="48"/>
        <v>229.72410988261041</v>
      </c>
      <c r="J206" s="83">
        <f t="shared" si="48"/>
        <v>236.77062446429585</v>
      </c>
      <c r="K206" s="83">
        <f t="shared" si="48"/>
        <v>224.00100992163397</v>
      </c>
      <c r="L206" s="83">
        <f t="shared" si="48"/>
        <v>217.91597587187715</v>
      </c>
      <c r="M206" s="83">
        <f t="shared" si="48"/>
        <v>203.55001497355229</v>
      </c>
      <c r="N206" s="83">
        <f t="shared" si="48"/>
        <v>191.57064434551128</v>
      </c>
      <c r="O206" s="83">
        <f t="shared" si="48"/>
        <v>194.53168776183099</v>
      </c>
      <c r="P206" s="83">
        <f t="shared" si="48"/>
        <v>167.74132026878897</v>
      </c>
      <c r="Q206" s="83">
        <f t="shared" si="48"/>
        <v>172.17253578409554</v>
      </c>
      <c r="R206" s="83">
        <f t="shared" si="48"/>
        <v>159.30014333569741</v>
      </c>
      <c r="S206" s="83">
        <f t="shared" si="48"/>
        <v>185.02996328271391</v>
      </c>
      <c r="T206" s="83">
        <f t="shared" si="48"/>
        <v>186.07879917539424</v>
      </c>
      <c r="U206" s="83">
        <f t="shared" si="48"/>
        <v>179.27257808327835</v>
      </c>
      <c r="V206" s="83">
        <f t="shared" si="48"/>
        <v>201.99060854078974</v>
      </c>
      <c r="W206" s="83">
        <f t="shared" si="47"/>
        <v>233.62109020696579</v>
      </c>
      <c r="DA206" s="49" t="s">
        <v>263</v>
      </c>
    </row>
    <row r="207" spans="1:105" ht="11.5" customHeight="1" x14ac:dyDescent="0.35">
      <c r="A207" s="59" t="str">
        <f>$A$25</f>
        <v>International - Extra-EEAwUK</v>
      </c>
      <c r="B207" s="83">
        <f t="shared" si="48"/>
        <v>90.253671782886016</v>
      </c>
      <c r="C207" s="83">
        <f t="shared" si="48"/>
        <v>86.733766454983154</v>
      </c>
      <c r="D207" s="83">
        <f t="shared" si="48"/>
        <v>92.840528032452553</v>
      </c>
      <c r="E207" s="83">
        <f t="shared" si="48"/>
        <v>99.960524569783246</v>
      </c>
      <c r="F207" s="83">
        <f t="shared" si="48"/>
        <v>102.2727912206655</v>
      </c>
      <c r="G207" s="83">
        <f t="shared" si="48"/>
        <v>104.85948607474468</v>
      </c>
      <c r="H207" s="83">
        <f t="shared" si="48"/>
        <v>106.4146947212178</v>
      </c>
      <c r="I207" s="83">
        <f t="shared" si="48"/>
        <v>103.18159562266915</v>
      </c>
      <c r="J207" s="83">
        <f t="shared" si="48"/>
        <v>104.12165198811488</v>
      </c>
      <c r="K207" s="83">
        <f t="shared" si="48"/>
        <v>97.064251553725484</v>
      </c>
      <c r="L207" s="83">
        <f t="shared" si="48"/>
        <v>91.880576954932238</v>
      </c>
      <c r="M207" s="83">
        <f t="shared" si="48"/>
        <v>83.277056234156177</v>
      </c>
      <c r="N207" s="83">
        <f t="shared" si="48"/>
        <v>80.597125880105921</v>
      </c>
      <c r="O207" s="83">
        <f t="shared" si="48"/>
        <v>80.990693539072097</v>
      </c>
      <c r="P207" s="83">
        <f t="shared" si="48"/>
        <v>69.964709319672053</v>
      </c>
      <c r="Q207" s="83">
        <f t="shared" si="48"/>
        <v>71.231162924597768</v>
      </c>
      <c r="R207" s="83">
        <f t="shared" si="48"/>
        <v>67.695571357931087</v>
      </c>
      <c r="S207" s="83">
        <f t="shared" si="48"/>
        <v>68.755745262860131</v>
      </c>
      <c r="T207" s="83">
        <f t="shared" si="48"/>
        <v>67.013847374965522</v>
      </c>
      <c r="U207" s="83">
        <f t="shared" si="48"/>
        <v>63.473676455582023</v>
      </c>
      <c r="V207" s="83">
        <f t="shared" si="48"/>
        <v>91.715831788408522</v>
      </c>
      <c r="W207" s="83">
        <f t="shared" si="47"/>
        <v>95.089393950976714</v>
      </c>
      <c r="DA207" s="49" t="s">
        <v>264</v>
      </c>
    </row>
    <row r="208" spans="1:105" ht="11.5" customHeight="1" x14ac:dyDescent="0.35">
      <c r="A208" s="61" t="s">
        <v>74</v>
      </c>
      <c r="B208" s="84">
        <f t="shared" si="48"/>
        <v>25.035988695546369</v>
      </c>
      <c r="C208" s="84">
        <f t="shared" si="48"/>
        <v>27.629120001300052</v>
      </c>
      <c r="D208" s="84">
        <f t="shared" si="48"/>
        <v>26.989080560757991</v>
      </c>
      <c r="E208" s="84">
        <f t="shared" si="48"/>
        <v>29.548235943158023</v>
      </c>
      <c r="F208" s="84">
        <f t="shared" si="48"/>
        <v>28.043065940902611</v>
      </c>
      <c r="G208" s="84">
        <f t="shared" si="48"/>
        <v>26.604607907208212</v>
      </c>
      <c r="H208" s="84">
        <f t="shared" si="48"/>
        <v>25.947156429283716</v>
      </c>
      <c r="I208" s="84">
        <f t="shared" si="48"/>
        <v>25.16024065072147</v>
      </c>
      <c r="J208" s="84">
        <f t="shared" si="48"/>
        <v>24.549925586497888</v>
      </c>
      <c r="K208" s="84">
        <f t="shared" si="48"/>
        <v>26.104398176144425</v>
      </c>
      <c r="L208" s="84">
        <f t="shared" si="48"/>
        <v>22.089832551872401</v>
      </c>
      <c r="M208" s="84">
        <f t="shared" si="48"/>
        <v>20.794332569905571</v>
      </c>
      <c r="N208" s="84">
        <f t="shared" si="48"/>
        <v>20.059756477514753</v>
      </c>
      <c r="O208" s="84">
        <f t="shared" si="48"/>
        <v>18.639514121280786</v>
      </c>
      <c r="P208" s="84">
        <f t="shared" si="48"/>
        <v>16.861689858730038</v>
      </c>
      <c r="Q208" s="84">
        <f t="shared" si="48"/>
        <v>18.080878734988893</v>
      </c>
      <c r="R208" s="84">
        <f t="shared" si="48"/>
        <v>18.676121069329639</v>
      </c>
      <c r="S208" s="84">
        <f t="shared" si="48"/>
        <v>19.403819460913077</v>
      </c>
      <c r="T208" s="84">
        <f t="shared" si="48"/>
        <v>20.011432255858953</v>
      </c>
      <c r="U208" s="84">
        <f t="shared" si="48"/>
        <v>19.476286886786902</v>
      </c>
      <c r="V208" s="84">
        <f t="shared" si="48"/>
        <v>17.572863957249943</v>
      </c>
      <c r="W208" s="84">
        <f t="shared" si="47"/>
        <v>18.677804703658271</v>
      </c>
      <c r="DA208" s="63" t="s">
        <v>265</v>
      </c>
    </row>
    <row r="209" spans="1:105" ht="11.5" customHeight="1" x14ac:dyDescent="0.35">
      <c r="A209" s="59" t="str">
        <f>$A$27</f>
        <v>Domestic coastal shipping</v>
      </c>
      <c r="B209" s="83">
        <f t="shared" si="48"/>
        <v>54.421123921047929</v>
      </c>
      <c r="C209" s="83">
        <f t="shared" si="48"/>
        <v>67.642465798418201</v>
      </c>
      <c r="D209" s="83">
        <f t="shared" si="48"/>
        <v>64.926752746404446</v>
      </c>
      <c r="E209" s="83">
        <f t="shared" si="48"/>
        <v>67.77311880299554</v>
      </c>
      <c r="F209" s="83">
        <f t="shared" si="48"/>
        <v>68.401926123028062</v>
      </c>
      <c r="G209" s="83">
        <f t="shared" si="48"/>
        <v>62.014851683034813</v>
      </c>
      <c r="H209" s="83">
        <f t="shared" si="48"/>
        <v>57.66486417516645</v>
      </c>
      <c r="I209" s="83">
        <f t="shared" si="48"/>
        <v>58.209207354123237</v>
      </c>
      <c r="J209" s="83">
        <f t="shared" si="48"/>
        <v>56.750299733346026</v>
      </c>
      <c r="K209" s="83">
        <f t="shared" si="48"/>
        <v>58.552268079064227</v>
      </c>
      <c r="L209" s="83">
        <f t="shared" si="48"/>
        <v>52.387904009218445</v>
      </c>
      <c r="M209" s="83">
        <f t="shared" si="48"/>
        <v>43.954323123456547</v>
      </c>
      <c r="N209" s="83">
        <f t="shared" si="48"/>
        <v>46.469469191020757</v>
      </c>
      <c r="O209" s="83">
        <f t="shared" si="48"/>
        <v>44.146371975974986</v>
      </c>
      <c r="P209" s="83">
        <f t="shared" si="48"/>
        <v>36.985983087920793</v>
      </c>
      <c r="Q209" s="83">
        <f t="shared" si="48"/>
        <v>38.91343713868779</v>
      </c>
      <c r="R209" s="83">
        <f t="shared" si="48"/>
        <v>40.751968014394905</v>
      </c>
      <c r="S209" s="83">
        <f t="shared" si="48"/>
        <v>43.204292708566307</v>
      </c>
      <c r="T209" s="83">
        <f t="shared" si="48"/>
        <v>40.309633190435449</v>
      </c>
      <c r="U209" s="83">
        <f t="shared" si="48"/>
        <v>40.668652659221067</v>
      </c>
      <c r="V209" s="83">
        <f t="shared" si="48"/>
        <v>35.970302990801876</v>
      </c>
      <c r="W209" s="83">
        <f t="shared" si="47"/>
        <v>39.007957593729898</v>
      </c>
      <c r="DA209" s="49" t="s">
        <v>266</v>
      </c>
    </row>
    <row r="210" spans="1:105" ht="11.5" customHeight="1" x14ac:dyDescent="0.35">
      <c r="A210" s="67" t="str">
        <f>$A$28</f>
        <v>Inland waterways</v>
      </c>
      <c r="B210" s="85">
        <f t="shared" si="48"/>
        <v>8.2032454078884811</v>
      </c>
      <c r="C210" s="85">
        <f t="shared" si="48"/>
        <v>8.283441423488501</v>
      </c>
      <c r="D210" s="85">
        <f t="shared" si="48"/>
        <v>7.8515845352548963</v>
      </c>
      <c r="E210" s="85">
        <f t="shared" ref="E210:V210" si="49">IF(E58=0,0,E58/E28*1000)</f>
        <v>8.5691102252033087</v>
      </c>
      <c r="F210" s="85">
        <f t="shared" si="49"/>
        <v>7.9180203446900626</v>
      </c>
      <c r="G210" s="85">
        <f t="shared" si="49"/>
        <v>7.8164830909437519</v>
      </c>
      <c r="H210" s="85">
        <f t="shared" si="49"/>
        <v>6.7137057430907401</v>
      </c>
      <c r="I210" s="85">
        <f t="shared" si="49"/>
        <v>7.3852220569933422</v>
      </c>
      <c r="J210" s="85">
        <f t="shared" si="49"/>
        <v>7.2249838249335214</v>
      </c>
      <c r="K210" s="85">
        <f t="shared" si="49"/>
        <v>7.9788395686944646</v>
      </c>
      <c r="L210" s="85">
        <f t="shared" si="49"/>
        <v>7.1038898217341275</v>
      </c>
      <c r="M210" s="85">
        <f t="shared" si="49"/>
        <v>7.7787361500709018</v>
      </c>
      <c r="N210" s="85">
        <f t="shared" si="49"/>
        <v>7.185345873711448</v>
      </c>
      <c r="O210" s="85">
        <f t="shared" si="49"/>
        <v>7.6831149102806426</v>
      </c>
      <c r="P210" s="85">
        <f t="shared" si="49"/>
        <v>7.1025573580117713</v>
      </c>
      <c r="Q210" s="85">
        <f t="shared" si="49"/>
        <v>7.5633867866832558</v>
      </c>
      <c r="R210" s="85">
        <f t="shared" si="49"/>
        <v>7.2011816859150155</v>
      </c>
      <c r="S210" s="85">
        <f t="shared" si="49"/>
        <v>6.8171994333665022</v>
      </c>
      <c r="T210" s="85">
        <f t="shared" si="49"/>
        <v>7.6098160269859214</v>
      </c>
      <c r="U210" s="85">
        <f t="shared" si="49"/>
        <v>7.2278317376527097</v>
      </c>
      <c r="V210" s="85">
        <f t="shared" si="49"/>
        <v>6.8143338456560452</v>
      </c>
      <c r="W210" s="85">
        <f t="shared" si="47"/>
        <v>7.1876938557049259</v>
      </c>
      <c r="DA210" s="69" t="s">
        <v>267</v>
      </c>
    </row>
    <row r="211" spans="1:105" ht="11.5" customHeight="1" x14ac:dyDescent="0.35">
      <c r="A211" s="53" t="s">
        <v>92</v>
      </c>
      <c r="B211" s="81">
        <f t="shared" ref="B211:V213" si="50">IF(B59=0,0,B59/B29*1000)</f>
        <v>7.5758413184810669</v>
      </c>
      <c r="C211" s="81">
        <f t="shared" si="50"/>
        <v>7.4268192785651275</v>
      </c>
      <c r="D211" s="81">
        <f t="shared" si="50"/>
        <v>7.42816455567272</v>
      </c>
      <c r="E211" s="81">
        <f t="shared" si="50"/>
        <v>7.3754856090167245</v>
      </c>
      <c r="F211" s="81">
        <f t="shared" si="50"/>
        <v>7.3321046104412373</v>
      </c>
      <c r="G211" s="81">
        <f t="shared" si="50"/>
        <v>6.9496504328945585</v>
      </c>
      <c r="H211" s="81">
        <f t="shared" si="50"/>
        <v>7.0640685302092114</v>
      </c>
      <c r="I211" s="81">
        <f t="shared" si="50"/>
        <v>7.1158246513171681</v>
      </c>
      <c r="J211" s="81">
        <f t="shared" si="50"/>
        <v>6.8211646409654811</v>
      </c>
      <c r="K211" s="81">
        <f t="shared" si="50"/>
        <v>7.1825822665123091</v>
      </c>
      <c r="L211" s="81">
        <f t="shared" si="50"/>
        <v>6.7232859192553098</v>
      </c>
      <c r="M211" s="81">
        <f t="shared" si="50"/>
        <v>6.2194343360037241</v>
      </c>
      <c r="N211" s="81">
        <f t="shared" si="50"/>
        <v>5.8235704215905475</v>
      </c>
      <c r="O211" s="81">
        <f t="shared" si="50"/>
        <v>5.6251170315482124</v>
      </c>
      <c r="P211" s="81">
        <f t="shared" si="50"/>
        <v>5.2181114617914091</v>
      </c>
      <c r="Q211" s="81">
        <f t="shared" si="50"/>
        <v>5.1361664598350076</v>
      </c>
      <c r="R211" s="81">
        <f t="shared" si="50"/>
        <v>5.3791988868868623</v>
      </c>
      <c r="S211" s="81">
        <f t="shared" si="50"/>
        <v>5.2826739263753666</v>
      </c>
      <c r="T211" s="81">
        <f t="shared" si="50"/>
        <v>5.2868830138857383</v>
      </c>
      <c r="U211" s="81">
        <f t="shared" si="50"/>
        <v>5.1191544862157912</v>
      </c>
      <c r="V211" s="81">
        <f t="shared" si="50"/>
        <v>5.0387507851611728</v>
      </c>
      <c r="W211" s="81">
        <f t="shared" si="47"/>
        <v>5.009477681460405</v>
      </c>
      <c r="DA211" s="55" t="s">
        <v>268</v>
      </c>
    </row>
    <row r="212" spans="1:105" ht="11.5" customHeight="1" x14ac:dyDescent="0.35">
      <c r="A212" s="59" t="str">
        <f>$A$30</f>
        <v>Intra-EEA</v>
      </c>
      <c r="B212" s="83">
        <f t="shared" si="50"/>
        <v>16.383093820259219</v>
      </c>
      <c r="C212" s="83">
        <f t="shared" si="50"/>
        <v>15.688564198120359</v>
      </c>
      <c r="D212" s="83">
        <f t="shared" si="50"/>
        <v>15.415910068165404</v>
      </c>
      <c r="E212" s="83">
        <f t="shared" si="50"/>
        <v>15.714881830968158</v>
      </c>
      <c r="F212" s="83">
        <f t="shared" si="50"/>
        <v>15.54638335649555</v>
      </c>
      <c r="G212" s="83">
        <f t="shared" si="50"/>
        <v>14.959277561402336</v>
      </c>
      <c r="H212" s="83">
        <f t="shared" si="50"/>
        <v>15.565984884654243</v>
      </c>
      <c r="I212" s="83">
        <f t="shared" si="50"/>
        <v>15.880003263049415</v>
      </c>
      <c r="J212" s="83">
        <f t="shared" si="50"/>
        <v>15.661151641017483</v>
      </c>
      <c r="K212" s="83">
        <f t="shared" si="50"/>
        <v>16.478941853567569</v>
      </c>
      <c r="L212" s="83">
        <f t="shared" si="50"/>
        <v>15.738614419693361</v>
      </c>
      <c r="M212" s="83">
        <f t="shared" si="50"/>
        <v>14.639845403091625</v>
      </c>
      <c r="N212" s="83">
        <f t="shared" si="50"/>
        <v>13.905577396495714</v>
      </c>
      <c r="O212" s="83">
        <f t="shared" si="50"/>
        <v>13.157307660469449</v>
      </c>
      <c r="P212" s="83">
        <f t="shared" si="50"/>
        <v>12.471945944837985</v>
      </c>
      <c r="Q212" s="83">
        <f t="shared" si="50"/>
        <v>12.796619302846848</v>
      </c>
      <c r="R212" s="83">
        <f t="shared" si="50"/>
        <v>13.16604419419342</v>
      </c>
      <c r="S212" s="83">
        <f t="shared" si="50"/>
        <v>13.274309858556308</v>
      </c>
      <c r="T212" s="83">
        <f t="shared" si="50"/>
        <v>12.847718993375841</v>
      </c>
      <c r="U212" s="83">
        <f t="shared" si="50"/>
        <v>12.908139659696655</v>
      </c>
      <c r="V212" s="83">
        <f t="shared" si="50"/>
        <v>11.553850755491995</v>
      </c>
      <c r="W212" s="83">
        <f t="shared" si="47"/>
        <v>11.85587526194492</v>
      </c>
      <c r="DA212" s="49" t="s">
        <v>269</v>
      </c>
    </row>
    <row r="213" spans="1:105" ht="11.5" customHeight="1" x14ac:dyDescent="0.35">
      <c r="A213" s="67" t="str">
        <f>$A$31</f>
        <v>Extra-EEA</v>
      </c>
      <c r="B213" s="85">
        <f t="shared" si="50"/>
        <v>6.1241711965832284</v>
      </c>
      <c r="C213" s="85">
        <f t="shared" si="50"/>
        <v>6.088277840425329</v>
      </c>
      <c r="D213" s="85">
        <f t="shared" si="50"/>
        <v>6.1523185630408364</v>
      </c>
      <c r="E213" s="85">
        <f t="shared" si="50"/>
        <v>6.0720013543660576</v>
      </c>
      <c r="F213" s="85">
        <f t="shared" si="50"/>
        <v>6.0848863393531216</v>
      </c>
      <c r="G213" s="85">
        <f t="shared" si="50"/>
        <v>5.827677076656081</v>
      </c>
      <c r="H213" s="85">
        <f t="shared" si="50"/>
        <v>5.9561874578040692</v>
      </c>
      <c r="I213" s="85">
        <f t="shared" si="50"/>
        <v>6.0159669476488276</v>
      </c>
      <c r="J213" s="85">
        <f t="shared" si="50"/>
        <v>5.7474879385631636</v>
      </c>
      <c r="K213" s="85">
        <f t="shared" si="50"/>
        <v>5.9595433803418532</v>
      </c>
      <c r="L213" s="85">
        <f t="shared" si="50"/>
        <v>5.5309599243281156</v>
      </c>
      <c r="M213" s="85">
        <f t="shared" si="50"/>
        <v>5.1843565736694766</v>
      </c>
      <c r="N213" s="85">
        <f t="shared" si="50"/>
        <v>4.8361846710742071</v>
      </c>
      <c r="O213" s="85">
        <f t="shared" si="50"/>
        <v>4.656212310770302</v>
      </c>
      <c r="P213" s="85">
        <f t="shared" si="50"/>
        <v>4.2998000159745926</v>
      </c>
      <c r="Q213" s="85">
        <f t="shared" si="50"/>
        <v>4.1898987119814999</v>
      </c>
      <c r="R213" s="85">
        <f t="shared" si="50"/>
        <v>4.3709469043730715</v>
      </c>
      <c r="S213" s="85">
        <f t="shared" si="50"/>
        <v>4.2770879595060505</v>
      </c>
      <c r="T213" s="85">
        <f t="shared" si="50"/>
        <v>4.2982075904983956</v>
      </c>
      <c r="U213" s="85">
        <f t="shared" si="50"/>
        <v>4.1228377619853429</v>
      </c>
      <c r="V213" s="85">
        <f t="shared" si="50"/>
        <v>4.1882019526231815</v>
      </c>
      <c r="W213" s="85">
        <f t="shared" ref="W213" si="51">IF(W61=0,0,W61/W31*1000)</f>
        <v>4.146598621257823</v>
      </c>
      <c r="DA213" s="69" t="s">
        <v>270</v>
      </c>
    </row>
    <row r="214" spans="1:105" x14ac:dyDescent="0.35">
      <c r="A214" s="48"/>
      <c r="B214" s="48"/>
      <c r="C214" s="48"/>
      <c r="D214" s="48"/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DA214" s="49"/>
    </row>
    <row r="215" spans="1:105" ht="11.5" customHeight="1" x14ac:dyDescent="0.35">
      <c r="A215" s="50" t="s">
        <v>93</v>
      </c>
      <c r="B215" s="80"/>
      <c r="C215" s="80"/>
      <c r="D215" s="80"/>
      <c r="E215" s="80"/>
      <c r="F215" s="80"/>
      <c r="G215" s="80"/>
      <c r="H215" s="80"/>
      <c r="I215" s="80"/>
      <c r="J215" s="80"/>
      <c r="K215" s="80"/>
      <c r="L215" s="80"/>
      <c r="M215" s="80"/>
      <c r="N215" s="80"/>
      <c r="O215" s="80"/>
      <c r="P215" s="80"/>
      <c r="Q215" s="80"/>
      <c r="R215" s="80"/>
      <c r="S215" s="80"/>
      <c r="T215" s="80"/>
      <c r="U215" s="80"/>
      <c r="V215" s="80"/>
      <c r="W215" s="80"/>
      <c r="DA215" s="52"/>
    </row>
    <row r="216" spans="1:105" ht="11.5" customHeight="1" x14ac:dyDescent="0.35">
      <c r="A216" s="53" t="s">
        <v>94</v>
      </c>
      <c r="B216" s="81">
        <f t="shared" ref="B216:W227" si="52">IF(B4=0,0,B64/B4*1000)</f>
        <v>110.72561815232467</v>
      </c>
      <c r="C216" s="81">
        <f t="shared" si="52"/>
        <v>110.12037894101992</v>
      </c>
      <c r="D216" s="81">
        <f t="shared" si="52"/>
        <v>110.47213014266806</v>
      </c>
      <c r="E216" s="81">
        <f t="shared" si="52"/>
        <v>110.12811311772708</v>
      </c>
      <c r="F216" s="81">
        <f t="shared" si="52"/>
        <v>109.598164797826</v>
      </c>
      <c r="G216" s="81">
        <f t="shared" si="52"/>
        <v>108.49388589247231</v>
      </c>
      <c r="H216" s="81">
        <f t="shared" si="52"/>
        <v>108.52813651456447</v>
      </c>
      <c r="I216" s="81">
        <f t="shared" si="52"/>
        <v>107.89943896390588</v>
      </c>
      <c r="J216" s="81">
        <f t="shared" si="52"/>
        <v>106.24549355009736</v>
      </c>
      <c r="K216" s="81">
        <f t="shared" si="52"/>
        <v>104.43601137212595</v>
      </c>
      <c r="L216" s="81">
        <f t="shared" si="52"/>
        <v>102.71277191703675</v>
      </c>
      <c r="M216" s="81">
        <f t="shared" si="52"/>
        <v>102.21625241453651</v>
      </c>
      <c r="N216" s="81">
        <f t="shared" si="52"/>
        <v>99.747789349719937</v>
      </c>
      <c r="O216" s="81">
        <f t="shared" si="52"/>
        <v>98.308394882187713</v>
      </c>
      <c r="P216" s="81">
        <f t="shared" si="52"/>
        <v>98.81135383252645</v>
      </c>
      <c r="Q216" s="81">
        <f t="shared" si="52"/>
        <v>98.32612737389482</v>
      </c>
      <c r="R216" s="81">
        <f t="shared" si="52"/>
        <v>98.030518383869577</v>
      </c>
      <c r="S216" s="81">
        <f t="shared" si="52"/>
        <v>97.731952087757776</v>
      </c>
      <c r="T216" s="81">
        <f t="shared" si="52"/>
        <v>96.28088375152717</v>
      </c>
      <c r="U216" s="81">
        <f t="shared" si="52"/>
        <v>95.587007081414555</v>
      </c>
      <c r="V216" s="81">
        <f t="shared" si="52"/>
        <v>107.12069578772794</v>
      </c>
      <c r="W216" s="81">
        <f t="shared" si="52"/>
        <v>106.12055648221634</v>
      </c>
      <c r="DA216" s="55" t="s">
        <v>271</v>
      </c>
    </row>
    <row r="217" spans="1:105" ht="11.5" customHeight="1" x14ac:dyDescent="0.35">
      <c r="A217" s="56" t="str">
        <f>$A$5</f>
        <v>Road transport</v>
      </c>
      <c r="B217" s="82">
        <f t="shared" si="52"/>
        <v>116.12002498196189</v>
      </c>
      <c r="C217" s="82">
        <f t="shared" si="52"/>
        <v>115.57465497585319</v>
      </c>
      <c r="D217" s="82">
        <f t="shared" si="52"/>
        <v>116.17223266312709</v>
      </c>
      <c r="E217" s="82">
        <f t="shared" si="52"/>
        <v>115.72237856894539</v>
      </c>
      <c r="F217" s="82">
        <f t="shared" si="52"/>
        <v>115.72312143263161</v>
      </c>
      <c r="G217" s="82">
        <f t="shared" si="52"/>
        <v>115.34778740211271</v>
      </c>
      <c r="H217" s="82">
        <f t="shared" si="52"/>
        <v>115.75868234231235</v>
      </c>
      <c r="I217" s="82">
        <f t="shared" si="52"/>
        <v>115.23585635943009</v>
      </c>
      <c r="J217" s="82">
        <f t="shared" si="52"/>
        <v>113.40427142433833</v>
      </c>
      <c r="K217" s="82">
        <f t="shared" si="52"/>
        <v>111.53104305829157</v>
      </c>
      <c r="L217" s="82">
        <f t="shared" si="52"/>
        <v>110.46613755411157</v>
      </c>
      <c r="M217" s="82">
        <f t="shared" si="52"/>
        <v>110.50462869237516</v>
      </c>
      <c r="N217" s="82">
        <f t="shared" si="52"/>
        <v>107.90957190562081</v>
      </c>
      <c r="O217" s="82">
        <f t="shared" si="52"/>
        <v>106.85434155024211</v>
      </c>
      <c r="P217" s="82">
        <f t="shared" si="52"/>
        <v>108.145007508859</v>
      </c>
      <c r="Q217" s="82">
        <f t="shared" si="52"/>
        <v>107.35842777923109</v>
      </c>
      <c r="R217" s="82">
        <f t="shared" si="52"/>
        <v>107.06790349523769</v>
      </c>
      <c r="S217" s="82">
        <f t="shared" si="52"/>
        <v>107.37979568837024</v>
      </c>
      <c r="T217" s="82">
        <f t="shared" si="52"/>
        <v>106.03807199974594</v>
      </c>
      <c r="U217" s="82">
        <f t="shared" si="52"/>
        <v>105.75062788280307</v>
      </c>
      <c r="V217" s="82">
        <f t="shared" si="52"/>
        <v>112.54472341699604</v>
      </c>
      <c r="W217" s="82">
        <f t="shared" si="52"/>
        <v>112.15553974937829</v>
      </c>
      <c r="DA217" s="58" t="s">
        <v>272</v>
      </c>
    </row>
    <row r="218" spans="1:105" ht="11.5" customHeight="1" x14ac:dyDescent="0.35">
      <c r="A218" s="59" t="str">
        <f>$A$6</f>
        <v>Powered two-wheelers</v>
      </c>
      <c r="B218" s="83">
        <f t="shared" si="52"/>
        <v>99.816053374407318</v>
      </c>
      <c r="C218" s="83">
        <f t="shared" si="52"/>
        <v>98.153338594495182</v>
      </c>
      <c r="D218" s="83">
        <f t="shared" si="52"/>
        <v>97.358882280360746</v>
      </c>
      <c r="E218" s="83">
        <f t="shared" si="52"/>
        <v>96.064459358000761</v>
      </c>
      <c r="F218" s="83">
        <f t="shared" si="52"/>
        <v>94.737593624947394</v>
      </c>
      <c r="G218" s="83">
        <f t="shared" si="52"/>
        <v>93.505464948086058</v>
      </c>
      <c r="H218" s="83">
        <f t="shared" si="52"/>
        <v>92.247679530212224</v>
      </c>
      <c r="I218" s="83">
        <f t="shared" si="52"/>
        <v>91.336416955728183</v>
      </c>
      <c r="J218" s="83">
        <f t="shared" si="52"/>
        <v>89.437397254774339</v>
      </c>
      <c r="K218" s="83">
        <f t="shared" si="52"/>
        <v>89.380594240805678</v>
      </c>
      <c r="L218" s="83">
        <f t="shared" si="52"/>
        <v>88.956610352646052</v>
      </c>
      <c r="M218" s="83">
        <f t="shared" si="52"/>
        <v>85.793124524781106</v>
      </c>
      <c r="N218" s="83">
        <f t="shared" si="52"/>
        <v>85.49879292611395</v>
      </c>
      <c r="O218" s="83">
        <f t="shared" si="52"/>
        <v>85.04798940116207</v>
      </c>
      <c r="P218" s="83">
        <f t="shared" si="52"/>
        <v>85.127112530403608</v>
      </c>
      <c r="Q218" s="83">
        <f t="shared" si="52"/>
        <v>85.882724842114342</v>
      </c>
      <c r="R218" s="83">
        <f t="shared" si="52"/>
        <v>85.116224635661027</v>
      </c>
      <c r="S218" s="83">
        <f t="shared" si="52"/>
        <v>85.304992772706854</v>
      </c>
      <c r="T218" s="83">
        <f t="shared" si="52"/>
        <v>85.346870334780931</v>
      </c>
      <c r="U218" s="83">
        <f t="shared" si="52"/>
        <v>83.92707572321838</v>
      </c>
      <c r="V218" s="83">
        <f t="shared" si="52"/>
        <v>82.480218991082467</v>
      </c>
      <c r="W218" s="83">
        <f t="shared" si="52"/>
        <v>78.614157136993455</v>
      </c>
      <c r="DA218" s="49" t="s">
        <v>273</v>
      </c>
    </row>
    <row r="219" spans="1:105" ht="11.5" customHeight="1" x14ac:dyDescent="0.35">
      <c r="A219" s="59" t="str">
        <f>$A$7</f>
        <v>Passenger cars</v>
      </c>
      <c r="B219" s="83">
        <f t="shared" si="52"/>
        <v>120.77150217254895</v>
      </c>
      <c r="C219" s="83">
        <f t="shared" si="52"/>
        <v>120.17380269720481</v>
      </c>
      <c r="D219" s="83">
        <f t="shared" si="52"/>
        <v>120.84315579647168</v>
      </c>
      <c r="E219" s="83">
        <f t="shared" si="52"/>
        <v>120.32505424334816</v>
      </c>
      <c r="F219" s="83">
        <f t="shared" si="52"/>
        <v>120.56646562588766</v>
      </c>
      <c r="G219" s="83">
        <f t="shared" si="52"/>
        <v>120.40581382704043</v>
      </c>
      <c r="H219" s="83">
        <f t="shared" si="52"/>
        <v>120.87233708444624</v>
      </c>
      <c r="I219" s="83">
        <f t="shared" si="52"/>
        <v>120.54313803984971</v>
      </c>
      <c r="J219" s="83">
        <f t="shared" si="52"/>
        <v>118.7202438703677</v>
      </c>
      <c r="K219" s="83">
        <f t="shared" si="52"/>
        <v>115.8313238451551</v>
      </c>
      <c r="L219" s="83">
        <f t="shared" si="52"/>
        <v>114.45373693523301</v>
      </c>
      <c r="M219" s="83">
        <f t="shared" si="52"/>
        <v>114.68738720421734</v>
      </c>
      <c r="N219" s="83">
        <f t="shared" si="52"/>
        <v>111.83064583449757</v>
      </c>
      <c r="O219" s="83">
        <f t="shared" si="52"/>
        <v>110.50382788430919</v>
      </c>
      <c r="P219" s="83">
        <f t="shared" si="52"/>
        <v>111.68833511303421</v>
      </c>
      <c r="Q219" s="83">
        <f t="shared" si="52"/>
        <v>110.78638801461547</v>
      </c>
      <c r="R219" s="83">
        <f t="shared" si="52"/>
        <v>110.30789325057394</v>
      </c>
      <c r="S219" s="83">
        <f t="shared" si="52"/>
        <v>110.34545609105817</v>
      </c>
      <c r="T219" s="83">
        <f t="shared" si="52"/>
        <v>108.8691072364862</v>
      </c>
      <c r="U219" s="83">
        <f t="shared" si="52"/>
        <v>108.61890896013648</v>
      </c>
      <c r="V219" s="83">
        <f t="shared" si="52"/>
        <v>112.14231545780851</v>
      </c>
      <c r="W219" s="83">
        <f t="shared" si="52"/>
        <v>112.6757885696246</v>
      </c>
      <c r="DA219" s="49" t="s">
        <v>274</v>
      </c>
    </row>
    <row r="220" spans="1:105" ht="11.5" customHeight="1" x14ac:dyDescent="0.35">
      <c r="A220" s="59" t="str">
        <f>$A$8</f>
        <v>Motor coaches, buses and trolley buses</v>
      </c>
      <c r="B220" s="83">
        <f t="shared" si="52"/>
        <v>85.075769279116514</v>
      </c>
      <c r="C220" s="83">
        <f t="shared" si="52"/>
        <v>84.539318446259614</v>
      </c>
      <c r="D220" s="83">
        <f t="shared" si="52"/>
        <v>84.236797286615683</v>
      </c>
      <c r="E220" s="83">
        <f t="shared" si="52"/>
        <v>84.441001925273753</v>
      </c>
      <c r="F220" s="83">
        <f t="shared" si="52"/>
        <v>82.817761262899737</v>
      </c>
      <c r="G220" s="83">
        <f t="shared" si="52"/>
        <v>81.35142463428781</v>
      </c>
      <c r="H220" s="83">
        <f t="shared" si="52"/>
        <v>81.301184536248243</v>
      </c>
      <c r="I220" s="83">
        <f t="shared" si="52"/>
        <v>79.400367668545073</v>
      </c>
      <c r="J220" s="83">
        <f t="shared" si="52"/>
        <v>78.074864947794495</v>
      </c>
      <c r="K220" s="83">
        <f t="shared" si="52"/>
        <v>81.377306555154306</v>
      </c>
      <c r="L220" s="83">
        <f t="shared" si="52"/>
        <v>82.648198845970512</v>
      </c>
      <c r="M220" s="83">
        <f t="shared" si="52"/>
        <v>82.511866231617418</v>
      </c>
      <c r="N220" s="83">
        <f t="shared" si="52"/>
        <v>81.43242815132389</v>
      </c>
      <c r="O220" s="83">
        <f t="shared" si="52"/>
        <v>81.882005189983971</v>
      </c>
      <c r="P220" s="83">
        <f t="shared" si="52"/>
        <v>83.835727179219873</v>
      </c>
      <c r="Q220" s="83">
        <f t="shared" si="52"/>
        <v>83.771615087686882</v>
      </c>
      <c r="R220" s="83">
        <f t="shared" si="52"/>
        <v>84.857894506722346</v>
      </c>
      <c r="S220" s="83">
        <f t="shared" si="52"/>
        <v>86.198490292551156</v>
      </c>
      <c r="T220" s="83">
        <f t="shared" si="52"/>
        <v>85.535770937279779</v>
      </c>
      <c r="U220" s="83">
        <f t="shared" si="52"/>
        <v>85.41161001027092</v>
      </c>
      <c r="V220" s="83">
        <f t="shared" si="52"/>
        <v>127.81915734872743</v>
      </c>
      <c r="W220" s="83">
        <f t="shared" si="52"/>
        <v>116.94850507300865</v>
      </c>
      <c r="DA220" s="49" t="s">
        <v>275</v>
      </c>
    </row>
    <row r="221" spans="1:105" ht="11.5" customHeight="1" x14ac:dyDescent="0.35">
      <c r="A221" s="61" t="str">
        <f>$A$9</f>
        <v>Rail, metro and tram</v>
      </c>
      <c r="B221" s="84">
        <f t="shared" si="52"/>
        <v>15.3064831783761</v>
      </c>
      <c r="C221" s="84">
        <f t="shared" si="52"/>
        <v>13.460350237540526</v>
      </c>
      <c r="D221" s="84">
        <f t="shared" si="52"/>
        <v>13.79049857930074</v>
      </c>
      <c r="E221" s="84">
        <f t="shared" si="52"/>
        <v>14.394481282773942</v>
      </c>
      <c r="F221" s="84">
        <f t="shared" si="52"/>
        <v>14.453244961494411</v>
      </c>
      <c r="G221" s="84">
        <f t="shared" si="52"/>
        <v>13.347000388219104</v>
      </c>
      <c r="H221" s="84">
        <f t="shared" si="52"/>
        <v>11.730191782210957</v>
      </c>
      <c r="I221" s="84">
        <f t="shared" si="52"/>
        <v>12.472597798983498</v>
      </c>
      <c r="J221" s="84">
        <f t="shared" si="52"/>
        <v>11.64128373006691</v>
      </c>
      <c r="K221" s="84">
        <f t="shared" si="52"/>
        <v>10.519549209471004</v>
      </c>
      <c r="L221" s="84">
        <f t="shared" si="52"/>
        <v>10.112004588901817</v>
      </c>
      <c r="M221" s="84">
        <f t="shared" si="52"/>
        <v>9.9327099694519951</v>
      </c>
      <c r="N221" s="84">
        <f t="shared" si="52"/>
        <v>10.151595480561205</v>
      </c>
      <c r="O221" s="84">
        <f t="shared" si="52"/>
        <v>6.8659535307070838</v>
      </c>
      <c r="P221" s="84">
        <f t="shared" si="52"/>
        <v>6.4476610892575472</v>
      </c>
      <c r="Q221" s="84">
        <f t="shared" si="52"/>
        <v>6.2124353321525083</v>
      </c>
      <c r="R221" s="84">
        <f t="shared" si="52"/>
        <v>5.9683109201692357</v>
      </c>
      <c r="S221" s="84">
        <f t="shared" si="52"/>
        <v>5.5550191080269045</v>
      </c>
      <c r="T221" s="84">
        <f t="shared" si="52"/>
        <v>5.1007059600697939</v>
      </c>
      <c r="U221" s="84">
        <f t="shared" si="52"/>
        <v>4.9180948091772452</v>
      </c>
      <c r="V221" s="84">
        <f t="shared" si="52"/>
        <v>7.6616838556454452</v>
      </c>
      <c r="W221" s="84">
        <f t="shared" si="52"/>
        <v>7.8781436014848785</v>
      </c>
      <c r="DA221" s="63" t="s">
        <v>276</v>
      </c>
    </row>
    <row r="222" spans="1:105" ht="11.5" customHeight="1" x14ac:dyDescent="0.35">
      <c r="A222" s="59" t="str">
        <f>$A$10</f>
        <v>Metro and tram, urban light rail</v>
      </c>
      <c r="B222" s="83">
        <f t="shared" si="52"/>
        <v>0</v>
      </c>
      <c r="C222" s="83">
        <f t="shared" si="52"/>
        <v>0</v>
      </c>
      <c r="D222" s="83">
        <f t="shared" si="52"/>
        <v>0</v>
      </c>
      <c r="E222" s="83">
        <f t="shared" si="52"/>
        <v>0</v>
      </c>
      <c r="F222" s="83">
        <f t="shared" si="52"/>
        <v>0</v>
      </c>
      <c r="G222" s="83">
        <f t="shared" si="52"/>
        <v>0</v>
      </c>
      <c r="H222" s="83">
        <f t="shared" si="52"/>
        <v>0</v>
      </c>
      <c r="I222" s="83">
        <f t="shared" si="52"/>
        <v>0</v>
      </c>
      <c r="J222" s="83">
        <f t="shared" si="52"/>
        <v>0</v>
      </c>
      <c r="K222" s="83">
        <f t="shared" si="52"/>
        <v>0</v>
      </c>
      <c r="L222" s="83">
        <f t="shared" si="52"/>
        <v>0</v>
      </c>
      <c r="M222" s="83">
        <f t="shared" si="52"/>
        <v>0</v>
      </c>
      <c r="N222" s="83">
        <f t="shared" si="52"/>
        <v>0</v>
      </c>
      <c r="O222" s="83">
        <f t="shared" si="52"/>
        <v>0</v>
      </c>
      <c r="P222" s="83">
        <f t="shared" si="52"/>
        <v>0</v>
      </c>
      <c r="Q222" s="83">
        <f t="shared" si="52"/>
        <v>0</v>
      </c>
      <c r="R222" s="83">
        <f t="shared" si="52"/>
        <v>0</v>
      </c>
      <c r="S222" s="83">
        <f t="shared" si="52"/>
        <v>0</v>
      </c>
      <c r="T222" s="83">
        <f t="shared" si="52"/>
        <v>0</v>
      </c>
      <c r="U222" s="83">
        <f t="shared" si="52"/>
        <v>0</v>
      </c>
      <c r="V222" s="83">
        <f t="shared" si="52"/>
        <v>0</v>
      </c>
      <c r="W222" s="83">
        <f t="shared" si="52"/>
        <v>0</v>
      </c>
      <c r="DA222" s="49" t="s">
        <v>277</v>
      </c>
    </row>
    <row r="223" spans="1:105" ht="11.5" customHeight="1" x14ac:dyDescent="0.35">
      <c r="A223" s="59" t="str">
        <f>$A$11</f>
        <v>Conventional passenger trains</v>
      </c>
      <c r="B223" s="83">
        <f t="shared" si="52"/>
        <v>22.234554769954499</v>
      </c>
      <c r="C223" s="83">
        <f t="shared" si="52"/>
        <v>20.008357110048596</v>
      </c>
      <c r="D223" s="83">
        <f t="shared" si="52"/>
        <v>20.969414809527308</v>
      </c>
      <c r="E223" s="83">
        <f t="shared" si="52"/>
        <v>22.310293315947732</v>
      </c>
      <c r="F223" s="83">
        <f t="shared" si="52"/>
        <v>22.806606095549409</v>
      </c>
      <c r="G223" s="83">
        <f t="shared" si="52"/>
        <v>21.186983580589995</v>
      </c>
      <c r="H223" s="83">
        <f t="shared" si="52"/>
        <v>18.698337727917174</v>
      </c>
      <c r="I223" s="83">
        <f t="shared" si="52"/>
        <v>20.165516076706318</v>
      </c>
      <c r="J223" s="83">
        <f t="shared" si="52"/>
        <v>19.248679141090832</v>
      </c>
      <c r="K223" s="83">
        <f t="shared" si="52"/>
        <v>18.007305961669275</v>
      </c>
      <c r="L223" s="83">
        <f t="shared" si="52"/>
        <v>17.556649482607039</v>
      </c>
      <c r="M223" s="83">
        <f t="shared" si="52"/>
        <v>17.009234806974824</v>
      </c>
      <c r="N223" s="83">
        <f t="shared" si="52"/>
        <v>17.455134788643115</v>
      </c>
      <c r="O223" s="83">
        <f t="shared" si="52"/>
        <v>11.795319576582287</v>
      </c>
      <c r="P223" s="83">
        <f t="shared" si="52"/>
        <v>10.966571206842168</v>
      </c>
      <c r="Q223" s="83">
        <f t="shared" si="52"/>
        <v>10.56195087882481</v>
      </c>
      <c r="R223" s="83">
        <f t="shared" si="52"/>
        <v>10.283333542135594</v>
      </c>
      <c r="S223" s="83">
        <f t="shared" si="52"/>
        <v>9.7410042293271992</v>
      </c>
      <c r="T223" s="83">
        <f t="shared" si="52"/>
        <v>8.9545457406125362</v>
      </c>
      <c r="U223" s="83">
        <f t="shared" si="52"/>
        <v>8.6335794911036938</v>
      </c>
      <c r="V223" s="83">
        <f t="shared" si="52"/>
        <v>13.534616725243145</v>
      </c>
      <c r="W223" s="83">
        <f t="shared" si="52"/>
        <v>14.038721013603919</v>
      </c>
      <c r="DA223" s="49" t="s">
        <v>278</v>
      </c>
    </row>
    <row r="224" spans="1:105" ht="11.5" customHeight="1" x14ac:dyDescent="0.35">
      <c r="A224" s="59" t="str">
        <f>$A$12</f>
        <v>High speed passenger trains</v>
      </c>
      <c r="B224" s="83">
        <f t="shared" si="52"/>
        <v>0</v>
      </c>
      <c r="C224" s="83">
        <f t="shared" si="52"/>
        <v>0</v>
      </c>
      <c r="D224" s="83">
        <f t="shared" si="52"/>
        <v>0</v>
      </c>
      <c r="E224" s="83">
        <f t="shared" si="52"/>
        <v>0</v>
      </c>
      <c r="F224" s="83">
        <f t="shared" si="52"/>
        <v>0</v>
      </c>
      <c r="G224" s="83">
        <f t="shared" si="52"/>
        <v>0</v>
      </c>
      <c r="H224" s="83">
        <f t="shared" si="52"/>
        <v>0</v>
      </c>
      <c r="I224" s="83">
        <f t="shared" si="52"/>
        <v>0</v>
      </c>
      <c r="J224" s="83">
        <f t="shared" si="52"/>
        <v>0</v>
      </c>
      <c r="K224" s="83">
        <f t="shared" si="52"/>
        <v>0</v>
      </c>
      <c r="L224" s="83">
        <f t="shared" si="52"/>
        <v>0</v>
      </c>
      <c r="M224" s="83">
        <f t="shared" si="52"/>
        <v>0</v>
      </c>
      <c r="N224" s="83">
        <f t="shared" si="52"/>
        <v>0</v>
      </c>
      <c r="O224" s="83">
        <f t="shared" si="52"/>
        <v>0</v>
      </c>
      <c r="P224" s="83">
        <f t="shared" si="52"/>
        <v>0</v>
      </c>
      <c r="Q224" s="83">
        <f t="shared" si="52"/>
        <v>0</v>
      </c>
      <c r="R224" s="83">
        <f t="shared" si="52"/>
        <v>0</v>
      </c>
      <c r="S224" s="83">
        <f t="shared" si="52"/>
        <v>0</v>
      </c>
      <c r="T224" s="83">
        <f t="shared" si="52"/>
        <v>0</v>
      </c>
      <c r="U224" s="83">
        <f t="shared" si="52"/>
        <v>0</v>
      </c>
      <c r="V224" s="83">
        <f t="shared" si="52"/>
        <v>0</v>
      </c>
      <c r="W224" s="83">
        <f t="shared" si="52"/>
        <v>0</v>
      </c>
      <c r="DA224" s="49" t="s">
        <v>279</v>
      </c>
    </row>
    <row r="225" spans="1:105" ht="11.5" customHeight="1" x14ac:dyDescent="0.35">
      <c r="A225" s="61" t="str">
        <f>$A$13</f>
        <v>Aviation</v>
      </c>
      <c r="B225" s="84">
        <f t="shared" si="52"/>
        <v>132.81982114523581</v>
      </c>
      <c r="C225" s="84">
        <f t="shared" si="52"/>
        <v>132.67240191976418</v>
      </c>
      <c r="D225" s="84">
        <f t="shared" si="52"/>
        <v>130.41446988457045</v>
      </c>
      <c r="E225" s="84">
        <f t="shared" si="52"/>
        <v>128.74711341554186</v>
      </c>
      <c r="F225" s="84">
        <f t="shared" si="52"/>
        <v>123.5509855584943</v>
      </c>
      <c r="G225" s="84">
        <f t="shared" si="52"/>
        <v>118.80994807822852</v>
      </c>
      <c r="H225" s="84">
        <f t="shared" si="52"/>
        <v>118.17497916912166</v>
      </c>
      <c r="I225" s="84">
        <f t="shared" si="52"/>
        <v>115.95670313467384</v>
      </c>
      <c r="J225" s="84">
        <f t="shared" si="52"/>
        <v>116.10736875372234</v>
      </c>
      <c r="K225" s="84">
        <f t="shared" si="52"/>
        <v>113.64687793023371</v>
      </c>
      <c r="L225" s="84">
        <f t="shared" si="52"/>
        <v>108.09381347856804</v>
      </c>
      <c r="M225" s="84">
        <f t="shared" si="52"/>
        <v>105.51043462062167</v>
      </c>
      <c r="N225" s="84">
        <f t="shared" si="52"/>
        <v>103.16420530179056</v>
      </c>
      <c r="O225" s="84">
        <f t="shared" si="52"/>
        <v>100.66283137581783</v>
      </c>
      <c r="P225" s="84">
        <f t="shared" si="52"/>
        <v>98.051662196670677</v>
      </c>
      <c r="Q225" s="84">
        <f t="shared" si="52"/>
        <v>98.192774419323015</v>
      </c>
      <c r="R225" s="84">
        <f t="shared" si="52"/>
        <v>97.758025197082446</v>
      </c>
      <c r="S225" s="84">
        <f t="shared" si="52"/>
        <v>96.254104134122372</v>
      </c>
      <c r="T225" s="84">
        <f t="shared" si="52"/>
        <v>94.610949841453149</v>
      </c>
      <c r="U225" s="84">
        <f t="shared" si="52"/>
        <v>92.968678587849084</v>
      </c>
      <c r="V225" s="84">
        <f t="shared" si="52"/>
        <v>123.20496377880457</v>
      </c>
      <c r="W225" s="84">
        <f t="shared" si="52"/>
        <v>117.9564103014571</v>
      </c>
      <c r="DA225" s="63" t="s">
        <v>280</v>
      </c>
    </row>
    <row r="226" spans="1:105" ht="11.5" customHeight="1" x14ac:dyDescent="0.35">
      <c r="A226" s="59" t="str">
        <f>$A$14</f>
        <v>Domestic</v>
      </c>
      <c r="B226" s="83">
        <f t="shared" si="52"/>
        <v>200.28192921017416</v>
      </c>
      <c r="C226" s="83">
        <f t="shared" si="52"/>
        <v>201.64736774403997</v>
      </c>
      <c r="D226" s="83">
        <f t="shared" si="52"/>
        <v>187.59025996775412</v>
      </c>
      <c r="E226" s="83">
        <f t="shared" si="52"/>
        <v>185.24734825802423</v>
      </c>
      <c r="F226" s="83">
        <f t="shared" si="52"/>
        <v>184.00555109675705</v>
      </c>
      <c r="G226" s="83">
        <f t="shared" si="52"/>
        <v>188.57940355020796</v>
      </c>
      <c r="H226" s="83">
        <f t="shared" si="52"/>
        <v>185.95789168761348</v>
      </c>
      <c r="I226" s="83">
        <f t="shared" si="52"/>
        <v>182.48879011632508</v>
      </c>
      <c r="J226" s="83">
        <f t="shared" si="52"/>
        <v>183.62209836993614</v>
      </c>
      <c r="K226" s="83">
        <f t="shared" si="52"/>
        <v>170.99994418452013</v>
      </c>
      <c r="L226" s="83">
        <f t="shared" si="52"/>
        <v>171.20891988306727</v>
      </c>
      <c r="M226" s="83">
        <f t="shared" si="52"/>
        <v>177.03756968923776</v>
      </c>
      <c r="N226" s="83">
        <f t="shared" si="52"/>
        <v>174.01246534577058</v>
      </c>
      <c r="O226" s="83">
        <f t="shared" si="52"/>
        <v>170.75429838756452</v>
      </c>
      <c r="P226" s="83">
        <f t="shared" si="52"/>
        <v>171.63389111174513</v>
      </c>
      <c r="Q226" s="83">
        <f t="shared" si="52"/>
        <v>169.74777851360486</v>
      </c>
      <c r="R226" s="83">
        <f t="shared" si="52"/>
        <v>169.59702637810787</v>
      </c>
      <c r="S226" s="83">
        <f t="shared" si="52"/>
        <v>167.27974573147685</v>
      </c>
      <c r="T226" s="83">
        <f t="shared" si="52"/>
        <v>165.23811802235409</v>
      </c>
      <c r="U226" s="83">
        <f t="shared" si="52"/>
        <v>167.41476806594645</v>
      </c>
      <c r="V226" s="83">
        <f t="shared" si="52"/>
        <v>191.33895267939587</v>
      </c>
      <c r="W226" s="83">
        <f t="shared" si="52"/>
        <v>182.28988965361893</v>
      </c>
      <c r="DA226" s="49" t="s">
        <v>281</v>
      </c>
    </row>
    <row r="227" spans="1:105" ht="11.5" customHeight="1" x14ac:dyDescent="0.35">
      <c r="A227" s="59" t="str">
        <f>$A$15</f>
        <v>International - Intra-EEAwUK</v>
      </c>
      <c r="B227" s="83">
        <f t="shared" si="52"/>
        <v>107.52941028488662</v>
      </c>
      <c r="C227" s="83">
        <f t="shared" si="52"/>
        <v>108.04094870146253</v>
      </c>
      <c r="D227" s="83">
        <f t="shared" si="52"/>
        <v>106.0164676664245</v>
      </c>
      <c r="E227" s="83">
        <f t="shared" si="52"/>
        <v>108.34626913225428</v>
      </c>
      <c r="F227" s="83">
        <f t="shared" si="52"/>
        <v>106.28282745674829</v>
      </c>
      <c r="G227" s="83">
        <f t="shared" si="52"/>
        <v>102.80851695071436</v>
      </c>
      <c r="H227" s="83">
        <f t="shared" si="52"/>
        <v>104.90616820289353</v>
      </c>
      <c r="I227" s="83">
        <f t="shared" si="52"/>
        <v>107.31093440310403</v>
      </c>
      <c r="J227" s="83">
        <f t="shared" si="52"/>
        <v>111.11032966837897</v>
      </c>
      <c r="K227" s="83">
        <f t="shared" si="52"/>
        <v>106.08605665356893</v>
      </c>
      <c r="L227" s="83">
        <f t="shared" si="52"/>
        <v>101.8708575760641</v>
      </c>
      <c r="M227" s="83">
        <f t="shared" si="52"/>
        <v>98.10657497755416</v>
      </c>
      <c r="N227" s="83">
        <f t="shared" si="52"/>
        <v>95.266820513823873</v>
      </c>
      <c r="O227" s="83">
        <f t="shared" ref="O227:W242" si="53">IF(O15=0,0,O75/O15*1000)</f>
        <v>93.276548191584155</v>
      </c>
      <c r="P227" s="83">
        <f t="shared" si="53"/>
        <v>90.639904533386954</v>
      </c>
      <c r="Q227" s="83">
        <f t="shared" si="53"/>
        <v>90.472327727187349</v>
      </c>
      <c r="R227" s="83">
        <f t="shared" si="53"/>
        <v>89.264453832155681</v>
      </c>
      <c r="S227" s="83">
        <f t="shared" si="53"/>
        <v>90.202036353944393</v>
      </c>
      <c r="T227" s="83">
        <f t="shared" si="53"/>
        <v>90.601371876507841</v>
      </c>
      <c r="U227" s="83">
        <f t="shared" si="53"/>
        <v>89.655966837401095</v>
      </c>
      <c r="V227" s="83">
        <f t="shared" si="53"/>
        <v>99.717953712362544</v>
      </c>
      <c r="W227" s="83">
        <f t="shared" si="53"/>
        <v>93.334040920119506</v>
      </c>
      <c r="DA227" s="49" t="s">
        <v>282</v>
      </c>
    </row>
    <row r="228" spans="1:105" ht="11.5" customHeight="1" x14ac:dyDescent="0.35">
      <c r="A228" s="59" t="str">
        <f>$A$16</f>
        <v>International - Extra-EEAwUK</v>
      </c>
      <c r="B228" s="83">
        <f t="shared" ref="B228:V240" si="54">IF(B16=0,0,B76/B16*1000)</f>
        <v>139.49852769411351</v>
      </c>
      <c r="C228" s="83">
        <f t="shared" si="54"/>
        <v>139.0989038119553</v>
      </c>
      <c r="D228" s="83">
        <f t="shared" si="54"/>
        <v>138.74898737191032</v>
      </c>
      <c r="E228" s="83">
        <f t="shared" si="54"/>
        <v>133.98851043688319</v>
      </c>
      <c r="F228" s="83">
        <f t="shared" si="54"/>
        <v>125.02746692329616</v>
      </c>
      <c r="G228" s="83">
        <f t="shared" si="54"/>
        <v>117.4568776656001</v>
      </c>
      <c r="H228" s="83">
        <f t="shared" si="54"/>
        <v>114.94261119113497</v>
      </c>
      <c r="I228" s="83">
        <f t="shared" si="54"/>
        <v>108.79212282823599</v>
      </c>
      <c r="J228" s="83">
        <f t="shared" si="54"/>
        <v>106.53878583331834</v>
      </c>
      <c r="K228" s="83">
        <f t="shared" si="54"/>
        <v>107.65785076567249</v>
      </c>
      <c r="L228" s="83">
        <f t="shared" si="54"/>
        <v>100.23253763336361</v>
      </c>
      <c r="M228" s="83">
        <f t="shared" si="54"/>
        <v>97.37392271951839</v>
      </c>
      <c r="N228" s="83">
        <f t="shared" si="54"/>
        <v>96.470696092684008</v>
      </c>
      <c r="O228" s="83">
        <f t="shared" si="54"/>
        <v>94.614128615515199</v>
      </c>
      <c r="P228" s="83">
        <f t="shared" si="54"/>
        <v>92.020896186055339</v>
      </c>
      <c r="Q228" s="83">
        <f t="shared" si="54"/>
        <v>92.603914982156439</v>
      </c>
      <c r="R228" s="83">
        <f t="shared" si="54"/>
        <v>92.874965781376517</v>
      </c>
      <c r="S228" s="83">
        <f t="shared" si="54"/>
        <v>89.685821481578358</v>
      </c>
      <c r="T228" s="83">
        <f t="shared" si="54"/>
        <v>86.562781558926403</v>
      </c>
      <c r="U228" s="83">
        <f t="shared" si="54"/>
        <v>84.103781203647372</v>
      </c>
      <c r="V228" s="83">
        <f t="shared" si="54"/>
        <v>126.72604020176657</v>
      </c>
      <c r="W228" s="83">
        <f t="shared" si="53"/>
        <v>123.70706732527016</v>
      </c>
      <c r="DA228" s="49" t="s">
        <v>283</v>
      </c>
    </row>
    <row r="229" spans="1:105" ht="11.5" customHeight="1" x14ac:dyDescent="0.35">
      <c r="A229" s="53" t="s">
        <v>95</v>
      </c>
      <c r="B229" s="81">
        <f t="shared" si="54"/>
        <v>130.8802534592144</v>
      </c>
      <c r="C229" s="81">
        <f t="shared" si="54"/>
        <v>133.26318407334901</v>
      </c>
      <c r="D229" s="81">
        <f t="shared" si="54"/>
        <v>130.64296213722727</v>
      </c>
      <c r="E229" s="81">
        <f t="shared" si="54"/>
        <v>133.43101008844377</v>
      </c>
      <c r="F229" s="81">
        <f t="shared" si="54"/>
        <v>128.44311905651378</v>
      </c>
      <c r="G229" s="81">
        <f t="shared" si="54"/>
        <v>127.05908996166518</v>
      </c>
      <c r="H229" s="81">
        <f t="shared" si="54"/>
        <v>125.91776450880224</v>
      </c>
      <c r="I229" s="81">
        <f t="shared" si="54"/>
        <v>123.5447821652529</v>
      </c>
      <c r="J229" s="81">
        <f t="shared" si="54"/>
        <v>120.92965939879335</v>
      </c>
      <c r="K229" s="81">
        <f t="shared" si="54"/>
        <v>125.38189174674574</v>
      </c>
      <c r="L229" s="81">
        <f t="shared" si="54"/>
        <v>121.39133866900688</v>
      </c>
      <c r="M229" s="81">
        <f t="shared" si="54"/>
        <v>118.96975947813544</v>
      </c>
      <c r="N229" s="81">
        <f t="shared" si="54"/>
        <v>117.01429227414158</v>
      </c>
      <c r="O229" s="81">
        <f t="shared" si="54"/>
        <v>112.68609627329828</v>
      </c>
      <c r="P229" s="81">
        <f t="shared" si="54"/>
        <v>109.76343287688137</v>
      </c>
      <c r="Q229" s="81">
        <f t="shared" si="54"/>
        <v>109.23528913281272</v>
      </c>
      <c r="R229" s="81">
        <f t="shared" si="54"/>
        <v>110.19370310245471</v>
      </c>
      <c r="S229" s="81">
        <f t="shared" si="54"/>
        <v>109.98699055639007</v>
      </c>
      <c r="T229" s="81">
        <f t="shared" si="54"/>
        <v>111.48034346116103</v>
      </c>
      <c r="U229" s="81">
        <f t="shared" si="54"/>
        <v>109.50785833207327</v>
      </c>
      <c r="V229" s="81">
        <f t="shared" si="54"/>
        <v>104.98624731571144</v>
      </c>
      <c r="W229" s="81">
        <f t="shared" si="53"/>
        <v>108.89222668977388</v>
      </c>
      <c r="DA229" s="55" t="s">
        <v>284</v>
      </c>
    </row>
    <row r="230" spans="1:105" ht="11.5" customHeight="1" x14ac:dyDescent="0.35">
      <c r="A230" s="56" t="str">
        <f>$A$18</f>
        <v>Road transport</v>
      </c>
      <c r="B230" s="82">
        <f t="shared" si="54"/>
        <v>170.39237489719912</v>
      </c>
      <c r="C230" s="82">
        <f t="shared" si="54"/>
        <v>169.54876432614006</v>
      </c>
      <c r="D230" s="82">
        <f t="shared" si="54"/>
        <v>164.63344437377484</v>
      </c>
      <c r="E230" s="82">
        <f t="shared" si="54"/>
        <v>167.68937625924664</v>
      </c>
      <c r="F230" s="82">
        <f t="shared" si="54"/>
        <v>159.43808600506387</v>
      </c>
      <c r="G230" s="82">
        <f t="shared" si="54"/>
        <v>157.54349932939351</v>
      </c>
      <c r="H230" s="82">
        <f t="shared" si="54"/>
        <v>156.61254437509669</v>
      </c>
      <c r="I230" s="82">
        <f t="shared" si="54"/>
        <v>153.37135660917556</v>
      </c>
      <c r="J230" s="82">
        <f t="shared" si="54"/>
        <v>149.69765991524704</v>
      </c>
      <c r="K230" s="82">
        <f t="shared" si="54"/>
        <v>152.85528533777793</v>
      </c>
      <c r="L230" s="82">
        <f t="shared" si="54"/>
        <v>150.98115173669757</v>
      </c>
      <c r="M230" s="82">
        <f t="shared" si="54"/>
        <v>150.61902290378075</v>
      </c>
      <c r="N230" s="82">
        <f t="shared" si="54"/>
        <v>148.73651786717733</v>
      </c>
      <c r="O230" s="82">
        <f t="shared" si="54"/>
        <v>142.63013025582273</v>
      </c>
      <c r="P230" s="82">
        <f t="shared" si="54"/>
        <v>140.12430944872722</v>
      </c>
      <c r="Q230" s="82">
        <f t="shared" si="54"/>
        <v>138.59302074123249</v>
      </c>
      <c r="R230" s="82">
        <f t="shared" si="54"/>
        <v>139.61842061437522</v>
      </c>
      <c r="S230" s="82">
        <f t="shared" si="54"/>
        <v>137.47702527924883</v>
      </c>
      <c r="T230" s="82">
        <f t="shared" si="54"/>
        <v>139.37980638921655</v>
      </c>
      <c r="U230" s="82">
        <f t="shared" si="54"/>
        <v>135.9317699682326</v>
      </c>
      <c r="V230" s="82">
        <f t="shared" si="54"/>
        <v>126.98445158215063</v>
      </c>
      <c r="W230" s="82">
        <f t="shared" si="53"/>
        <v>131.63630316949042</v>
      </c>
      <c r="DA230" s="58" t="s">
        <v>285</v>
      </c>
    </row>
    <row r="231" spans="1:105" ht="11.5" customHeight="1" x14ac:dyDescent="0.35">
      <c r="A231" s="59" t="str">
        <f>$A$19</f>
        <v>Light commercial vehicles</v>
      </c>
      <c r="B231" s="83">
        <f t="shared" si="54"/>
        <v>1450.6933659168733</v>
      </c>
      <c r="C231" s="83">
        <f t="shared" si="54"/>
        <v>1376.5623724656746</v>
      </c>
      <c r="D231" s="83">
        <f t="shared" si="54"/>
        <v>1346.262103198382</v>
      </c>
      <c r="E231" s="83">
        <f t="shared" si="54"/>
        <v>1315.4389801932366</v>
      </c>
      <c r="F231" s="83">
        <f t="shared" si="54"/>
        <v>1286.1273473173285</v>
      </c>
      <c r="G231" s="83">
        <f t="shared" si="54"/>
        <v>1262.3493050191305</v>
      </c>
      <c r="H231" s="83">
        <f t="shared" si="54"/>
        <v>1214.3053023406273</v>
      </c>
      <c r="I231" s="83">
        <f t="shared" si="54"/>
        <v>1180.4165393706555</v>
      </c>
      <c r="J231" s="83">
        <f t="shared" si="54"/>
        <v>1155.1865072538556</v>
      </c>
      <c r="K231" s="83">
        <f t="shared" si="54"/>
        <v>1130.4024489471767</v>
      </c>
      <c r="L231" s="83">
        <f t="shared" si="54"/>
        <v>1123.3079285029955</v>
      </c>
      <c r="M231" s="83">
        <f t="shared" si="54"/>
        <v>1114.6261171172939</v>
      </c>
      <c r="N231" s="83">
        <f t="shared" si="54"/>
        <v>1087.8739249281673</v>
      </c>
      <c r="O231" s="83">
        <f t="shared" si="54"/>
        <v>1066.1640465222893</v>
      </c>
      <c r="P231" s="83">
        <f t="shared" si="54"/>
        <v>1048.2109926503599</v>
      </c>
      <c r="Q231" s="83">
        <f t="shared" si="54"/>
        <v>1031.6447836126533</v>
      </c>
      <c r="R231" s="83">
        <f t="shared" si="54"/>
        <v>1016.0813575782832</v>
      </c>
      <c r="S231" s="83">
        <f t="shared" si="54"/>
        <v>997.48597445303778</v>
      </c>
      <c r="T231" s="83">
        <f t="shared" si="54"/>
        <v>980.81475530898717</v>
      </c>
      <c r="U231" s="83">
        <f t="shared" si="54"/>
        <v>965.88816208401545</v>
      </c>
      <c r="V231" s="83">
        <f t="shared" si="54"/>
        <v>947.49742731985043</v>
      </c>
      <c r="W231" s="83">
        <f t="shared" si="53"/>
        <v>959.257355105952</v>
      </c>
      <c r="DA231" s="49" t="s">
        <v>286</v>
      </c>
    </row>
    <row r="232" spans="1:105" ht="11.5" customHeight="1" x14ac:dyDescent="0.35">
      <c r="A232" s="59" t="str">
        <f>$A$20</f>
        <v>Heavy goods vehicles</v>
      </c>
      <c r="B232" s="83">
        <f t="shared" si="54"/>
        <v>104.6884062877088</v>
      </c>
      <c r="C232" s="83">
        <f t="shared" si="54"/>
        <v>106.50445004886629</v>
      </c>
      <c r="D232" s="83">
        <f t="shared" si="54"/>
        <v>104.01606130648487</v>
      </c>
      <c r="E232" s="83">
        <f t="shared" si="54"/>
        <v>106.66696717604397</v>
      </c>
      <c r="F232" s="83">
        <f t="shared" si="54"/>
        <v>103.46779328952765</v>
      </c>
      <c r="G232" s="83">
        <f t="shared" si="54"/>
        <v>102.97204710525195</v>
      </c>
      <c r="H232" s="83">
        <f t="shared" si="54"/>
        <v>105.41175961257801</v>
      </c>
      <c r="I232" s="83">
        <f t="shared" si="54"/>
        <v>102.94226077848096</v>
      </c>
      <c r="J232" s="83">
        <f t="shared" si="54"/>
        <v>99.88074362324744</v>
      </c>
      <c r="K232" s="83">
        <f t="shared" si="54"/>
        <v>99.856282522708398</v>
      </c>
      <c r="L232" s="83">
        <f t="shared" si="54"/>
        <v>98.671496827395117</v>
      </c>
      <c r="M232" s="83">
        <f t="shared" si="54"/>
        <v>97.484269520594069</v>
      </c>
      <c r="N232" s="83">
        <f t="shared" si="54"/>
        <v>96.660112628738787</v>
      </c>
      <c r="O232" s="83">
        <f t="shared" si="54"/>
        <v>92.642444836865423</v>
      </c>
      <c r="P232" s="83">
        <f t="shared" si="54"/>
        <v>89.918745191961904</v>
      </c>
      <c r="Q232" s="83">
        <f t="shared" si="54"/>
        <v>89.813866760074006</v>
      </c>
      <c r="R232" s="83">
        <f t="shared" si="54"/>
        <v>92.888242857030633</v>
      </c>
      <c r="S232" s="83">
        <f t="shared" si="54"/>
        <v>92.535136535947871</v>
      </c>
      <c r="T232" s="83">
        <f t="shared" si="54"/>
        <v>94.582733822481288</v>
      </c>
      <c r="U232" s="83">
        <f t="shared" si="54"/>
        <v>92.179148451619682</v>
      </c>
      <c r="V232" s="83">
        <f t="shared" si="54"/>
        <v>85.959538335780621</v>
      </c>
      <c r="W232" s="83">
        <f t="shared" si="53"/>
        <v>88.885707246071334</v>
      </c>
      <c r="DA232" s="49" t="s">
        <v>287</v>
      </c>
    </row>
    <row r="233" spans="1:105" ht="11.5" customHeight="1" x14ac:dyDescent="0.35">
      <c r="A233" s="61" t="str">
        <f>$A$21</f>
        <v>Rail transport</v>
      </c>
      <c r="B233" s="84">
        <f t="shared" si="54"/>
        <v>7.5393347111699276</v>
      </c>
      <c r="C233" s="84">
        <f t="shared" si="54"/>
        <v>7.2228342640328966</v>
      </c>
      <c r="D233" s="84">
        <f t="shared" si="54"/>
        <v>7.1453791576526449</v>
      </c>
      <c r="E233" s="84">
        <f t="shared" si="54"/>
        <v>6.4928624249718414</v>
      </c>
      <c r="F233" s="84">
        <f t="shared" si="54"/>
        <v>6.306669215158256</v>
      </c>
      <c r="G233" s="84">
        <f t="shared" si="54"/>
        <v>5.8032533703098688</v>
      </c>
      <c r="H233" s="84">
        <f t="shared" si="54"/>
        <v>5.9442880976855772</v>
      </c>
      <c r="I233" s="84">
        <f t="shared" si="54"/>
        <v>6.1911870018042405</v>
      </c>
      <c r="J233" s="84">
        <f t="shared" si="54"/>
        <v>6.0777407952057096</v>
      </c>
      <c r="K233" s="84">
        <f t="shared" si="54"/>
        <v>6.3112328118266987</v>
      </c>
      <c r="L233" s="84">
        <f t="shared" si="54"/>
        <v>6.3854574808617732</v>
      </c>
      <c r="M233" s="84">
        <f t="shared" si="54"/>
        <v>5.1237308779833368</v>
      </c>
      <c r="N233" s="84">
        <f t="shared" si="54"/>
        <v>5.0868132556355494</v>
      </c>
      <c r="O233" s="84">
        <f t="shared" si="54"/>
        <v>3.999945203409689</v>
      </c>
      <c r="P233" s="84">
        <f t="shared" si="54"/>
        <v>3.6951027049797998</v>
      </c>
      <c r="Q233" s="84">
        <f t="shared" si="54"/>
        <v>3.550810327124275</v>
      </c>
      <c r="R233" s="84">
        <f t="shared" si="54"/>
        <v>3.2189296031773766</v>
      </c>
      <c r="S233" s="84">
        <f t="shared" si="54"/>
        <v>3.2539422468064298</v>
      </c>
      <c r="T233" s="84">
        <f t="shared" si="54"/>
        <v>3.2173193798479995</v>
      </c>
      <c r="U233" s="84">
        <f t="shared" si="54"/>
        <v>3.2629987697680769</v>
      </c>
      <c r="V233" s="84">
        <f t="shared" si="54"/>
        <v>3.1812044479190664</v>
      </c>
      <c r="W233" s="84">
        <f t="shared" si="53"/>
        <v>3.3061404885646004</v>
      </c>
      <c r="DA233" s="63" t="s">
        <v>288</v>
      </c>
    </row>
    <row r="234" spans="1:105" ht="11.5" customHeight="1" x14ac:dyDescent="0.35">
      <c r="A234" s="61" t="str">
        <f>$A$22</f>
        <v>Aviation</v>
      </c>
      <c r="B234" s="84">
        <f t="shared" si="54"/>
        <v>307.91319796918663</v>
      </c>
      <c r="C234" s="84">
        <f t="shared" si="54"/>
        <v>297.63941473164942</v>
      </c>
      <c r="D234" s="84">
        <f t="shared" si="54"/>
        <v>313.03409126861192</v>
      </c>
      <c r="E234" s="84">
        <f t="shared" si="54"/>
        <v>328.74903369934219</v>
      </c>
      <c r="F234" s="84">
        <f t="shared" si="54"/>
        <v>337.67786691721568</v>
      </c>
      <c r="G234" s="84">
        <f t="shared" si="54"/>
        <v>344.611888025589</v>
      </c>
      <c r="H234" s="84">
        <f t="shared" si="54"/>
        <v>354.17697787682101</v>
      </c>
      <c r="I234" s="84">
        <f t="shared" si="54"/>
        <v>343.8306516366888</v>
      </c>
      <c r="J234" s="84">
        <f t="shared" si="54"/>
        <v>346.52256694782318</v>
      </c>
      <c r="K234" s="84">
        <f t="shared" si="54"/>
        <v>324.59634258077193</v>
      </c>
      <c r="L234" s="84">
        <f t="shared" si="54"/>
        <v>303.94455430717238</v>
      </c>
      <c r="M234" s="84">
        <f t="shared" si="54"/>
        <v>274.85245810903257</v>
      </c>
      <c r="N234" s="84">
        <f t="shared" si="54"/>
        <v>266.28335170209112</v>
      </c>
      <c r="O234" s="84">
        <f t="shared" si="54"/>
        <v>267.50690252208835</v>
      </c>
      <c r="P234" s="84">
        <f t="shared" si="54"/>
        <v>231.92304744880829</v>
      </c>
      <c r="Q234" s="84">
        <f t="shared" si="54"/>
        <v>235.54920869342382</v>
      </c>
      <c r="R234" s="84">
        <f t="shared" si="54"/>
        <v>222.74701243649901</v>
      </c>
      <c r="S234" s="84">
        <f t="shared" si="54"/>
        <v>228.82091935906649</v>
      </c>
      <c r="T234" s="84">
        <f t="shared" si="54"/>
        <v>223.60793524073483</v>
      </c>
      <c r="U234" s="84">
        <f t="shared" si="54"/>
        <v>213.75906433995593</v>
      </c>
      <c r="V234" s="84">
        <f t="shared" si="54"/>
        <v>297.15594317666989</v>
      </c>
      <c r="W234" s="84">
        <f t="shared" si="53"/>
        <v>313.59698189237065</v>
      </c>
      <c r="DA234" s="63" t="s">
        <v>289</v>
      </c>
    </row>
    <row r="235" spans="1:105" ht="11.5" customHeight="1" x14ac:dyDescent="0.35">
      <c r="A235" s="59" t="s">
        <v>69</v>
      </c>
      <c r="B235" s="83">
        <f t="shared" si="54"/>
        <v>1490.9105616501279</v>
      </c>
      <c r="C235" s="83">
        <f t="shared" si="54"/>
        <v>1483.7293232636277</v>
      </c>
      <c r="D235" s="83">
        <f t="shared" si="54"/>
        <v>1392.0195720254915</v>
      </c>
      <c r="E235" s="83">
        <f t="shared" si="54"/>
        <v>1282.3666666741385</v>
      </c>
      <c r="F235" s="83">
        <f t="shared" si="54"/>
        <v>1366.3002287643724</v>
      </c>
      <c r="G235" s="83">
        <f t="shared" si="54"/>
        <v>1441.1428298583505</v>
      </c>
      <c r="H235" s="83">
        <f t="shared" si="54"/>
        <v>1488.6125343875865</v>
      </c>
      <c r="I235" s="83">
        <f t="shared" si="54"/>
        <v>1462.3084488783466</v>
      </c>
      <c r="J235" s="83">
        <f t="shared" si="54"/>
        <v>1538.2679545735903</v>
      </c>
      <c r="K235" s="83">
        <f t="shared" si="54"/>
        <v>1417.0529814809165</v>
      </c>
      <c r="L235" s="83">
        <f t="shared" si="54"/>
        <v>1434.4177816814201</v>
      </c>
      <c r="M235" s="83">
        <f t="shared" si="54"/>
        <v>1353.5753074733823</v>
      </c>
      <c r="N235" s="83">
        <f t="shared" si="54"/>
        <v>1377.1056610420524</v>
      </c>
      <c r="O235" s="83">
        <f t="shared" si="54"/>
        <v>1357.1010774080171</v>
      </c>
      <c r="P235" s="83">
        <f t="shared" si="54"/>
        <v>1263.0480652924605</v>
      </c>
      <c r="Q235" s="83">
        <f t="shared" si="54"/>
        <v>1261.504231526241</v>
      </c>
      <c r="R235" s="83">
        <f t="shared" si="54"/>
        <v>1128.1724593839849</v>
      </c>
      <c r="S235" s="83">
        <f t="shared" si="54"/>
        <v>1221.3702517281431</v>
      </c>
      <c r="T235" s="83">
        <f t="shared" si="54"/>
        <v>1192.7435147417718</v>
      </c>
      <c r="U235" s="83">
        <f t="shared" si="54"/>
        <v>1167.2271556334017</v>
      </c>
      <c r="V235" s="83">
        <f t="shared" si="54"/>
        <v>1267.3398188996939</v>
      </c>
      <c r="W235" s="83">
        <f t="shared" si="53"/>
        <v>1146.1380327981688</v>
      </c>
      <c r="DA235" s="49" t="s">
        <v>290</v>
      </c>
    </row>
    <row r="236" spans="1:105" ht="11.5" customHeight="1" x14ac:dyDescent="0.35">
      <c r="A236" s="59" t="str">
        <f>$A$24</f>
        <v>International - Intra-EEAwUK</v>
      </c>
      <c r="B236" s="83">
        <f t="shared" si="54"/>
        <v>546.38252153807173</v>
      </c>
      <c r="C236" s="83">
        <f t="shared" si="54"/>
        <v>500.04007602508449</v>
      </c>
      <c r="D236" s="83">
        <f t="shared" si="54"/>
        <v>538.36470065486856</v>
      </c>
      <c r="E236" s="83">
        <f t="shared" si="54"/>
        <v>519.51563293341894</v>
      </c>
      <c r="F236" s="83">
        <f t="shared" si="54"/>
        <v>556.98846836065366</v>
      </c>
      <c r="G236" s="83">
        <f t="shared" si="54"/>
        <v>568.21455032404742</v>
      </c>
      <c r="H236" s="83">
        <f t="shared" si="54"/>
        <v>673.05191349021936</v>
      </c>
      <c r="I236" s="83">
        <f t="shared" si="54"/>
        <v>691.54038708013934</v>
      </c>
      <c r="J236" s="83">
        <f t="shared" si="54"/>
        <v>712.75221019187711</v>
      </c>
      <c r="K236" s="83">
        <f t="shared" si="54"/>
        <v>674.31230097638615</v>
      </c>
      <c r="L236" s="83">
        <f t="shared" si="54"/>
        <v>655.99446699408998</v>
      </c>
      <c r="M236" s="83">
        <f t="shared" si="54"/>
        <v>612.74848273502221</v>
      </c>
      <c r="N236" s="83">
        <f t="shared" si="54"/>
        <v>576.68687312322083</v>
      </c>
      <c r="O236" s="83">
        <f t="shared" si="54"/>
        <v>585.60052936096747</v>
      </c>
      <c r="P236" s="83">
        <f t="shared" si="54"/>
        <v>504.95323962528215</v>
      </c>
      <c r="Q236" s="83">
        <f t="shared" si="54"/>
        <v>518.29250402539981</v>
      </c>
      <c r="R236" s="83">
        <f t="shared" si="54"/>
        <v>479.54268267197199</v>
      </c>
      <c r="S236" s="83">
        <f t="shared" si="54"/>
        <v>556.99734609521374</v>
      </c>
      <c r="T236" s="83">
        <f t="shared" si="54"/>
        <v>560.15463618248964</v>
      </c>
      <c r="U236" s="83">
        <f t="shared" si="54"/>
        <v>539.66584908456082</v>
      </c>
      <c r="V236" s="83">
        <f t="shared" si="54"/>
        <v>608.05396258177791</v>
      </c>
      <c r="W236" s="83">
        <f t="shared" si="53"/>
        <v>703.27155395722252</v>
      </c>
      <c r="DA236" s="49" t="s">
        <v>291</v>
      </c>
    </row>
    <row r="237" spans="1:105" ht="11.5" customHeight="1" x14ac:dyDescent="0.35">
      <c r="A237" s="59" t="str">
        <f>$A$25</f>
        <v>International - Extra-EEAwUK</v>
      </c>
      <c r="B237" s="83">
        <f t="shared" si="54"/>
        <v>271.68988818144243</v>
      </c>
      <c r="C237" s="83">
        <f t="shared" si="54"/>
        <v>261.09485868290517</v>
      </c>
      <c r="D237" s="83">
        <f t="shared" si="54"/>
        <v>279.47693898427872</v>
      </c>
      <c r="E237" s="83">
        <f t="shared" si="54"/>
        <v>300.91201809361075</v>
      </c>
      <c r="F237" s="83">
        <f t="shared" si="54"/>
        <v>307.87270216967261</v>
      </c>
      <c r="G237" s="83">
        <f t="shared" si="54"/>
        <v>315.65943843651365</v>
      </c>
      <c r="H237" s="83">
        <f t="shared" si="54"/>
        <v>320.34112405729508</v>
      </c>
      <c r="I237" s="83">
        <f t="shared" si="54"/>
        <v>310.60850324060823</v>
      </c>
      <c r="J237" s="83">
        <f t="shared" si="54"/>
        <v>313.43835879439803</v>
      </c>
      <c r="K237" s="83">
        <f t="shared" si="54"/>
        <v>292.193409443294</v>
      </c>
      <c r="L237" s="83">
        <f t="shared" si="54"/>
        <v>276.58894610874057</v>
      </c>
      <c r="M237" s="83">
        <f t="shared" si="54"/>
        <v>250.68968853059775</v>
      </c>
      <c r="N237" s="83">
        <f t="shared" si="54"/>
        <v>242.62226953044086</v>
      </c>
      <c r="O237" s="83">
        <f t="shared" si="54"/>
        <v>243.8070298750493</v>
      </c>
      <c r="P237" s="83">
        <f t="shared" si="54"/>
        <v>210.61540814033449</v>
      </c>
      <c r="Q237" s="83">
        <f t="shared" si="54"/>
        <v>214.42781069368874</v>
      </c>
      <c r="R237" s="83">
        <f t="shared" si="54"/>
        <v>203.78460031881369</v>
      </c>
      <c r="S237" s="83">
        <f t="shared" si="54"/>
        <v>206.97605108312777</v>
      </c>
      <c r="T237" s="83">
        <f t="shared" si="54"/>
        <v>201.73240022971547</v>
      </c>
      <c r="U237" s="83">
        <f t="shared" si="54"/>
        <v>191.07539086399331</v>
      </c>
      <c r="V237" s="83">
        <f t="shared" si="54"/>
        <v>276.09300908266357</v>
      </c>
      <c r="W237" s="83">
        <f t="shared" si="53"/>
        <v>286.24846846857275</v>
      </c>
      <c r="DA237" s="49" t="s">
        <v>292</v>
      </c>
    </row>
    <row r="238" spans="1:105" ht="11.5" customHeight="1" x14ac:dyDescent="0.35">
      <c r="A238" s="61" t="s">
        <v>74</v>
      </c>
      <c r="B238" s="84">
        <f t="shared" si="54"/>
        <v>78.234432873710162</v>
      </c>
      <c r="C238" s="84">
        <f t="shared" si="54"/>
        <v>86.4232709897517</v>
      </c>
      <c r="D238" s="84">
        <f t="shared" si="54"/>
        <v>84.42774121297353</v>
      </c>
      <c r="E238" s="84">
        <f t="shared" si="54"/>
        <v>92.498535537057634</v>
      </c>
      <c r="F238" s="84">
        <f t="shared" si="54"/>
        <v>87.658591349125473</v>
      </c>
      <c r="G238" s="84">
        <f t="shared" si="54"/>
        <v>83.140286076033334</v>
      </c>
      <c r="H238" s="84">
        <f t="shared" si="54"/>
        <v>81.176324841340261</v>
      </c>
      <c r="I238" s="84">
        <f t="shared" si="54"/>
        <v>78.782067695726056</v>
      </c>
      <c r="J238" s="84">
        <f t="shared" si="54"/>
        <v>76.801168050622479</v>
      </c>
      <c r="K238" s="84">
        <f t="shared" si="54"/>
        <v>81.825291266130009</v>
      </c>
      <c r="L238" s="84">
        <f t="shared" si="54"/>
        <v>69.061604552881619</v>
      </c>
      <c r="M238" s="84">
        <f t="shared" si="54"/>
        <v>64.874534412651116</v>
      </c>
      <c r="N238" s="84">
        <f t="shared" si="54"/>
        <v>62.52526827374075</v>
      </c>
      <c r="O238" s="84">
        <f t="shared" si="54"/>
        <v>58.071462261720249</v>
      </c>
      <c r="P238" s="84">
        <f t="shared" si="54"/>
        <v>52.501406217445869</v>
      </c>
      <c r="Q238" s="84">
        <f t="shared" si="54"/>
        <v>56.316954603737038</v>
      </c>
      <c r="R238" s="84">
        <f t="shared" si="54"/>
        <v>58.229040147697255</v>
      </c>
      <c r="S238" s="84">
        <f t="shared" si="54"/>
        <v>60.5932039876717</v>
      </c>
      <c r="T238" s="84">
        <f t="shared" si="54"/>
        <v>62.489729607188679</v>
      </c>
      <c r="U238" s="84">
        <f t="shared" si="54"/>
        <v>60.772073746700983</v>
      </c>
      <c r="V238" s="84">
        <f t="shared" si="54"/>
        <v>54.707648368460234</v>
      </c>
      <c r="W238" s="84">
        <f t="shared" si="53"/>
        <v>58.014494047580769</v>
      </c>
      <c r="DA238" s="63" t="s">
        <v>293</v>
      </c>
    </row>
    <row r="239" spans="1:105" ht="11.5" customHeight="1" x14ac:dyDescent="0.35">
      <c r="A239" s="59" t="str">
        <f>$A$27</f>
        <v>Domestic coastal shipping</v>
      </c>
      <c r="B239" s="83">
        <f t="shared" si="54"/>
        <v>170.15665085524768</v>
      </c>
      <c r="C239" s="83">
        <f t="shared" si="54"/>
        <v>211.73542308331685</v>
      </c>
      <c r="D239" s="83">
        <f t="shared" si="54"/>
        <v>203.30334520315341</v>
      </c>
      <c r="E239" s="83">
        <f t="shared" si="54"/>
        <v>212.40636387490687</v>
      </c>
      <c r="F239" s="83">
        <f t="shared" si="54"/>
        <v>214.18304165795777</v>
      </c>
      <c r="G239" s="83">
        <f t="shared" si="54"/>
        <v>194.14988744699122</v>
      </c>
      <c r="H239" s="83">
        <f t="shared" si="54"/>
        <v>180.78143186562767</v>
      </c>
      <c r="I239" s="83">
        <f t="shared" si="54"/>
        <v>182.80468517761366</v>
      </c>
      <c r="J239" s="83">
        <f t="shared" si="54"/>
        <v>178.0296608527689</v>
      </c>
      <c r="K239" s="83">
        <f t="shared" si="54"/>
        <v>184.14442277802272</v>
      </c>
      <c r="L239" s="83">
        <f t="shared" si="54"/>
        <v>164.26424482531755</v>
      </c>
      <c r="M239" s="83">
        <f t="shared" si="54"/>
        <v>137.52010951098308</v>
      </c>
      <c r="N239" s="83">
        <f t="shared" si="54"/>
        <v>145.2505300612504</v>
      </c>
      <c r="O239" s="83">
        <f t="shared" si="54"/>
        <v>138.11357590682709</v>
      </c>
      <c r="P239" s="83">
        <f t="shared" si="54"/>
        <v>115.54043964293648</v>
      </c>
      <c r="Q239" s="83">
        <f t="shared" si="54"/>
        <v>121.58403397428519</v>
      </c>
      <c r="R239" s="83">
        <f t="shared" si="54"/>
        <v>127.52599284754227</v>
      </c>
      <c r="S239" s="83">
        <f t="shared" si="54"/>
        <v>135.40065559600782</v>
      </c>
      <c r="T239" s="83">
        <f t="shared" si="54"/>
        <v>126.37225775343586</v>
      </c>
      <c r="U239" s="83">
        <f t="shared" si="54"/>
        <v>127.43337904848973</v>
      </c>
      <c r="V239" s="83">
        <f t="shared" si="54"/>
        <v>112.35377107308656</v>
      </c>
      <c r="W239" s="83">
        <f t="shared" si="53"/>
        <v>121.49664519064684</v>
      </c>
      <c r="DA239" s="49" t="s">
        <v>294</v>
      </c>
    </row>
    <row r="240" spans="1:105" ht="11.5" customHeight="1" x14ac:dyDescent="0.35">
      <c r="A240" s="67" t="str">
        <f>$A$28</f>
        <v>Inland waterways</v>
      </c>
      <c r="B240" s="85">
        <f t="shared" si="54"/>
        <v>25.578452704099064</v>
      </c>
      <c r="C240" s="85">
        <f t="shared" si="54"/>
        <v>25.837269794356871</v>
      </c>
      <c r="D240" s="85">
        <f t="shared" si="54"/>
        <v>24.461452618385596</v>
      </c>
      <c r="E240" s="85">
        <f t="shared" ref="E240:V240" si="55">IF(E28=0,0,E88/E28*1000)</f>
        <v>26.689009985581166</v>
      </c>
      <c r="F240" s="85">
        <f t="shared" si="55"/>
        <v>24.566860809403384</v>
      </c>
      <c r="G240" s="85">
        <f t="shared" si="55"/>
        <v>24.240317480360154</v>
      </c>
      <c r="H240" s="85">
        <f t="shared" si="55"/>
        <v>20.7763132959508</v>
      </c>
      <c r="I240" s="85">
        <f t="shared" si="55"/>
        <v>22.834661639048935</v>
      </c>
      <c r="J240" s="85">
        <f t="shared" si="55"/>
        <v>22.336653619513338</v>
      </c>
      <c r="K240" s="85">
        <f t="shared" si="55"/>
        <v>24.669261596666058</v>
      </c>
      <c r="L240" s="85">
        <f t="shared" si="55"/>
        <v>21.972755452726648</v>
      </c>
      <c r="M240" s="85">
        <f t="shared" si="55"/>
        <v>24.048719523805751</v>
      </c>
      <c r="N240" s="85">
        <f t="shared" si="55"/>
        <v>22.197719121157398</v>
      </c>
      <c r="O240" s="85">
        <f t="shared" si="55"/>
        <v>23.689596969495049</v>
      </c>
      <c r="P240" s="85">
        <f t="shared" si="55"/>
        <v>21.931076471693626</v>
      </c>
      <c r="Q240" s="85">
        <f t="shared" si="55"/>
        <v>23.366321826570122</v>
      </c>
      <c r="R240" s="85">
        <f t="shared" si="55"/>
        <v>22.208753647938611</v>
      </c>
      <c r="S240" s="85">
        <f t="shared" si="55"/>
        <v>21.032101196741014</v>
      </c>
      <c r="T240" s="85">
        <f t="shared" si="55"/>
        <v>23.459344581764913</v>
      </c>
      <c r="U240" s="85">
        <f t="shared" si="55"/>
        <v>22.24414265399799</v>
      </c>
      <c r="V240" s="85">
        <f t="shared" si="55"/>
        <v>20.997111494099318</v>
      </c>
      <c r="W240" s="85">
        <f t="shared" si="53"/>
        <v>22.135917165034385</v>
      </c>
      <c r="DA240" s="69" t="s">
        <v>295</v>
      </c>
    </row>
    <row r="241" spans="1:105" ht="11.5" customHeight="1" x14ac:dyDescent="0.35">
      <c r="A241" s="53" t="s">
        <v>92</v>
      </c>
      <c r="B241" s="81">
        <f t="shared" ref="B241:V243" si="56">IF(B29=0,0,B89/B29*1000)</f>
        <v>24.358744891786785</v>
      </c>
      <c r="C241" s="81">
        <f t="shared" si="56"/>
        <v>23.891491373779871</v>
      </c>
      <c r="D241" s="81">
        <f t="shared" si="56"/>
        <v>23.908853075277186</v>
      </c>
      <c r="E241" s="81">
        <f t="shared" si="56"/>
        <v>23.750967922191499</v>
      </c>
      <c r="F241" s="81">
        <f t="shared" si="56"/>
        <v>23.629831381098921</v>
      </c>
      <c r="G241" s="81">
        <f t="shared" si="56"/>
        <v>22.400213599978571</v>
      </c>
      <c r="H241" s="81">
        <f t="shared" si="56"/>
        <v>22.772988324413078</v>
      </c>
      <c r="I241" s="81">
        <f t="shared" si="56"/>
        <v>22.948639274137168</v>
      </c>
      <c r="J241" s="81">
        <f t="shared" si="56"/>
        <v>21.998581927112834</v>
      </c>
      <c r="K241" s="81">
        <f t="shared" si="56"/>
        <v>23.148817097534703</v>
      </c>
      <c r="L241" s="81">
        <f t="shared" si="56"/>
        <v>21.661788525281352</v>
      </c>
      <c r="M241" s="81">
        <f t="shared" si="56"/>
        <v>20.044464004452944</v>
      </c>
      <c r="N241" s="81">
        <f t="shared" si="56"/>
        <v>18.764517656330121</v>
      </c>
      <c r="O241" s="81">
        <f t="shared" si="56"/>
        <v>18.121105600388773</v>
      </c>
      <c r="P241" s="81">
        <f t="shared" si="56"/>
        <v>16.801447172346464</v>
      </c>
      <c r="Q241" s="81">
        <f t="shared" si="56"/>
        <v>16.469328151777837</v>
      </c>
      <c r="R241" s="81">
        <f t="shared" si="56"/>
        <v>17.259208718212584</v>
      </c>
      <c r="S241" s="81">
        <f t="shared" si="56"/>
        <v>16.956878643530398</v>
      </c>
      <c r="T241" s="81">
        <f t="shared" si="56"/>
        <v>16.967813292164568</v>
      </c>
      <c r="U241" s="81">
        <f t="shared" si="56"/>
        <v>16.402812146339627</v>
      </c>
      <c r="V241" s="81">
        <f t="shared" si="56"/>
        <v>16.024228210194284</v>
      </c>
      <c r="W241" s="81">
        <f t="shared" si="53"/>
        <v>15.942917337635095</v>
      </c>
      <c r="DA241" s="55" t="s">
        <v>296</v>
      </c>
    </row>
    <row r="242" spans="1:105" ht="11.5" customHeight="1" x14ac:dyDescent="0.35">
      <c r="A242" s="59" t="str">
        <f>$A$30</f>
        <v>Intra-EEA</v>
      </c>
      <c r="B242" s="83">
        <f t="shared" si="56"/>
        <v>52.192896429241763</v>
      </c>
      <c r="C242" s="83">
        <f t="shared" si="56"/>
        <v>50.019578078278265</v>
      </c>
      <c r="D242" s="83">
        <f t="shared" si="56"/>
        <v>49.190332675929298</v>
      </c>
      <c r="E242" s="83">
        <f t="shared" si="56"/>
        <v>50.20598986514193</v>
      </c>
      <c r="F242" s="83">
        <f t="shared" si="56"/>
        <v>49.744228507737098</v>
      </c>
      <c r="G242" s="83">
        <f t="shared" si="56"/>
        <v>47.864311007394114</v>
      </c>
      <c r="H242" s="83">
        <f t="shared" si="56"/>
        <v>49.809594983193286</v>
      </c>
      <c r="I242" s="83">
        <f t="shared" si="56"/>
        <v>50.859423990199112</v>
      </c>
      <c r="J242" s="83">
        <f t="shared" si="56"/>
        <v>50.154784548485644</v>
      </c>
      <c r="K242" s="83">
        <f t="shared" si="56"/>
        <v>52.704618109162062</v>
      </c>
      <c r="L242" s="83">
        <f t="shared" si="56"/>
        <v>50.310235752331785</v>
      </c>
      <c r="M242" s="83">
        <f t="shared" si="56"/>
        <v>46.811415388485173</v>
      </c>
      <c r="N242" s="83">
        <f t="shared" si="56"/>
        <v>44.44171726311648</v>
      </c>
      <c r="O242" s="83">
        <f t="shared" si="56"/>
        <v>42.037124413705165</v>
      </c>
      <c r="P242" s="83">
        <f t="shared" si="56"/>
        <v>39.798603979629327</v>
      </c>
      <c r="Q242" s="83">
        <f t="shared" si="56"/>
        <v>40.476261725547005</v>
      </c>
      <c r="R242" s="83">
        <f t="shared" si="56"/>
        <v>41.705529458044161</v>
      </c>
      <c r="S242" s="83">
        <f t="shared" si="56"/>
        <v>42.125120463844098</v>
      </c>
      <c r="T242" s="83">
        <f t="shared" si="56"/>
        <v>40.787607948343954</v>
      </c>
      <c r="U242" s="83">
        <f t="shared" si="56"/>
        <v>40.923101222005663</v>
      </c>
      <c r="V242" s="83">
        <f t="shared" si="56"/>
        <v>36.299382070447379</v>
      </c>
      <c r="W242" s="83">
        <f t="shared" si="53"/>
        <v>37.216971656552261</v>
      </c>
      <c r="DA242" s="49" t="s">
        <v>297</v>
      </c>
    </row>
    <row r="243" spans="1:105" ht="11.5" customHeight="1" x14ac:dyDescent="0.35">
      <c r="A243" s="67" t="str">
        <f>$A$31</f>
        <v>Extra-EEA</v>
      </c>
      <c r="B243" s="85">
        <f t="shared" si="56"/>
        <v>19.770934317814664</v>
      </c>
      <c r="C243" s="85">
        <f t="shared" si="56"/>
        <v>19.658302490097487</v>
      </c>
      <c r="D243" s="85">
        <f t="shared" si="56"/>
        <v>19.870758172798123</v>
      </c>
      <c r="E243" s="85">
        <f t="shared" si="56"/>
        <v>19.615931806710641</v>
      </c>
      <c r="F243" s="85">
        <f t="shared" si="56"/>
        <v>19.664741536730155</v>
      </c>
      <c r="G243" s="85">
        <f t="shared" si="56"/>
        <v>18.833251196685744</v>
      </c>
      <c r="H243" s="85">
        <f t="shared" si="56"/>
        <v>19.249859710748812</v>
      </c>
      <c r="I243" s="85">
        <f t="shared" si="56"/>
        <v>19.445984553671376</v>
      </c>
      <c r="J243" s="85">
        <f t="shared" si="56"/>
        <v>18.578819117223045</v>
      </c>
      <c r="K243" s="85">
        <f t="shared" si="56"/>
        <v>19.260424699345783</v>
      </c>
      <c r="L243" s="85">
        <f t="shared" si="56"/>
        <v>17.872876303008763</v>
      </c>
      <c r="M243" s="85">
        <f t="shared" si="56"/>
        <v>16.754140536589819</v>
      </c>
      <c r="N243" s="85">
        <f t="shared" si="56"/>
        <v>15.627512072985878</v>
      </c>
      <c r="O243" s="85">
        <f t="shared" si="56"/>
        <v>15.044664141052747</v>
      </c>
      <c r="P243" s="85">
        <f t="shared" si="56"/>
        <v>13.890083207986713</v>
      </c>
      <c r="Q243" s="85">
        <f t="shared" si="56"/>
        <v>13.503839370466087</v>
      </c>
      <c r="R243" s="85">
        <f t="shared" si="56"/>
        <v>14.093863783470475</v>
      </c>
      <c r="S243" s="85">
        <f t="shared" si="56"/>
        <v>13.789963759011373</v>
      </c>
      <c r="T243" s="85">
        <f t="shared" si="56"/>
        <v>13.853072325612626</v>
      </c>
      <c r="U243" s="85">
        <f t="shared" si="56"/>
        <v>13.266334987257606</v>
      </c>
      <c r="V243" s="85">
        <f t="shared" si="56"/>
        <v>13.377298995923033</v>
      </c>
      <c r="W243" s="85">
        <f t="shared" ref="W243" si="57">IF(W31=0,0,W91/W31*1000)</f>
        <v>13.261662592843189</v>
      </c>
      <c r="DA243" s="69" t="s">
        <v>298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8B51F9679BA144793883E00F33314C2" ma:contentTypeVersion="13" ma:contentTypeDescription="Ein neues Dokument erstellen." ma:contentTypeScope="" ma:versionID="015b9be55f5f754557c169d2250338b4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583b137ad0097f742a3eb8eb807bdb3f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Bildmarkierungen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612723B-F468-4996-BA45-8051E07159A9}">
  <ds:schemaRefs>
    <ds:schemaRef ds:uri="http://schemas.microsoft.com/office/2006/metadata/properties"/>
    <ds:schemaRef ds:uri="http://schemas.microsoft.com/office/infopath/2007/PartnerControls"/>
    <ds:schemaRef ds:uri="a0ef95e8-51fd-41c3-80a8-973dcfb15a5e"/>
    <ds:schemaRef ds:uri="399c1a43-fcee-47b9-8e14-d0136f5b770f"/>
  </ds:schemaRefs>
</ds:datastoreItem>
</file>

<file path=customXml/itemProps2.xml><?xml version="1.0" encoding="utf-8"?>
<ds:datastoreItem xmlns:ds="http://schemas.openxmlformats.org/officeDocument/2006/customXml" ds:itemID="{2581135B-BED3-4901-BD96-90E2745B9FC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99c1a43-fcee-47b9-8e14-d0136f5b770f"/>
    <ds:schemaRef ds:uri="a0ef95e8-51fd-41c3-80a8-973dcfb15a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60E6155-5747-4FE2-A946-061709E1D38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Input</vt:lpstr>
      <vt:lpstr>Description</vt:lpstr>
      <vt:lpstr>Ind_Summary</vt:lpstr>
      <vt:lpstr>Transport_Summary</vt:lpstr>
      <vt:lpstr>Ind_Summary!Print_Area</vt:lpstr>
      <vt:lpstr>Ind_Summary!Print_Titles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Flora von Mikulicz-Radecki</dc:creator>
  <cp:lastModifiedBy>Flora von Mikulicz-Radecki</cp:lastModifiedBy>
  <dcterms:created xsi:type="dcterms:W3CDTF">2024-10-28T10:20:26Z</dcterms:created>
  <dcterms:modified xsi:type="dcterms:W3CDTF">2025-04-24T09:34:01Z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