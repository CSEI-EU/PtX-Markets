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cbs-my.sharepoint.com/personal/flv_eco_cbs_dk/Documents/Documents/01_PtX_Markets/Scripts/"/>
    </mc:Choice>
  </mc:AlternateContent>
  <xr:revisionPtr revIDLastSave="157" documentId="13_ncr:1_{0659CE98-C530-49CB-B227-27ECE24F6B3A}" xr6:coauthVersionLast="47" xr6:coauthVersionMax="47" xr10:uidLastSave="{4345F21A-8E44-471D-8C10-722C0617A82F}"/>
  <bookViews>
    <workbookView xWindow="-9555" yWindow="-21720" windowWidth="38640" windowHeight="21240" xr2:uid="{A5916B2B-4E63-4A43-A66E-90A078ADA135}"/>
  </bookViews>
  <sheets>
    <sheet name="Input" sheetId="7" r:id="rId1"/>
    <sheet name="Description" sheetId="4" r:id="rId2"/>
    <sheet name="JR_IDEES_Industry" sheetId="1" r:id="rId3"/>
    <sheet name="JR_IDEES_Transport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7" l="1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40" i="7"/>
  <c r="A40" i="7" a="1"/>
  <c r="A40" i="7" s="1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D33" i="7" a="1"/>
  <c r="D33" i="7"/>
  <c r="E33" i="7" a="1"/>
  <c r="E33" i="7" s="1"/>
  <c r="F33" i="7" a="1"/>
  <c r="F33" i="7" s="1"/>
  <c r="G33" i="7" a="1"/>
  <c r="G33" i="7"/>
  <c r="H33" i="7" a="1"/>
  <c r="H33" i="7"/>
  <c r="I33" i="7" a="1"/>
  <c r="I33" i="7" s="1"/>
  <c r="J33" i="7" a="1"/>
  <c r="J33" i="7" s="1"/>
  <c r="K33" i="7" a="1"/>
  <c r="K33" i="7"/>
  <c r="L33" i="7" a="1"/>
  <c r="L33" i="7" s="1"/>
  <c r="M33" i="7" a="1"/>
  <c r="M33" i="7"/>
  <c r="N33" i="7" a="1"/>
  <c r="N33" i="7"/>
  <c r="O33" i="7" a="1"/>
  <c r="O33" i="7" s="1"/>
  <c r="P33" i="7" a="1"/>
  <c r="P33" i="7"/>
  <c r="Q33" i="7" a="1"/>
  <c r="Q33" i="7"/>
  <c r="R33" i="7" a="1"/>
  <c r="R33" i="7" s="1"/>
  <c r="S33" i="7" a="1"/>
  <c r="S33" i="7"/>
  <c r="T33" i="7" a="1"/>
  <c r="T33" i="7" s="1"/>
  <c r="U33" i="7" a="1"/>
  <c r="U33" i="7" s="1"/>
  <c r="V33" i="7" a="1"/>
  <c r="V33" i="7"/>
  <c r="W33" i="7" a="1"/>
  <c r="W33" i="7"/>
  <c r="X33" i="7" a="1"/>
  <c r="X33" i="7" s="1"/>
  <c r="D36" i="7" a="1"/>
  <c r="D36" i="7"/>
  <c r="E36" i="7" a="1"/>
  <c r="E36" i="7"/>
  <c r="F36" i="7" a="1"/>
  <c r="F36" i="7" s="1"/>
  <c r="G36" i="7" a="1"/>
  <c r="G36" i="7"/>
  <c r="H36" i="7" a="1"/>
  <c r="H36" i="7"/>
  <c r="I36" i="7" a="1"/>
  <c r="I36" i="7" s="1"/>
  <c r="J36" i="7" a="1"/>
  <c r="J36" i="7"/>
  <c r="K36" i="7" a="1"/>
  <c r="K36" i="7"/>
  <c r="L36" i="7" a="1"/>
  <c r="L36" i="7" s="1"/>
  <c r="M36" i="7" a="1"/>
  <c r="M36" i="7"/>
  <c r="N36" i="7" a="1"/>
  <c r="N36" i="7"/>
  <c r="O36" i="7" a="1"/>
  <c r="O36" i="7" s="1"/>
  <c r="P36" i="7" a="1"/>
  <c r="P36" i="7"/>
  <c r="Q36" i="7" a="1"/>
  <c r="Q36" i="7"/>
  <c r="R36" i="7" a="1"/>
  <c r="R36" i="7" s="1"/>
  <c r="S36" i="7" a="1"/>
  <c r="S36" i="7"/>
  <c r="T36" i="7" a="1"/>
  <c r="T36" i="7"/>
  <c r="U36" i="7" a="1"/>
  <c r="U36" i="7" s="1"/>
  <c r="V36" i="7" a="1"/>
  <c r="V36" i="7"/>
  <c r="W36" i="7" a="1"/>
  <c r="W36" i="7"/>
  <c r="X36" i="7" a="1"/>
  <c r="X36" i="7" s="1"/>
  <c r="D38" i="7" a="1"/>
  <c r="D38" i="7"/>
  <c r="E38" i="7" a="1"/>
  <c r="E38" i="7"/>
  <c r="F38" i="7" a="1"/>
  <c r="F38" i="7" s="1"/>
  <c r="G38" i="7" a="1"/>
  <c r="G38" i="7"/>
  <c r="H38" i="7" a="1"/>
  <c r="H38" i="7" s="1"/>
  <c r="I38" i="7" a="1"/>
  <c r="I38" i="7" s="1"/>
  <c r="J38" i="7" a="1"/>
  <c r="J38" i="7"/>
  <c r="K38" i="7" a="1"/>
  <c r="K38" i="7"/>
  <c r="L38" i="7" a="1"/>
  <c r="L38" i="7" s="1"/>
  <c r="M38" i="7" a="1"/>
  <c r="M38" i="7"/>
  <c r="N38" i="7" a="1"/>
  <c r="N38" i="7" s="1"/>
  <c r="O38" i="7" a="1"/>
  <c r="O38" i="7" s="1"/>
  <c r="P38" i="7" a="1"/>
  <c r="P38" i="7"/>
  <c r="Q38" i="7" a="1"/>
  <c r="Q38" i="7"/>
  <c r="R38" i="7" a="1"/>
  <c r="R38" i="7" s="1"/>
  <c r="S38" i="7" a="1"/>
  <c r="S38" i="7"/>
  <c r="T38" i="7" a="1"/>
  <c r="T38" i="7" s="1"/>
  <c r="U38" i="7" a="1"/>
  <c r="U38" i="7" s="1"/>
  <c r="V38" i="7" a="1"/>
  <c r="V38" i="7"/>
  <c r="W38" i="7" a="1"/>
  <c r="W38" i="7"/>
  <c r="X38" i="7" a="1"/>
  <c r="X38" i="7" s="1"/>
  <c r="C38" i="7" a="1"/>
  <c r="C38" i="7" s="1"/>
  <c r="C36" i="7" a="1"/>
  <c r="C36" i="7" s="1"/>
  <c r="C33" i="7" a="1"/>
  <c r="C33" i="7" s="1"/>
  <c r="C32" i="7"/>
  <c r="C31" i="7"/>
  <c r="C30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C28" i="7"/>
  <c r="C29" i="7"/>
  <c r="C27" i="7"/>
  <c r="C25" i="7"/>
  <c r="C26" i="7"/>
  <c r="C24" i="7"/>
  <c r="C22" i="7"/>
  <c r="C23" i="7"/>
  <c r="C21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C16" i="7"/>
  <c r="C17" i="7"/>
  <c r="C18" i="7"/>
  <c r="C19" i="7"/>
  <c r="C20" i="7"/>
  <c r="C15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C13" i="7"/>
  <c r="C14" i="7"/>
  <c r="C12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C10" i="7"/>
  <c r="C11" i="7"/>
  <c r="C9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C7" i="7"/>
  <c r="C8" i="7"/>
  <c r="C6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C4" i="7"/>
  <c r="C5" i="7"/>
  <c r="C3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C2" i="7"/>
  <c r="B182" i="1" l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A243" i="2"/>
  <c r="A242" i="2"/>
  <c r="A237" i="2"/>
  <c r="A236" i="2"/>
  <c r="A234" i="2"/>
  <c r="A233" i="2"/>
  <c r="A230" i="2"/>
  <c r="A228" i="2"/>
  <c r="A227" i="2"/>
  <c r="A226" i="2"/>
  <c r="A225" i="2"/>
  <c r="A221" i="2"/>
  <c r="A217" i="2"/>
  <c r="A213" i="2"/>
  <c r="A212" i="2"/>
  <c r="A207" i="2"/>
  <c r="A206" i="2"/>
  <c r="A204" i="2"/>
  <c r="A203" i="2"/>
  <c r="A200" i="2"/>
  <c r="A198" i="2"/>
  <c r="A197" i="2"/>
  <c r="A196" i="2"/>
  <c r="A195" i="2"/>
  <c r="A191" i="2"/>
  <c r="A187" i="2"/>
  <c r="A183" i="2"/>
  <c r="A182" i="2"/>
  <c r="A177" i="2"/>
  <c r="A176" i="2"/>
  <c r="A174" i="2"/>
  <c r="A173" i="2"/>
  <c r="A170" i="2"/>
  <c r="A168" i="2"/>
  <c r="A167" i="2"/>
  <c r="A166" i="2"/>
  <c r="A165" i="2"/>
  <c r="A161" i="2"/>
  <c r="A157" i="2"/>
  <c r="A153" i="2"/>
  <c r="A152" i="2"/>
  <c r="A147" i="2"/>
  <c r="A146" i="2"/>
  <c r="A144" i="2"/>
  <c r="A143" i="2"/>
  <c r="A140" i="2"/>
  <c r="A138" i="2"/>
  <c r="A137" i="2"/>
  <c r="A136" i="2"/>
  <c r="A135" i="2"/>
  <c r="A131" i="2"/>
  <c r="A127" i="2"/>
  <c r="A123" i="2"/>
  <c r="A122" i="2"/>
  <c r="A117" i="2"/>
  <c r="A116" i="2"/>
  <c r="A114" i="2"/>
  <c r="A113" i="2"/>
  <c r="A110" i="2"/>
  <c r="A108" i="2"/>
  <c r="A107" i="2"/>
  <c r="A106" i="2"/>
  <c r="A105" i="2"/>
  <c r="A101" i="2"/>
  <c r="A97" i="2"/>
  <c r="W91" i="2"/>
  <c r="V91" i="2"/>
  <c r="V89" i="2" s="1"/>
  <c r="V181" i="2" s="1"/>
  <c r="U91" i="2"/>
  <c r="T91" i="2"/>
  <c r="S91" i="2"/>
  <c r="R91" i="2"/>
  <c r="Q91" i="2"/>
  <c r="P91" i="2"/>
  <c r="O91" i="2"/>
  <c r="N91" i="2"/>
  <c r="N89" i="2" s="1"/>
  <c r="N181" i="2" s="1"/>
  <c r="M91" i="2"/>
  <c r="L91" i="2"/>
  <c r="K91" i="2"/>
  <c r="J91" i="2"/>
  <c r="I91" i="2"/>
  <c r="H91" i="2"/>
  <c r="G91" i="2"/>
  <c r="F91" i="2"/>
  <c r="E91" i="2"/>
  <c r="D91" i="2"/>
  <c r="D89" i="2" s="1"/>
  <c r="D181" i="2" s="1"/>
  <c r="C91" i="2"/>
  <c r="B91" i="2"/>
  <c r="A91" i="2"/>
  <c r="W90" i="2"/>
  <c r="V90" i="2"/>
  <c r="U90" i="2"/>
  <c r="T90" i="2"/>
  <c r="S90" i="2"/>
  <c r="R90" i="2"/>
  <c r="Q90" i="2"/>
  <c r="Q89" i="2" s="1"/>
  <c r="Q181" i="2" s="1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W89" i="2"/>
  <c r="W181" i="2" s="1"/>
  <c r="U89" i="2"/>
  <c r="U181" i="2" s="1"/>
  <c r="T89" i="2"/>
  <c r="T181" i="2" s="1"/>
  <c r="O89" i="2"/>
  <c r="O181" i="2" s="1"/>
  <c r="M89" i="2"/>
  <c r="M181" i="2" s="1"/>
  <c r="L89" i="2"/>
  <c r="L181" i="2" s="1"/>
  <c r="G89" i="2"/>
  <c r="G181" i="2" s="1"/>
  <c r="F89" i="2"/>
  <c r="F181" i="2" s="1"/>
  <c r="E89" i="2"/>
  <c r="E181" i="2" s="1"/>
  <c r="W88" i="2"/>
  <c r="V88" i="2"/>
  <c r="V180" i="2" s="1"/>
  <c r="U88" i="2"/>
  <c r="U180" i="2" s="1"/>
  <c r="T88" i="2"/>
  <c r="T180" i="2" s="1"/>
  <c r="S88" i="2"/>
  <c r="S180" i="2" s="1"/>
  <c r="R88" i="2"/>
  <c r="R180" i="2" s="1"/>
  <c r="Q88" i="2"/>
  <c r="Q180" i="2" s="1"/>
  <c r="P88" i="2"/>
  <c r="P180" i="2" s="1"/>
  <c r="O88" i="2"/>
  <c r="N88" i="2"/>
  <c r="N180" i="2" s="1"/>
  <c r="M88" i="2"/>
  <c r="M180" i="2" s="1"/>
  <c r="L88" i="2"/>
  <c r="L180" i="2" s="1"/>
  <c r="K88" i="2"/>
  <c r="K180" i="2" s="1"/>
  <c r="J88" i="2"/>
  <c r="J180" i="2" s="1"/>
  <c r="I88" i="2"/>
  <c r="I180" i="2" s="1"/>
  <c r="H88" i="2"/>
  <c r="H180" i="2" s="1"/>
  <c r="G88" i="2"/>
  <c r="F88" i="2"/>
  <c r="F180" i="2" s="1"/>
  <c r="E88" i="2"/>
  <c r="E180" i="2" s="1"/>
  <c r="D88" i="2"/>
  <c r="D180" i="2" s="1"/>
  <c r="C88" i="2"/>
  <c r="C180" i="2" s="1"/>
  <c r="B88" i="2"/>
  <c r="B180" i="2" s="1"/>
  <c r="W87" i="2"/>
  <c r="V87" i="2"/>
  <c r="U87" i="2"/>
  <c r="T87" i="2"/>
  <c r="S87" i="2"/>
  <c r="S86" i="2" s="1"/>
  <c r="R87" i="2"/>
  <c r="Q87" i="2"/>
  <c r="P87" i="2"/>
  <c r="P86" i="2" s="1"/>
  <c r="O87" i="2"/>
  <c r="N87" i="2"/>
  <c r="M87" i="2"/>
  <c r="L87" i="2"/>
  <c r="K87" i="2"/>
  <c r="K86" i="2" s="1"/>
  <c r="J87" i="2"/>
  <c r="I87" i="2"/>
  <c r="H87" i="2"/>
  <c r="H86" i="2" s="1"/>
  <c r="G87" i="2"/>
  <c r="F87" i="2"/>
  <c r="E87" i="2"/>
  <c r="D87" i="2"/>
  <c r="C87" i="2"/>
  <c r="B87" i="2"/>
  <c r="B86" i="2" s="1"/>
  <c r="R86" i="2"/>
  <c r="Q86" i="2"/>
  <c r="M86" i="2"/>
  <c r="J86" i="2"/>
  <c r="I86" i="2"/>
  <c r="E86" i="2"/>
  <c r="C86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W83" i="2"/>
  <c r="W82" i="2" s="1"/>
  <c r="V83" i="2"/>
  <c r="V82" i="2" s="1"/>
  <c r="U83" i="2"/>
  <c r="T83" i="2"/>
  <c r="S83" i="2"/>
  <c r="R83" i="2"/>
  <c r="Q83" i="2"/>
  <c r="P83" i="2"/>
  <c r="O83" i="2"/>
  <c r="O82" i="2" s="1"/>
  <c r="N83" i="2"/>
  <c r="N82" i="2" s="1"/>
  <c r="M83" i="2"/>
  <c r="L83" i="2"/>
  <c r="K83" i="2"/>
  <c r="J83" i="2"/>
  <c r="I83" i="2"/>
  <c r="H83" i="2"/>
  <c r="G83" i="2"/>
  <c r="F83" i="2"/>
  <c r="F82" i="2" s="1"/>
  <c r="E83" i="2"/>
  <c r="D83" i="2"/>
  <c r="C83" i="2"/>
  <c r="B83" i="2"/>
  <c r="U82" i="2"/>
  <c r="T82" i="2"/>
  <c r="M82" i="2"/>
  <c r="L82" i="2"/>
  <c r="E82" i="2"/>
  <c r="D82" i="2"/>
  <c r="A82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W78" i="2"/>
  <c r="V78" i="2"/>
  <c r="S78" i="2"/>
  <c r="Q78" i="2"/>
  <c r="P78" i="2"/>
  <c r="O78" i="2"/>
  <c r="N78" i="2"/>
  <c r="K78" i="2"/>
  <c r="I78" i="2"/>
  <c r="H78" i="2"/>
  <c r="G78" i="2"/>
  <c r="F78" i="2"/>
  <c r="A78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U73" i="2"/>
  <c r="S73" i="2"/>
  <c r="R73" i="2"/>
  <c r="Q73" i="2"/>
  <c r="M73" i="2"/>
  <c r="K73" i="2"/>
  <c r="J73" i="2"/>
  <c r="I73" i="2"/>
  <c r="E73" i="2"/>
  <c r="C73" i="2"/>
  <c r="B73" i="2"/>
  <c r="A73" i="2"/>
  <c r="W72" i="2"/>
  <c r="W164" i="2" s="1"/>
  <c r="V72" i="2"/>
  <c r="V164" i="2" s="1"/>
  <c r="U72" i="2"/>
  <c r="U164" i="2" s="1"/>
  <c r="T72" i="2"/>
  <c r="S72" i="2"/>
  <c r="S164" i="2" s="1"/>
  <c r="R72" i="2"/>
  <c r="R164" i="2" s="1"/>
  <c r="Q72" i="2"/>
  <c r="Q164" i="2" s="1"/>
  <c r="P72" i="2"/>
  <c r="P164" i="2" s="1"/>
  <c r="O72" i="2"/>
  <c r="O164" i="2" s="1"/>
  <c r="N72" i="2"/>
  <c r="N164" i="2" s="1"/>
  <c r="M72" i="2"/>
  <c r="M164" i="2" s="1"/>
  <c r="L72" i="2"/>
  <c r="K72" i="2"/>
  <c r="K164" i="2" s="1"/>
  <c r="J72" i="2"/>
  <c r="J164" i="2" s="1"/>
  <c r="I72" i="2"/>
  <c r="I164" i="2" s="1"/>
  <c r="H72" i="2"/>
  <c r="H164" i="2" s="1"/>
  <c r="G72" i="2"/>
  <c r="G164" i="2" s="1"/>
  <c r="F72" i="2"/>
  <c r="F164" i="2" s="1"/>
  <c r="E72" i="2"/>
  <c r="E164" i="2" s="1"/>
  <c r="D72" i="2"/>
  <c r="C72" i="2"/>
  <c r="C164" i="2" s="1"/>
  <c r="B72" i="2"/>
  <c r="B164" i="2" s="1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W70" i="2"/>
  <c r="W162" i="2" s="1"/>
  <c r="V70" i="2"/>
  <c r="V162" i="2" s="1"/>
  <c r="U70" i="2"/>
  <c r="U162" i="2" s="1"/>
  <c r="T70" i="2"/>
  <c r="T162" i="2" s="1"/>
  <c r="S70" i="2"/>
  <c r="S162" i="2" s="1"/>
  <c r="R70" i="2"/>
  <c r="Q70" i="2"/>
  <c r="Q162" i="2" s="1"/>
  <c r="P70" i="2"/>
  <c r="O70" i="2"/>
  <c r="O162" i="2" s="1"/>
  <c r="N70" i="2"/>
  <c r="N162" i="2" s="1"/>
  <c r="M70" i="2"/>
  <c r="M162" i="2" s="1"/>
  <c r="L70" i="2"/>
  <c r="L162" i="2" s="1"/>
  <c r="K70" i="2"/>
  <c r="K162" i="2" s="1"/>
  <c r="J70" i="2"/>
  <c r="I70" i="2"/>
  <c r="I162" i="2" s="1"/>
  <c r="H70" i="2"/>
  <c r="G70" i="2"/>
  <c r="G162" i="2" s="1"/>
  <c r="F70" i="2"/>
  <c r="F162" i="2" s="1"/>
  <c r="E70" i="2"/>
  <c r="E162" i="2" s="1"/>
  <c r="D70" i="2"/>
  <c r="D162" i="2" s="1"/>
  <c r="C70" i="2"/>
  <c r="C162" i="2" s="1"/>
  <c r="B70" i="2"/>
  <c r="W69" i="2"/>
  <c r="V69" i="2"/>
  <c r="U69" i="2"/>
  <c r="Q69" i="2"/>
  <c r="O69" i="2"/>
  <c r="N69" i="2"/>
  <c r="M69" i="2"/>
  <c r="F69" i="2"/>
  <c r="E69" i="2"/>
  <c r="A69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I65" i="2" s="1"/>
  <c r="H66" i="2"/>
  <c r="G66" i="2"/>
  <c r="F66" i="2"/>
  <c r="E66" i="2"/>
  <c r="D66" i="2"/>
  <c r="C66" i="2"/>
  <c r="B66" i="2"/>
  <c r="W65" i="2"/>
  <c r="V65" i="2"/>
  <c r="U65" i="2"/>
  <c r="S65" i="2"/>
  <c r="R65" i="2"/>
  <c r="P65" i="2"/>
  <c r="O65" i="2"/>
  <c r="N65" i="2"/>
  <c r="M65" i="2"/>
  <c r="K65" i="2"/>
  <c r="H65" i="2"/>
  <c r="F65" i="2"/>
  <c r="E65" i="2"/>
  <c r="C65" i="2"/>
  <c r="A65" i="2"/>
  <c r="U64" i="2"/>
  <c r="U156" i="2" s="1"/>
  <c r="M64" i="2"/>
  <c r="E64" i="2"/>
  <c r="E156" i="2" s="1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W60" i="2"/>
  <c r="V60" i="2"/>
  <c r="U60" i="2"/>
  <c r="T60" i="2"/>
  <c r="T59" i="2" s="1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D59" i="2" s="1"/>
  <c r="C60" i="2"/>
  <c r="B60" i="2"/>
  <c r="A60" i="2"/>
  <c r="V59" i="2"/>
  <c r="Q59" i="2"/>
  <c r="P59" i="2"/>
  <c r="N59" i="2"/>
  <c r="I59" i="2"/>
  <c r="H59" i="2"/>
  <c r="H151" i="2" s="1"/>
  <c r="F59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W57" i="2"/>
  <c r="V57" i="2"/>
  <c r="U57" i="2"/>
  <c r="T57" i="2"/>
  <c r="S57" i="2"/>
  <c r="R57" i="2"/>
  <c r="Q57" i="2"/>
  <c r="P57" i="2"/>
  <c r="P56" i="2" s="1"/>
  <c r="O57" i="2"/>
  <c r="N57" i="2"/>
  <c r="M57" i="2"/>
  <c r="L57" i="2"/>
  <c r="K57" i="2"/>
  <c r="J57" i="2"/>
  <c r="I57" i="2"/>
  <c r="H57" i="2"/>
  <c r="H56" i="2" s="1"/>
  <c r="G57" i="2"/>
  <c r="F57" i="2"/>
  <c r="E57" i="2"/>
  <c r="D57" i="2"/>
  <c r="C57" i="2"/>
  <c r="B57" i="2"/>
  <c r="U56" i="2"/>
  <c r="T56" i="2"/>
  <c r="R56" i="2"/>
  <c r="M56" i="2"/>
  <c r="L56" i="2"/>
  <c r="J56" i="2"/>
  <c r="E56" i="2"/>
  <c r="D56" i="2"/>
  <c r="B56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W53" i="2"/>
  <c r="V53" i="2"/>
  <c r="U53" i="2"/>
  <c r="T53" i="2"/>
  <c r="S53" i="2"/>
  <c r="S52" i="2" s="1"/>
  <c r="R53" i="2"/>
  <c r="Q53" i="2"/>
  <c r="P53" i="2"/>
  <c r="O53" i="2"/>
  <c r="N53" i="2"/>
  <c r="M53" i="2"/>
  <c r="L53" i="2"/>
  <c r="K53" i="2"/>
  <c r="K52" i="2" s="1"/>
  <c r="J53" i="2"/>
  <c r="I53" i="2"/>
  <c r="H53" i="2"/>
  <c r="H52" i="2" s="1"/>
  <c r="G53" i="2"/>
  <c r="F53" i="2"/>
  <c r="E53" i="2"/>
  <c r="D53" i="2"/>
  <c r="C53" i="2"/>
  <c r="C52" i="2" s="1"/>
  <c r="B53" i="2"/>
  <c r="W52" i="2"/>
  <c r="V52" i="2"/>
  <c r="O52" i="2"/>
  <c r="N52" i="2"/>
  <c r="G52" i="2"/>
  <c r="A52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W49" i="2"/>
  <c r="V49" i="2"/>
  <c r="V48" i="2" s="1"/>
  <c r="U49" i="2"/>
  <c r="T49" i="2"/>
  <c r="S49" i="2"/>
  <c r="R49" i="2"/>
  <c r="Q49" i="2"/>
  <c r="P49" i="2"/>
  <c r="O49" i="2"/>
  <c r="N49" i="2"/>
  <c r="N48" i="2" s="1"/>
  <c r="M49" i="2"/>
  <c r="L49" i="2"/>
  <c r="K49" i="2"/>
  <c r="J49" i="2"/>
  <c r="I49" i="2"/>
  <c r="H49" i="2"/>
  <c r="G49" i="2"/>
  <c r="F49" i="2"/>
  <c r="E49" i="2"/>
  <c r="D49" i="2"/>
  <c r="C49" i="2"/>
  <c r="B49" i="2"/>
  <c r="S48" i="2"/>
  <c r="R48" i="2"/>
  <c r="P48" i="2"/>
  <c r="K48" i="2"/>
  <c r="J48" i="2"/>
  <c r="H48" i="2"/>
  <c r="C48" i="2"/>
  <c r="B48" i="2"/>
  <c r="A48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U43" i="2"/>
  <c r="T43" i="2"/>
  <c r="M43" i="2"/>
  <c r="L43" i="2"/>
  <c r="E43" i="2"/>
  <c r="D43" i="2"/>
  <c r="A43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H39" i="2" s="1"/>
  <c r="G42" i="2"/>
  <c r="F42" i="2"/>
  <c r="E42" i="2"/>
  <c r="D42" i="2"/>
  <c r="C42" i="2"/>
  <c r="C194" i="2" s="1"/>
  <c r="B42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W40" i="2"/>
  <c r="V40" i="2"/>
  <c r="U40" i="2"/>
  <c r="T40" i="2"/>
  <c r="S40" i="2"/>
  <c r="S39" i="2" s="1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Q39" i="2"/>
  <c r="P39" i="2"/>
  <c r="I39" i="2"/>
  <c r="C39" i="2"/>
  <c r="A39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W37" i="2"/>
  <c r="V37" i="2"/>
  <c r="U37" i="2"/>
  <c r="T37" i="2"/>
  <c r="S37" i="2"/>
  <c r="R37" i="2"/>
  <c r="Q37" i="2"/>
  <c r="P37" i="2"/>
  <c r="O37" i="2"/>
  <c r="O35" i="2" s="1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W36" i="2"/>
  <c r="V36" i="2"/>
  <c r="U36" i="2"/>
  <c r="U35" i="2" s="1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E35" i="2" s="1"/>
  <c r="D36" i="2"/>
  <c r="C36" i="2"/>
  <c r="B36" i="2"/>
  <c r="T35" i="2"/>
  <c r="M35" i="2"/>
  <c r="L35" i="2"/>
  <c r="D35" i="2"/>
  <c r="A35" i="2"/>
  <c r="W31" i="2"/>
  <c r="V31" i="2"/>
  <c r="U31" i="2"/>
  <c r="T31" i="2"/>
  <c r="S31" i="2"/>
  <c r="R31" i="2"/>
  <c r="Q31" i="2"/>
  <c r="Q243" i="2" s="1"/>
  <c r="P31" i="2"/>
  <c r="O31" i="2"/>
  <c r="N31" i="2"/>
  <c r="M31" i="2"/>
  <c r="M243" i="2" s="1"/>
  <c r="L31" i="2"/>
  <c r="K31" i="2"/>
  <c r="J31" i="2"/>
  <c r="I31" i="2"/>
  <c r="H31" i="2"/>
  <c r="G31" i="2"/>
  <c r="F31" i="2"/>
  <c r="E31" i="2"/>
  <c r="E243" i="2" s="1"/>
  <c r="D31" i="2"/>
  <c r="C31" i="2"/>
  <c r="B31" i="2"/>
  <c r="W30" i="2"/>
  <c r="W29" i="2" s="1"/>
  <c r="V30" i="2"/>
  <c r="U30" i="2"/>
  <c r="T30" i="2"/>
  <c r="S30" i="2"/>
  <c r="R30" i="2"/>
  <c r="Q30" i="2"/>
  <c r="Q242" i="2" s="1"/>
  <c r="P30" i="2"/>
  <c r="O30" i="2"/>
  <c r="O29" i="2" s="1"/>
  <c r="N30" i="2"/>
  <c r="M30" i="2"/>
  <c r="L30" i="2"/>
  <c r="K30" i="2"/>
  <c r="K242" i="2" s="1"/>
  <c r="J30" i="2"/>
  <c r="I30" i="2"/>
  <c r="I242" i="2" s="1"/>
  <c r="H30" i="2"/>
  <c r="G30" i="2"/>
  <c r="G29" i="2" s="1"/>
  <c r="F30" i="2"/>
  <c r="E30" i="2"/>
  <c r="D30" i="2"/>
  <c r="C30" i="2"/>
  <c r="C242" i="2" s="1"/>
  <c r="B30" i="2"/>
  <c r="V29" i="2"/>
  <c r="U29" i="2"/>
  <c r="S29" i="2"/>
  <c r="N29" i="2"/>
  <c r="M29" i="2"/>
  <c r="H29" i="2"/>
  <c r="F29" i="2"/>
  <c r="E29" i="2"/>
  <c r="W28" i="2"/>
  <c r="V28" i="2"/>
  <c r="U28" i="2"/>
  <c r="T28" i="2"/>
  <c r="S28" i="2"/>
  <c r="R28" i="2"/>
  <c r="R26" i="2" s="1"/>
  <c r="Q28" i="2"/>
  <c r="P28" i="2"/>
  <c r="P240" i="2" s="1"/>
  <c r="O28" i="2"/>
  <c r="N28" i="2"/>
  <c r="M28" i="2"/>
  <c r="L28" i="2"/>
  <c r="K28" i="2"/>
  <c r="J28" i="2"/>
  <c r="J26" i="2" s="1"/>
  <c r="I28" i="2"/>
  <c r="H28" i="2"/>
  <c r="G28" i="2"/>
  <c r="F28" i="2"/>
  <c r="E28" i="2"/>
  <c r="D28" i="2"/>
  <c r="C28" i="2"/>
  <c r="B28" i="2"/>
  <c r="A28" i="2"/>
  <c r="A150" i="2" s="1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57" i="2" s="1"/>
  <c r="W26" i="2"/>
  <c r="O26" i="2"/>
  <c r="L26" i="2"/>
  <c r="G26" i="2"/>
  <c r="B26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W23" i="2"/>
  <c r="V23" i="2"/>
  <c r="U23" i="2"/>
  <c r="T23" i="2"/>
  <c r="T22" i="2" s="1"/>
  <c r="S23" i="2"/>
  <c r="R23" i="2"/>
  <c r="Q23" i="2"/>
  <c r="P23" i="2"/>
  <c r="O23" i="2"/>
  <c r="N23" i="2"/>
  <c r="M23" i="2"/>
  <c r="L23" i="2"/>
  <c r="L22" i="2" s="1"/>
  <c r="K23" i="2"/>
  <c r="J23" i="2"/>
  <c r="I23" i="2"/>
  <c r="H23" i="2"/>
  <c r="G23" i="2"/>
  <c r="F23" i="2"/>
  <c r="E23" i="2"/>
  <c r="D23" i="2"/>
  <c r="C23" i="2"/>
  <c r="B23" i="2"/>
  <c r="R22" i="2"/>
  <c r="I22" i="2"/>
  <c r="D22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T18" i="2"/>
  <c r="S18" i="2"/>
  <c r="Q18" i="2"/>
  <c r="N18" i="2"/>
  <c r="L18" i="2"/>
  <c r="K18" i="2"/>
  <c r="I18" i="2"/>
  <c r="D18" i="2"/>
  <c r="C18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R13" i="2"/>
  <c r="Q13" i="2"/>
  <c r="J13" i="2"/>
  <c r="I13" i="2"/>
  <c r="D13" i="2"/>
  <c r="B13" i="2"/>
  <c r="W12" i="2"/>
  <c r="V12" i="2"/>
  <c r="U12" i="2"/>
  <c r="U224" i="2" s="1"/>
  <c r="T12" i="2"/>
  <c r="S12" i="2"/>
  <c r="S224" i="2" s="1"/>
  <c r="R12" i="2"/>
  <c r="Q12" i="2"/>
  <c r="P12" i="2"/>
  <c r="O12" i="2"/>
  <c r="N12" i="2"/>
  <c r="M12" i="2"/>
  <c r="M224" i="2" s="1"/>
  <c r="L12" i="2"/>
  <c r="K12" i="2"/>
  <c r="K224" i="2" s="1"/>
  <c r="J12" i="2"/>
  <c r="I12" i="2"/>
  <c r="H12" i="2"/>
  <c r="G12" i="2"/>
  <c r="F12" i="2"/>
  <c r="E12" i="2"/>
  <c r="E224" i="2" s="1"/>
  <c r="D12" i="2"/>
  <c r="C12" i="2"/>
  <c r="C224" i="2" s="1"/>
  <c r="B12" i="2"/>
  <c r="A12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102" i="2" s="1"/>
  <c r="U9" i="2"/>
  <c r="T9" i="2"/>
  <c r="O9" i="2"/>
  <c r="M9" i="2"/>
  <c r="L9" i="2"/>
  <c r="E9" i="2"/>
  <c r="D9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38" i="2" s="1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37" i="2" s="1"/>
  <c r="W6" i="2"/>
  <c r="V6" i="2"/>
  <c r="U6" i="2"/>
  <c r="T6" i="2"/>
  <c r="S6" i="2"/>
  <c r="R6" i="2"/>
  <c r="Q6" i="2"/>
  <c r="P6" i="2"/>
  <c r="P5" i="2" s="1"/>
  <c r="O6" i="2"/>
  <c r="O5" i="2" s="1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J5" i="2"/>
  <c r="B5" i="2"/>
  <c r="W218" i="2" l="1"/>
  <c r="W5" i="2"/>
  <c r="K104" i="2"/>
  <c r="G5" i="2"/>
  <c r="E226" i="2"/>
  <c r="M226" i="2"/>
  <c r="U226" i="2"/>
  <c r="I228" i="2"/>
  <c r="Q228" i="2"/>
  <c r="I26" i="2"/>
  <c r="I17" i="2" s="1"/>
  <c r="S242" i="2"/>
  <c r="S122" i="2"/>
  <c r="A58" i="2"/>
  <c r="I69" i="2"/>
  <c r="S104" i="2"/>
  <c r="H5" i="2"/>
  <c r="E218" i="2"/>
  <c r="M218" i="2"/>
  <c r="U218" i="2"/>
  <c r="F219" i="2"/>
  <c r="N219" i="2"/>
  <c r="V219" i="2"/>
  <c r="G220" i="2"/>
  <c r="O220" i="2"/>
  <c r="W220" i="2"/>
  <c r="I222" i="2"/>
  <c r="Q222" i="2"/>
  <c r="B223" i="2"/>
  <c r="J223" i="2"/>
  <c r="R223" i="2"/>
  <c r="Q22" i="2"/>
  <c r="Q17" i="2" s="1"/>
  <c r="I236" i="2"/>
  <c r="I116" i="2"/>
  <c r="Q236" i="2"/>
  <c r="K29" i="2"/>
  <c r="G226" i="2"/>
  <c r="O226" i="2"/>
  <c r="W226" i="2"/>
  <c r="H235" i="2"/>
  <c r="P235" i="2"/>
  <c r="D237" i="2"/>
  <c r="L237" i="2"/>
  <c r="T237" i="2"/>
  <c r="C78" i="2"/>
  <c r="H219" i="2"/>
  <c r="P219" i="2"/>
  <c r="I220" i="2"/>
  <c r="Q220" i="2"/>
  <c r="C222" i="2"/>
  <c r="K222" i="2"/>
  <c r="S222" i="2"/>
  <c r="D223" i="2"/>
  <c r="L223" i="2"/>
  <c r="T223" i="2"/>
  <c r="E233" i="2"/>
  <c r="M233" i="2"/>
  <c r="U233" i="2"/>
  <c r="C236" i="2"/>
  <c r="K236" i="2"/>
  <c r="S236" i="2"/>
  <c r="O43" i="2"/>
  <c r="G69" i="2"/>
  <c r="F182" i="2"/>
  <c r="T13" i="2"/>
  <c r="C231" i="2"/>
  <c r="K231" i="2"/>
  <c r="S231" i="2"/>
  <c r="D232" i="2"/>
  <c r="L232" i="2"/>
  <c r="T232" i="2"/>
  <c r="B235" i="2"/>
  <c r="J235" i="2"/>
  <c r="R235" i="2"/>
  <c r="Q26" i="2"/>
  <c r="I29" i="2"/>
  <c r="G233" i="2"/>
  <c r="O233" i="2"/>
  <c r="W233" i="2"/>
  <c r="C22" i="2"/>
  <c r="C204" i="2" s="1"/>
  <c r="K22" i="2"/>
  <c r="S22" i="2"/>
  <c r="G22" i="2"/>
  <c r="O22" i="2"/>
  <c r="O204" i="2" s="1"/>
  <c r="W22" i="2"/>
  <c r="G239" i="2"/>
  <c r="O239" i="2"/>
  <c r="W239" i="2"/>
  <c r="H240" i="2"/>
  <c r="H120" i="2"/>
  <c r="C29" i="2"/>
  <c r="J43" i="2"/>
  <c r="J195" i="2" s="1"/>
  <c r="R43" i="2"/>
  <c r="I89" i="2"/>
  <c r="I181" i="2" s="1"/>
  <c r="O218" i="2"/>
  <c r="C13" i="2"/>
  <c r="C225" i="2" s="1"/>
  <c r="K13" i="2"/>
  <c r="S13" i="2"/>
  <c r="E13" i="2"/>
  <c r="M13" i="2"/>
  <c r="U13" i="2"/>
  <c r="G228" i="2"/>
  <c r="O228" i="2"/>
  <c r="W228" i="2"/>
  <c r="C243" i="2"/>
  <c r="C123" i="2"/>
  <c r="L52" i="2"/>
  <c r="T52" i="2"/>
  <c r="T204" i="2" s="1"/>
  <c r="C218" i="2"/>
  <c r="C5" i="2"/>
  <c r="D219" i="2"/>
  <c r="U220" i="2"/>
  <c r="U5" i="2"/>
  <c r="H121" i="2"/>
  <c r="D243" i="2"/>
  <c r="F188" i="2"/>
  <c r="F35" i="2"/>
  <c r="F196" i="2"/>
  <c r="F43" i="2"/>
  <c r="W197" i="2"/>
  <c r="V222" i="2"/>
  <c r="V9" i="2"/>
  <c r="P224" i="2"/>
  <c r="P104" i="2"/>
  <c r="T234" i="2"/>
  <c r="D240" i="2"/>
  <c r="D120" i="2"/>
  <c r="J190" i="2"/>
  <c r="J35" i="2"/>
  <c r="I218" i="2"/>
  <c r="I5" i="2"/>
  <c r="B219" i="2"/>
  <c r="C220" i="2"/>
  <c r="K220" i="2"/>
  <c r="S220" i="2"/>
  <c r="L234" i="2"/>
  <c r="F235" i="2"/>
  <c r="F22" i="2"/>
  <c r="N235" i="2"/>
  <c r="N22" i="2"/>
  <c r="N204" i="2" s="1"/>
  <c r="V235" i="2"/>
  <c r="V22" i="2"/>
  <c r="H236" i="2"/>
  <c r="H22" i="2"/>
  <c r="P236" i="2"/>
  <c r="P22" i="2"/>
  <c r="B237" i="2"/>
  <c r="J237" i="2"/>
  <c r="R237" i="2"/>
  <c r="H242" i="2"/>
  <c r="H122" i="2"/>
  <c r="P242" i="2"/>
  <c r="B243" i="2"/>
  <c r="J243" i="2"/>
  <c r="R243" i="2"/>
  <c r="R123" i="2"/>
  <c r="C193" i="2"/>
  <c r="K193" i="2"/>
  <c r="S193" i="2"/>
  <c r="M195" i="2"/>
  <c r="D201" i="2"/>
  <c r="D48" i="2"/>
  <c r="L201" i="2"/>
  <c r="L48" i="2"/>
  <c r="T201" i="2"/>
  <c r="T48" i="2"/>
  <c r="K204" i="2"/>
  <c r="S204" i="2"/>
  <c r="L204" i="2"/>
  <c r="M208" i="2"/>
  <c r="F209" i="2"/>
  <c r="F56" i="2"/>
  <c r="N209" i="2"/>
  <c r="N56" i="2"/>
  <c r="V209" i="2"/>
  <c r="V56" i="2"/>
  <c r="V47" i="2" s="1"/>
  <c r="G210" i="2"/>
  <c r="G150" i="2"/>
  <c r="G56" i="2"/>
  <c r="O210" i="2"/>
  <c r="O150" i="2"/>
  <c r="O56" i="2"/>
  <c r="W210" i="2"/>
  <c r="W150" i="2"/>
  <c r="W56" i="2"/>
  <c r="K218" i="2"/>
  <c r="K5" i="2"/>
  <c r="L219" i="2"/>
  <c r="O221" i="2"/>
  <c r="L243" i="2"/>
  <c r="W189" i="2"/>
  <c r="U193" i="2"/>
  <c r="U39" i="2"/>
  <c r="U34" i="2" s="1"/>
  <c r="V196" i="2"/>
  <c r="V43" i="2"/>
  <c r="G204" i="2"/>
  <c r="F222" i="2"/>
  <c r="F9" i="2"/>
  <c r="W223" i="2"/>
  <c r="S239" i="2"/>
  <c r="S26" i="2"/>
  <c r="S17" i="2" s="1"/>
  <c r="R190" i="2"/>
  <c r="R35" i="2"/>
  <c r="U195" i="2"/>
  <c r="I211" i="2"/>
  <c r="I151" i="2"/>
  <c r="A218" i="2"/>
  <c r="A188" i="2"/>
  <c r="A158" i="2"/>
  <c r="A98" i="2"/>
  <c r="A66" i="2"/>
  <c r="A36" i="2"/>
  <c r="A128" i="2"/>
  <c r="Q218" i="2"/>
  <c r="Q5" i="2"/>
  <c r="J219" i="2"/>
  <c r="R219" i="2"/>
  <c r="M221" i="2"/>
  <c r="R225" i="2"/>
  <c r="L17" i="2"/>
  <c r="F241" i="2"/>
  <c r="F121" i="2"/>
  <c r="V241" i="2"/>
  <c r="V121" i="2"/>
  <c r="H190" i="2"/>
  <c r="P190" i="2"/>
  <c r="B192" i="2"/>
  <c r="B132" i="2"/>
  <c r="B39" i="2"/>
  <c r="J192" i="2"/>
  <c r="J39" i="2"/>
  <c r="R192" i="2"/>
  <c r="R39" i="2"/>
  <c r="F194" i="2"/>
  <c r="F134" i="2"/>
  <c r="F39" i="2"/>
  <c r="N194" i="2"/>
  <c r="N134" i="2"/>
  <c r="N39" i="2"/>
  <c r="V194" i="2"/>
  <c r="V134" i="2"/>
  <c r="V39" i="2"/>
  <c r="B212" i="2"/>
  <c r="B59" i="2"/>
  <c r="J212" i="2"/>
  <c r="J59" i="2"/>
  <c r="J152" i="2" s="1"/>
  <c r="R212" i="2"/>
  <c r="R59" i="2"/>
  <c r="R153" i="2" s="1"/>
  <c r="C213" i="2"/>
  <c r="C153" i="2"/>
  <c r="C59" i="2"/>
  <c r="K213" i="2"/>
  <c r="K59" i="2"/>
  <c r="K153" i="2" s="1"/>
  <c r="S213" i="2"/>
  <c r="S59" i="2"/>
  <c r="S218" i="2"/>
  <c r="S5" i="2"/>
  <c r="J238" i="2"/>
  <c r="G189" i="2"/>
  <c r="H198" i="2"/>
  <c r="G223" i="2"/>
  <c r="D192" i="2"/>
  <c r="D39" i="2"/>
  <c r="K225" i="2"/>
  <c r="S225" i="2"/>
  <c r="E225" i="2"/>
  <c r="M225" i="2"/>
  <c r="U225" i="2"/>
  <c r="E231" i="2"/>
  <c r="E18" i="2"/>
  <c r="M231" i="2"/>
  <c r="M18" i="2"/>
  <c r="U231" i="2"/>
  <c r="U18" i="2"/>
  <c r="F232" i="2"/>
  <c r="N232" i="2"/>
  <c r="V232" i="2"/>
  <c r="H233" i="2"/>
  <c r="P233" i="2"/>
  <c r="B22" i="2"/>
  <c r="U187" i="2"/>
  <c r="H188" i="2"/>
  <c r="H35" i="2"/>
  <c r="P188" i="2"/>
  <c r="P35" i="2"/>
  <c r="I189" i="2"/>
  <c r="I35" i="2"/>
  <c r="Q189" i="2"/>
  <c r="Q35" i="2"/>
  <c r="W43" i="2"/>
  <c r="H196" i="2"/>
  <c r="H43" i="2"/>
  <c r="P196" i="2"/>
  <c r="P43" i="2"/>
  <c r="I197" i="2"/>
  <c r="Q197" i="2"/>
  <c r="R195" i="2"/>
  <c r="M220" i="2"/>
  <c r="M5" i="2"/>
  <c r="M187" i="2" s="1"/>
  <c r="R242" i="2"/>
  <c r="R122" i="2"/>
  <c r="R29" i="2"/>
  <c r="V188" i="2"/>
  <c r="V35" i="2"/>
  <c r="O197" i="2"/>
  <c r="B225" i="2"/>
  <c r="K239" i="2"/>
  <c r="K26" i="2"/>
  <c r="B190" i="2"/>
  <c r="B35" i="2"/>
  <c r="U221" i="2"/>
  <c r="W9" i="2"/>
  <c r="H222" i="2"/>
  <c r="H9" i="2"/>
  <c r="I223" i="2"/>
  <c r="Q223" i="2"/>
  <c r="B224" i="2"/>
  <c r="B104" i="2"/>
  <c r="B9" i="2"/>
  <c r="J224" i="2"/>
  <c r="J104" i="2"/>
  <c r="J9" i="2"/>
  <c r="R224" i="2"/>
  <c r="R104" i="2"/>
  <c r="R9" i="2"/>
  <c r="D226" i="2"/>
  <c r="L226" i="2"/>
  <c r="T226" i="2"/>
  <c r="F227" i="2"/>
  <c r="N227" i="2"/>
  <c r="V227" i="2"/>
  <c r="H228" i="2"/>
  <c r="P228" i="2"/>
  <c r="D234" i="2"/>
  <c r="W234" i="2"/>
  <c r="E239" i="2"/>
  <c r="E26" i="2"/>
  <c r="E208" i="2" s="1"/>
  <c r="M239" i="2"/>
  <c r="M26" i="2"/>
  <c r="U239" i="2"/>
  <c r="U26" i="2"/>
  <c r="U208" i="2" s="1"/>
  <c r="F240" i="2"/>
  <c r="F26" i="2"/>
  <c r="F120" i="2"/>
  <c r="N240" i="2"/>
  <c r="N26" i="2"/>
  <c r="N120" i="2"/>
  <c r="V240" i="2"/>
  <c r="V120" i="2"/>
  <c r="V26" i="2"/>
  <c r="N241" i="2"/>
  <c r="N121" i="2"/>
  <c r="W35" i="2"/>
  <c r="K39" i="2"/>
  <c r="E195" i="2"/>
  <c r="S200" i="2"/>
  <c r="H204" i="2"/>
  <c r="G65" i="2"/>
  <c r="E220" i="2"/>
  <c r="E5" i="2"/>
  <c r="J242" i="2"/>
  <c r="J29" i="2"/>
  <c r="J122" i="2" s="1"/>
  <c r="O187" i="2"/>
  <c r="O189" i="2"/>
  <c r="M193" i="2"/>
  <c r="M39" i="2"/>
  <c r="M34" i="2" s="1"/>
  <c r="G197" i="2"/>
  <c r="N200" i="2"/>
  <c r="N47" i="2"/>
  <c r="N149" i="2" s="1"/>
  <c r="O223" i="2"/>
  <c r="L240" i="2"/>
  <c r="L120" i="2"/>
  <c r="T192" i="2"/>
  <c r="T39" i="2"/>
  <c r="T151" i="2"/>
  <c r="A223" i="2"/>
  <c r="A193" i="2"/>
  <c r="A163" i="2"/>
  <c r="A133" i="2"/>
  <c r="A103" i="2"/>
  <c r="A71" i="2"/>
  <c r="A41" i="2"/>
  <c r="R5" i="2"/>
  <c r="E221" i="2"/>
  <c r="J225" i="2"/>
  <c r="G231" i="2"/>
  <c r="G18" i="2"/>
  <c r="O231" i="2"/>
  <c r="O18" i="2"/>
  <c r="W231" i="2"/>
  <c r="W18" i="2"/>
  <c r="H232" i="2"/>
  <c r="H18" i="2"/>
  <c r="P232" i="2"/>
  <c r="P18" i="2"/>
  <c r="B233" i="2"/>
  <c r="J233" i="2"/>
  <c r="R233" i="2"/>
  <c r="D235" i="2"/>
  <c r="L235" i="2"/>
  <c r="T235" i="2"/>
  <c r="F236" i="2"/>
  <c r="N236" i="2"/>
  <c r="V236" i="2"/>
  <c r="H237" i="2"/>
  <c r="P237" i="2"/>
  <c r="B238" i="2"/>
  <c r="R238" i="2"/>
  <c r="P29" i="2"/>
  <c r="P211" i="2" s="1"/>
  <c r="E187" i="2"/>
  <c r="G43" i="2"/>
  <c r="W204" i="2"/>
  <c r="I205" i="2"/>
  <c r="I52" i="2"/>
  <c r="Q205" i="2"/>
  <c r="Q52" i="2"/>
  <c r="B206" i="2"/>
  <c r="B52" i="2"/>
  <c r="J206" i="2"/>
  <c r="J52" i="2"/>
  <c r="R206" i="2"/>
  <c r="R52" i="2"/>
  <c r="C207" i="2"/>
  <c r="K207" i="2"/>
  <c r="S207" i="2"/>
  <c r="Q151" i="2"/>
  <c r="H217" i="2"/>
  <c r="T219" i="2"/>
  <c r="B242" i="2"/>
  <c r="B122" i="2"/>
  <c r="B29" i="2"/>
  <c r="B123" i="2" s="1"/>
  <c r="T243" i="2"/>
  <c r="N188" i="2"/>
  <c r="N35" i="2"/>
  <c r="E193" i="2"/>
  <c r="E39" i="2"/>
  <c r="N196" i="2"/>
  <c r="N43" i="2"/>
  <c r="P198" i="2"/>
  <c r="K200" i="2"/>
  <c r="N222" i="2"/>
  <c r="N9" i="2"/>
  <c r="H224" i="2"/>
  <c r="H104" i="2"/>
  <c r="N230" i="2"/>
  <c r="C239" i="2"/>
  <c r="C26" i="2"/>
  <c r="T240" i="2"/>
  <c r="T120" i="2"/>
  <c r="L192" i="2"/>
  <c r="L39" i="2"/>
  <c r="D151" i="2"/>
  <c r="P217" i="2"/>
  <c r="P222" i="2"/>
  <c r="P9" i="2"/>
  <c r="G9" i="2"/>
  <c r="L13" i="2"/>
  <c r="F226" i="2"/>
  <c r="F13" i="2"/>
  <c r="N226" i="2"/>
  <c r="N13" i="2"/>
  <c r="V226" i="2"/>
  <c r="V13" i="2"/>
  <c r="H227" i="2"/>
  <c r="H13" i="2"/>
  <c r="P227" i="2"/>
  <c r="P13" i="2"/>
  <c r="B228" i="2"/>
  <c r="J228" i="2"/>
  <c r="R228" i="2"/>
  <c r="F18" i="2"/>
  <c r="V18" i="2"/>
  <c r="J22" i="2"/>
  <c r="D26" i="2"/>
  <c r="T26" i="2"/>
  <c r="T17" i="2" s="1"/>
  <c r="G241" i="2"/>
  <c r="G121" i="2"/>
  <c r="O241" i="2"/>
  <c r="O121" i="2"/>
  <c r="W241" i="2"/>
  <c r="W121" i="2"/>
  <c r="I241" i="2"/>
  <c r="I121" i="2"/>
  <c r="G35" i="2"/>
  <c r="D194" i="2"/>
  <c r="D134" i="2"/>
  <c r="L194" i="2"/>
  <c r="L134" i="2"/>
  <c r="T194" i="2"/>
  <c r="T134" i="2"/>
  <c r="C200" i="2"/>
  <c r="E202" i="2"/>
  <c r="E48" i="2"/>
  <c r="M202" i="2"/>
  <c r="M48" i="2"/>
  <c r="U202" i="2"/>
  <c r="U48" i="2"/>
  <c r="F203" i="2"/>
  <c r="N203" i="2"/>
  <c r="N143" i="2"/>
  <c r="V203" i="2"/>
  <c r="V143" i="2"/>
  <c r="M156" i="2"/>
  <c r="M161" i="2"/>
  <c r="I157" i="2"/>
  <c r="I64" i="2"/>
  <c r="I156" i="2" s="1"/>
  <c r="D164" i="2"/>
  <c r="D69" i="2"/>
  <c r="L164" i="2"/>
  <c r="L69" i="2"/>
  <c r="T164" i="2"/>
  <c r="T69" i="2"/>
  <c r="B78" i="2"/>
  <c r="J78" i="2"/>
  <c r="R78" i="2"/>
  <c r="D86" i="2"/>
  <c r="L86" i="2"/>
  <c r="T86" i="2"/>
  <c r="B218" i="2"/>
  <c r="J218" i="2"/>
  <c r="R218" i="2"/>
  <c r="C219" i="2"/>
  <c r="K219" i="2"/>
  <c r="S219" i="2"/>
  <c r="D220" i="2"/>
  <c r="L220" i="2"/>
  <c r="T220" i="2"/>
  <c r="G222" i="2"/>
  <c r="O222" i="2"/>
  <c r="W222" i="2"/>
  <c r="H223" i="2"/>
  <c r="P223" i="2"/>
  <c r="A224" i="2"/>
  <c r="A194" i="2"/>
  <c r="A164" i="2"/>
  <c r="A134" i="2"/>
  <c r="A72" i="2"/>
  <c r="A104" i="2"/>
  <c r="I224" i="2"/>
  <c r="I104" i="2"/>
  <c r="Q224" i="2"/>
  <c r="Q104" i="2"/>
  <c r="G227" i="2"/>
  <c r="O227" i="2"/>
  <c r="W227" i="2"/>
  <c r="F231" i="2"/>
  <c r="N231" i="2"/>
  <c r="V231" i="2"/>
  <c r="G232" i="2"/>
  <c r="O232" i="2"/>
  <c r="W232" i="2"/>
  <c r="I233" i="2"/>
  <c r="I113" i="2"/>
  <c r="Q233" i="2"/>
  <c r="E235" i="2"/>
  <c r="M235" i="2"/>
  <c r="U235" i="2"/>
  <c r="G236" i="2"/>
  <c r="O236" i="2"/>
  <c r="W236" i="2"/>
  <c r="I237" i="2"/>
  <c r="I117" i="2"/>
  <c r="Q237" i="2"/>
  <c r="D239" i="2"/>
  <c r="L239" i="2"/>
  <c r="T239" i="2"/>
  <c r="E240" i="2"/>
  <c r="E120" i="2"/>
  <c r="M240" i="2"/>
  <c r="M120" i="2"/>
  <c r="U240" i="2"/>
  <c r="U120" i="2"/>
  <c r="K243" i="2"/>
  <c r="K123" i="2"/>
  <c r="S243" i="2"/>
  <c r="S123" i="2"/>
  <c r="G188" i="2"/>
  <c r="O188" i="2"/>
  <c r="W188" i="2"/>
  <c r="H189" i="2"/>
  <c r="P189" i="2"/>
  <c r="I190" i="2"/>
  <c r="Q190" i="2"/>
  <c r="C192" i="2"/>
  <c r="C132" i="2"/>
  <c r="K192" i="2"/>
  <c r="S192" i="2"/>
  <c r="D193" i="2"/>
  <c r="L193" i="2"/>
  <c r="T193" i="2"/>
  <c r="E194" i="2"/>
  <c r="E134" i="2"/>
  <c r="M194" i="2"/>
  <c r="M134" i="2"/>
  <c r="U194" i="2"/>
  <c r="U134" i="2"/>
  <c r="G196" i="2"/>
  <c r="O196" i="2"/>
  <c r="W196" i="2"/>
  <c r="H197" i="2"/>
  <c r="P197" i="2"/>
  <c r="I198" i="2"/>
  <c r="Q198" i="2"/>
  <c r="E201" i="2"/>
  <c r="M201" i="2"/>
  <c r="U201" i="2"/>
  <c r="F202" i="2"/>
  <c r="N202" i="2"/>
  <c r="N142" i="2"/>
  <c r="V202" i="2"/>
  <c r="G203" i="2"/>
  <c r="O203" i="2"/>
  <c r="W203" i="2"/>
  <c r="P52" i="2"/>
  <c r="B205" i="2"/>
  <c r="J205" i="2"/>
  <c r="R205" i="2"/>
  <c r="C206" i="2"/>
  <c r="K206" i="2"/>
  <c r="S206" i="2"/>
  <c r="D207" i="2"/>
  <c r="L207" i="2"/>
  <c r="T207" i="2"/>
  <c r="G209" i="2"/>
  <c r="O209" i="2"/>
  <c r="W209" i="2"/>
  <c r="H210" i="2"/>
  <c r="H150" i="2"/>
  <c r="P210" i="2"/>
  <c r="P150" i="2"/>
  <c r="C212" i="2"/>
  <c r="C152" i="2"/>
  <c r="K212" i="2"/>
  <c r="K152" i="2"/>
  <c r="S212" i="2"/>
  <c r="S152" i="2"/>
  <c r="D213" i="2"/>
  <c r="D153" i="2"/>
  <c r="L213" i="2"/>
  <c r="T213" i="2"/>
  <c r="T153" i="2"/>
  <c r="B162" i="2"/>
  <c r="B69" i="2"/>
  <c r="J162" i="2"/>
  <c r="J69" i="2"/>
  <c r="R162" i="2"/>
  <c r="R69" i="2"/>
  <c r="C69" i="2"/>
  <c r="K69" i="2"/>
  <c r="S69" i="2"/>
  <c r="E78" i="2"/>
  <c r="M78" i="2"/>
  <c r="U78" i="2"/>
  <c r="G180" i="2"/>
  <c r="G86" i="2"/>
  <c r="O180" i="2"/>
  <c r="O86" i="2"/>
  <c r="W180" i="2"/>
  <c r="W86" i="2"/>
  <c r="B182" i="2"/>
  <c r="B89" i="2"/>
  <c r="B181" i="2" s="1"/>
  <c r="J89" i="2"/>
  <c r="J181" i="2" s="1"/>
  <c r="R89" i="2"/>
  <c r="R181" i="2" s="1"/>
  <c r="C89" i="2"/>
  <c r="C181" i="2" s="1"/>
  <c r="K89" i="2"/>
  <c r="K181" i="2" s="1"/>
  <c r="S89" i="2"/>
  <c r="S181" i="2" s="1"/>
  <c r="M104" i="2"/>
  <c r="F201" i="2"/>
  <c r="L212" i="2"/>
  <c r="M213" i="2"/>
  <c r="L78" i="2"/>
  <c r="H82" i="2"/>
  <c r="F86" i="2"/>
  <c r="D218" i="2"/>
  <c r="T218" i="2"/>
  <c r="M219" i="2"/>
  <c r="U219" i="2"/>
  <c r="F220" i="2"/>
  <c r="V220" i="2"/>
  <c r="A222" i="2"/>
  <c r="A192" i="2"/>
  <c r="A162" i="2"/>
  <c r="A132" i="2"/>
  <c r="A70" i="2"/>
  <c r="I227" i="2"/>
  <c r="Q227" i="2"/>
  <c r="C228" i="2"/>
  <c r="K228" i="2"/>
  <c r="S228" i="2"/>
  <c r="H231" i="2"/>
  <c r="P231" i="2"/>
  <c r="A232" i="2"/>
  <c r="A202" i="2"/>
  <c r="A142" i="2"/>
  <c r="A80" i="2"/>
  <c r="A112" i="2"/>
  <c r="I232" i="2"/>
  <c r="I112" i="2"/>
  <c r="Q232" i="2"/>
  <c r="C233" i="2"/>
  <c r="K233" i="2"/>
  <c r="S233" i="2"/>
  <c r="E22" i="2"/>
  <c r="M22" i="2"/>
  <c r="U22" i="2"/>
  <c r="G235" i="2"/>
  <c r="O235" i="2"/>
  <c r="W235" i="2"/>
  <c r="C237" i="2"/>
  <c r="K237" i="2"/>
  <c r="S237" i="2"/>
  <c r="F239" i="2"/>
  <c r="N239" i="2"/>
  <c r="V239" i="2"/>
  <c r="G240" i="2"/>
  <c r="G120" i="2"/>
  <c r="O240" i="2"/>
  <c r="O120" i="2"/>
  <c r="W240" i="2"/>
  <c r="W120" i="2"/>
  <c r="Q29" i="2"/>
  <c r="U243" i="2"/>
  <c r="U123" i="2"/>
  <c r="I188" i="2"/>
  <c r="Q188" i="2"/>
  <c r="B189" i="2"/>
  <c r="J189" i="2"/>
  <c r="R189" i="2"/>
  <c r="C190" i="2"/>
  <c r="K190" i="2"/>
  <c r="S190" i="2"/>
  <c r="E192" i="2"/>
  <c r="M192" i="2"/>
  <c r="U192" i="2"/>
  <c r="F193" i="2"/>
  <c r="N193" i="2"/>
  <c r="V193" i="2"/>
  <c r="G194" i="2"/>
  <c r="G134" i="2"/>
  <c r="O194" i="2"/>
  <c r="O134" i="2"/>
  <c r="W194" i="2"/>
  <c r="W134" i="2"/>
  <c r="I196" i="2"/>
  <c r="Q196" i="2"/>
  <c r="B197" i="2"/>
  <c r="J197" i="2"/>
  <c r="R197" i="2"/>
  <c r="C198" i="2"/>
  <c r="K198" i="2"/>
  <c r="S198" i="2"/>
  <c r="F48" i="2"/>
  <c r="G201" i="2"/>
  <c r="O201" i="2"/>
  <c r="W201" i="2"/>
  <c r="H202" i="2"/>
  <c r="P202" i="2"/>
  <c r="I203" i="2"/>
  <c r="Q203" i="2"/>
  <c r="D205" i="2"/>
  <c r="L205" i="2"/>
  <c r="T205" i="2"/>
  <c r="E206" i="2"/>
  <c r="M206" i="2"/>
  <c r="U206" i="2"/>
  <c r="F207" i="2"/>
  <c r="N207" i="2"/>
  <c r="N147" i="2"/>
  <c r="V207" i="2"/>
  <c r="I209" i="2"/>
  <c r="Q209" i="2"/>
  <c r="B210" i="2"/>
  <c r="B150" i="2"/>
  <c r="J210" i="2"/>
  <c r="J150" i="2"/>
  <c r="R210" i="2"/>
  <c r="R150" i="2"/>
  <c r="L59" i="2"/>
  <c r="E212" i="2"/>
  <c r="M212" i="2"/>
  <c r="U212" i="2"/>
  <c r="F213" i="2"/>
  <c r="F153" i="2"/>
  <c r="N213" i="2"/>
  <c r="N153" i="2"/>
  <c r="V213" i="2"/>
  <c r="V153" i="2"/>
  <c r="Q65" i="2"/>
  <c r="M165" i="2"/>
  <c r="D73" i="2"/>
  <c r="L73" i="2"/>
  <c r="T73" i="2"/>
  <c r="T225" i="2" s="1"/>
  <c r="E167" i="2"/>
  <c r="M167" i="2"/>
  <c r="U167" i="2"/>
  <c r="C102" i="2"/>
  <c r="U104" i="2"/>
  <c r="E123" i="2"/>
  <c r="B198" i="2"/>
  <c r="N201" i="2"/>
  <c r="N141" i="2"/>
  <c r="O202" i="2"/>
  <c r="H203" i="2"/>
  <c r="D206" i="2"/>
  <c r="E207" i="2"/>
  <c r="U207" i="2"/>
  <c r="P209" i="2"/>
  <c r="Q210" i="2"/>
  <c r="Q150" i="2"/>
  <c r="T212" i="2"/>
  <c r="T152" i="2"/>
  <c r="U213" i="2"/>
  <c r="T78" i="2"/>
  <c r="P82" i="2"/>
  <c r="N86" i="2"/>
  <c r="L218" i="2"/>
  <c r="E219" i="2"/>
  <c r="N220" i="2"/>
  <c r="D5" i="2"/>
  <c r="D187" i="2" s="1"/>
  <c r="L5" i="2"/>
  <c r="T5" i="2"/>
  <c r="I9" i="2"/>
  <c r="Q9" i="2"/>
  <c r="B222" i="2"/>
  <c r="B102" i="2"/>
  <c r="J222" i="2"/>
  <c r="R222" i="2"/>
  <c r="C223" i="2"/>
  <c r="K223" i="2"/>
  <c r="S223" i="2"/>
  <c r="D224" i="2"/>
  <c r="D104" i="2"/>
  <c r="L224" i="2"/>
  <c r="L104" i="2"/>
  <c r="T224" i="2"/>
  <c r="T104" i="2"/>
  <c r="H226" i="2"/>
  <c r="P226" i="2"/>
  <c r="B227" i="2"/>
  <c r="J227" i="2"/>
  <c r="R227" i="2"/>
  <c r="D228" i="2"/>
  <c r="L228" i="2"/>
  <c r="T228" i="2"/>
  <c r="A231" i="2"/>
  <c r="A201" i="2"/>
  <c r="A171" i="2"/>
  <c r="A141" i="2"/>
  <c r="A79" i="2"/>
  <c r="A111" i="2"/>
  <c r="I231" i="2"/>
  <c r="I111" i="2"/>
  <c r="Q231" i="2"/>
  <c r="B232" i="2"/>
  <c r="J232" i="2"/>
  <c r="R232" i="2"/>
  <c r="D233" i="2"/>
  <c r="L233" i="2"/>
  <c r="T233" i="2"/>
  <c r="B236" i="2"/>
  <c r="J236" i="2"/>
  <c r="R236" i="2"/>
  <c r="D242" i="2"/>
  <c r="L242" i="2"/>
  <c r="T242" i="2"/>
  <c r="F243" i="2"/>
  <c r="F123" i="2"/>
  <c r="N243" i="2"/>
  <c r="N123" i="2"/>
  <c r="V243" i="2"/>
  <c r="V123" i="2"/>
  <c r="J188" i="2"/>
  <c r="R188" i="2"/>
  <c r="C189" i="2"/>
  <c r="K189" i="2"/>
  <c r="S189" i="2"/>
  <c r="D190" i="2"/>
  <c r="L190" i="2"/>
  <c r="T190" i="2"/>
  <c r="F192" i="2"/>
  <c r="N192" i="2"/>
  <c r="V192" i="2"/>
  <c r="G193" i="2"/>
  <c r="O193" i="2"/>
  <c r="W193" i="2"/>
  <c r="H194" i="2"/>
  <c r="H134" i="2"/>
  <c r="P194" i="2"/>
  <c r="P134" i="2"/>
  <c r="I43" i="2"/>
  <c r="Q43" i="2"/>
  <c r="B196" i="2"/>
  <c r="J196" i="2"/>
  <c r="R196" i="2"/>
  <c r="C197" i="2"/>
  <c r="K197" i="2"/>
  <c r="S197" i="2"/>
  <c r="D198" i="2"/>
  <c r="L198" i="2"/>
  <c r="T198" i="2"/>
  <c r="G48" i="2"/>
  <c r="O48" i="2"/>
  <c r="W48" i="2"/>
  <c r="H201" i="2"/>
  <c r="P201" i="2"/>
  <c r="A50" i="2"/>
  <c r="I202" i="2"/>
  <c r="Q202" i="2"/>
  <c r="B203" i="2"/>
  <c r="J203" i="2"/>
  <c r="R203" i="2"/>
  <c r="E205" i="2"/>
  <c r="M205" i="2"/>
  <c r="U205" i="2"/>
  <c r="F206" i="2"/>
  <c r="N206" i="2"/>
  <c r="N146" i="2"/>
  <c r="V206" i="2"/>
  <c r="G207" i="2"/>
  <c r="O207" i="2"/>
  <c r="W207" i="2"/>
  <c r="I56" i="2"/>
  <c r="Q56" i="2"/>
  <c r="B209" i="2"/>
  <c r="J209" i="2"/>
  <c r="R209" i="2"/>
  <c r="C210" i="2"/>
  <c r="C150" i="2"/>
  <c r="K210" i="2"/>
  <c r="K150" i="2"/>
  <c r="S210" i="2"/>
  <c r="S150" i="2"/>
  <c r="E59" i="2"/>
  <c r="M59" i="2"/>
  <c r="M152" i="2" s="1"/>
  <c r="U59" i="2"/>
  <c r="U152" i="2" s="1"/>
  <c r="F212" i="2"/>
  <c r="F152" i="2"/>
  <c r="N212" i="2"/>
  <c r="N152" i="2"/>
  <c r="V212" i="2"/>
  <c r="V152" i="2"/>
  <c r="G213" i="2"/>
  <c r="O213" i="2"/>
  <c r="W213" i="2"/>
  <c r="B65" i="2"/>
  <c r="J65" i="2"/>
  <c r="E159" i="2"/>
  <c r="M159" i="2"/>
  <c r="U159" i="2"/>
  <c r="I82" i="2"/>
  <c r="Q82" i="2"/>
  <c r="B82" i="2"/>
  <c r="J82" i="2"/>
  <c r="R82" i="2"/>
  <c r="R234" i="2" s="1"/>
  <c r="C82" i="2"/>
  <c r="C234" i="2" s="1"/>
  <c r="K82" i="2"/>
  <c r="K234" i="2" s="1"/>
  <c r="S82" i="2"/>
  <c r="S234" i="2" s="1"/>
  <c r="P120" i="2"/>
  <c r="C122" i="2"/>
  <c r="M123" i="2"/>
  <c r="C134" i="2"/>
  <c r="A172" i="2"/>
  <c r="W202" i="2"/>
  <c r="K205" i="2"/>
  <c r="H209" i="2"/>
  <c r="F218" i="2"/>
  <c r="N218" i="2"/>
  <c r="V218" i="2"/>
  <c r="G219" i="2"/>
  <c r="O219" i="2"/>
  <c r="H220" i="2"/>
  <c r="P220" i="2"/>
  <c r="G13" i="2"/>
  <c r="O13" i="2"/>
  <c r="W13" i="2"/>
  <c r="I226" i="2"/>
  <c r="Q226" i="2"/>
  <c r="C227" i="2"/>
  <c r="K227" i="2"/>
  <c r="S227" i="2"/>
  <c r="E228" i="2"/>
  <c r="M228" i="2"/>
  <c r="U228" i="2"/>
  <c r="I230" i="2"/>
  <c r="I110" i="2"/>
  <c r="Q230" i="2"/>
  <c r="B231" i="2"/>
  <c r="J231" i="2"/>
  <c r="R231" i="2"/>
  <c r="C232" i="2"/>
  <c r="K232" i="2"/>
  <c r="S232" i="2"/>
  <c r="I235" i="2"/>
  <c r="I115" i="2"/>
  <c r="Q235" i="2"/>
  <c r="E237" i="2"/>
  <c r="M237" i="2"/>
  <c r="U237" i="2"/>
  <c r="G238" i="2"/>
  <c r="O238" i="2"/>
  <c r="W238" i="2"/>
  <c r="H239" i="2"/>
  <c r="P239" i="2"/>
  <c r="A240" i="2"/>
  <c r="A180" i="2"/>
  <c r="A210" i="2"/>
  <c r="A88" i="2"/>
  <c r="A120" i="2"/>
  <c r="I240" i="2"/>
  <c r="I120" i="2"/>
  <c r="Q240" i="2"/>
  <c r="Q120" i="2"/>
  <c r="C121" i="2"/>
  <c r="K121" i="2"/>
  <c r="S241" i="2"/>
  <c r="S121" i="2"/>
  <c r="E242" i="2"/>
  <c r="E122" i="2"/>
  <c r="M242" i="2"/>
  <c r="M122" i="2"/>
  <c r="U242" i="2"/>
  <c r="U122" i="2"/>
  <c r="G243" i="2"/>
  <c r="G123" i="2"/>
  <c r="O243" i="2"/>
  <c r="O123" i="2"/>
  <c r="W243" i="2"/>
  <c r="W123" i="2"/>
  <c r="C188" i="2"/>
  <c r="K188" i="2"/>
  <c r="S188" i="2"/>
  <c r="D189" i="2"/>
  <c r="L189" i="2"/>
  <c r="T189" i="2"/>
  <c r="E190" i="2"/>
  <c r="M190" i="2"/>
  <c r="U190" i="2"/>
  <c r="G192" i="2"/>
  <c r="O192" i="2"/>
  <c r="W192" i="2"/>
  <c r="H193" i="2"/>
  <c r="P193" i="2"/>
  <c r="A42" i="2"/>
  <c r="I194" i="2"/>
  <c r="I134" i="2"/>
  <c r="Q194" i="2"/>
  <c r="Q134" i="2"/>
  <c r="B43" i="2"/>
  <c r="C196" i="2"/>
  <c r="K196" i="2"/>
  <c r="S196" i="2"/>
  <c r="D197" i="2"/>
  <c r="L197" i="2"/>
  <c r="T197" i="2"/>
  <c r="E198" i="2"/>
  <c r="M198" i="2"/>
  <c r="M138" i="2"/>
  <c r="U198" i="2"/>
  <c r="P200" i="2"/>
  <c r="A49" i="2"/>
  <c r="I201" i="2"/>
  <c r="Q201" i="2"/>
  <c r="B202" i="2"/>
  <c r="J202" i="2"/>
  <c r="R202" i="2"/>
  <c r="C203" i="2"/>
  <c r="K203" i="2"/>
  <c r="S203" i="2"/>
  <c r="D52" i="2"/>
  <c r="F205" i="2"/>
  <c r="N205" i="2"/>
  <c r="N145" i="2"/>
  <c r="V205" i="2"/>
  <c r="G206" i="2"/>
  <c r="O206" i="2"/>
  <c r="W206" i="2"/>
  <c r="H207" i="2"/>
  <c r="P207" i="2"/>
  <c r="B208" i="2"/>
  <c r="J208" i="2"/>
  <c r="R208" i="2"/>
  <c r="C209" i="2"/>
  <c r="K209" i="2"/>
  <c r="S209" i="2"/>
  <c r="D210" i="2"/>
  <c r="D150" i="2"/>
  <c r="L210" i="2"/>
  <c r="L150" i="2"/>
  <c r="T210" i="2"/>
  <c r="T150" i="2"/>
  <c r="F211" i="2"/>
  <c r="F151" i="2"/>
  <c r="N211" i="2"/>
  <c r="N151" i="2"/>
  <c r="V211" i="2"/>
  <c r="V151" i="2"/>
  <c r="G212" i="2"/>
  <c r="O212" i="2"/>
  <c r="W212" i="2"/>
  <c r="H213" i="2"/>
  <c r="H153" i="2"/>
  <c r="P213" i="2"/>
  <c r="P153" i="2"/>
  <c r="C157" i="2"/>
  <c r="F73" i="2"/>
  <c r="F64" i="2" s="1"/>
  <c r="F161" i="2" s="1"/>
  <c r="N73" i="2"/>
  <c r="V73" i="2"/>
  <c r="G73" i="2"/>
  <c r="O73" i="2"/>
  <c r="W73" i="2"/>
  <c r="H73" i="2"/>
  <c r="P73" i="2"/>
  <c r="S77" i="2"/>
  <c r="S169" i="2" s="1"/>
  <c r="U86" i="2"/>
  <c r="I122" i="2"/>
  <c r="Q123" i="2"/>
  <c r="B188" i="2"/>
  <c r="J198" i="2"/>
  <c r="V201" i="2"/>
  <c r="V141" i="2"/>
  <c r="C205" i="2"/>
  <c r="L206" i="2"/>
  <c r="T206" i="2"/>
  <c r="M207" i="2"/>
  <c r="I210" i="2"/>
  <c r="I150" i="2"/>
  <c r="D212" i="2"/>
  <c r="D152" i="2"/>
  <c r="E213" i="2"/>
  <c r="I158" i="2"/>
  <c r="D78" i="2"/>
  <c r="V86" i="2"/>
  <c r="V77" i="2" s="1"/>
  <c r="W219" i="2"/>
  <c r="F5" i="2"/>
  <c r="N5" i="2"/>
  <c r="V5" i="2"/>
  <c r="G218" i="2"/>
  <c r="A220" i="2"/>
  <c r="A190" i="2"/>
  <c r="A160" i="2"/>
  <c r="A68" i="2"/>
  <c r="C9" i="2"/>
  <c r="K9" i="2"/>
  <c r="S9" i="2"/>
  <c r="S191" i="2" s="1"/>
  <c r="D222" i="2"/>
  <c r="L222" i="2"/>
  <c r="T222" i="2"/>
  <c r="E223" i="2"/>
  <c r="M223" i="2"/>
  <c r="U223" i="2"/>
  <c r="F224" i="2"/>
  <c r="F104" i="2"/>
  <c r="N224" i="2"/>
  <c r="N104" i="2"/>
  <c r="V224" i="2"/>
  <c r="V104" i="2"/>
  <c r="B226" i="2"/>
  <c r="J226" i="2"/>
  <c r="R226" i="2"/>
  <c r="D227" i="2"/>
  <c r="L227" i="2"/>
  <c r="T227" i="2"/>
  <c r="F228" i="2"/>
  <c r="N228" i="2"/>
  <c r="V228" i="2"/>
  <c r="B18" i="2"/>
  <c r="J18" i="2"/>
  <c r="R18" i="2"/>
  <c r="F233" i="2"/>
  <c r="N233" i="2"/>
  <c r="V233" i="2"/>
  <c r="D236" i="2"/>
  <c r="L236" i="2"/>
  <c r="T236" i="2"/>
  <c r="F237" i="2"/>
  <c r="N237" i="2"/>
  <c r="V237" i="2"/>
  <c r="H26" i="2"/>
  <c r="P26" i="2"/>
  <c r="A239" i="2"/>
  <c r="A209" i="2"/>
  <c r="A179" i="2"/>
  <c r="A149" i="2"/>
  <c r="A87" i="2"/>
  <c r="A119" i="2"/>
  <c r="I239" i="2"/>
  <c r="I119" i="2"/>
  <c r="Q239" i="2"/>
  <c r="B240" i="2"/>
  <c r="B120" i="2"/>
  <c r="J240" i="2"/>
  <c r="J120" i="2"/>
  <c r="R240" i="2"/>
  <c r="R120" i="2"/>
  <c r="D29" i="2"/>
  <c r="D122" i="2" s="1"/>
  <c r="L29" i="2"/>
  <c r="T29" i="2"/>
  <c r="F242" i="2"/>
  <c r="F122" i="2"/>
  <c r="N242" i="2"/>
  <c r="N122" i="2"/>
  <c r="V242" i="2"/>
  <c r="V122" i="2"/>
  <c r="H243" i="2"/>
  <c r="H123" i="2"/>
  <c r="P243" i="2"/>
  <c r="C35" i="2"/>
  <c r="K35" i="2"/>
  <c r="S35" i="2"/>
  <c r="D188" i="2"/>
  <c r="L188" i="2"/>
  <c r="T188" i="2"/>
  <c r="E189" i="2"/>
  <c r="M189" i="2"/>
  <c r="M129" i="2"/>
  <c r="U189" i="2"/>
  <c r="F190" i="2"/>
  <c r="N190" i="2"/>
  <c r="V190" i="2"/>
  <c r="G39" i="2"/>
  <c r="O39" i="2"/>
  <c r="W39" i="2"/>
  <c r="H192" i="2"/>
  <c r="P192" i="2"/>
  <c r="I193" i="2"/>
  <c r="Q193" i="2"/>
  <c r="B194" i="2"/>
  <c r="B134" i="2"/>
  <c r="J194" i="2"/>
  <c r="J134" i="2"/>
  <c r="R194" i="2"/>
  <c r="R134" i="2"/>
  <c r="C43" i="2"/>
  <c r="K43" i="2"/>
  <c r="S43" i="2"/>
  <c r="D196" i="2"/>
  <c r="L196" i="2"/>
  <c r="T196" i="2"/>
  <c r="E197" i="2"/>
  <c r="M197" i="2"/>
  <c r="U197" i="2"/>
  <c r="F198" i="2"/>
  <c r="N198" i="2"/>
  <c r="V198" i="2"/>
  <c r="H47" i="2"/>
  <c r="H143" i="2" s="1"/>
  <c r="P47" i="2"/>
  <c r="P147" i="2" s="1"/>
  <c r="I48" i="2"/>
  <c r="Q48" i="2"/>
  <c r="B201" i="2"/>
  <c r="J201" i="2"/>
  <c r="R201" i="2"/>
  <c r="C202" i="2"/>
  <c r="K202" i="2"/>
  <c r="S202" i="2"/>
  <c r="D203" i="2"/>
  <c r="L203" i="2"/>
  <c r="T203" i="2"/>
  <c r="E52" i="2"/>
  <c r="M52" i="2"/>
  <c r="U52" i="2"/>
  <c r="G205" i="2"/>
  <c r="O205" i="2"/>
  <c r="W205" i="2"/>
  <c r="H206" i="2"/>
  <c r="H146" i="2"/>
  <c r="P206" i="2"/>
  <c r="I207" i="2"/>
  <c r="Q207" i="2"/>
  <c r="C56" i="2"/>
  <c r="C47" i="2" s="1"/>
  <c r="C142" i="2" s="1"/>
  <c r="K56" i="2"/>
  <c r="S56" i="2"/>
  <c r="D209" i="2"/>
  <c r="L209" i="2"/>
  <c r="T209" i="2"/>
  <c r="E210" i="2"/>
  <c r="E150" i="2"/>
  <c r="M210" i="2"/>
  <c r="M150" i="2"/>
  <c r="U210" i="2"/>
  <c r="U150" i="2"/>
  <c r="G59" i="2"/>
  <c r="G152" i="2" s="1"/>
  <c r="O59" i="2"/>
  <c r="W59" i="2"/>
  <c r="H212" i="2"/>
  <c r="H152" i="2"/>
  <c r="P212" i="2"/>
  <c r="P152" i="2"/>
  <c r="I213" i="2"/>
  <c r="I153" i="2"/>
  <c r="Q213" i="2"/>
  <c r="Q153" i="2"/>
  <c r="C64" i="2"/>
  <c r="K64" i="2"/>
  <c r="K156" i="2" s="1"/>
  <c r="S64" i="2"/>
  <c r="D65" i="2"/>
  <c r="L65" i="2"/>
  <c r="T65" i="2"/>
  <c r="E158" i="2"/>
  <c r="M158" i="2"/>
  <c r="E161" i="2"/>
  <c r="G82" i="2"/>
  <c r="G234" i="2" s="1"/>
  <c r="A100" i="2"/>
  <c r="C104" i="2"/>
  <c r="K122" i="2"/>
  <c r="A130" i="2"/>
  <c r="R198" i="2"/>
  <c r="G202" i="2"/>
  <c r="P203" i="2"/>
  <c r="S205" i="2"/>
  <c r="O217" i="2"/>
  <c r="W217" i="2"/>
  <c r="H218" i="2"/>
  <c r="P218" i="2"/>
  <c r="A219" i="2"/>
  <c r="A189" i="2"/>
  <c r="A67" i="2"/>
  <c r="A159" i="2"/>
  <c r="A99" i="2"/>
  <c r="A129" i="2"/>
  <c r="I219" i="2"/>
  <c r="Q219" i="2"/>
  <c r="B220" i="2"/>
  <c r="J220" i="2"/>
  <c r="R220" i="2"/>
  <c r="L221" i="2"/>
  <c r="T221" i="2"/>
  <c r="E222" i="2"/>
  <c r="M222" i="2"/>
  <c r="U222" i="2"/>
  <c r="F223" i="2"/>
  <c r="N223" i="2"/>
  <c r="V223" i="2"/>
  <c r="G224" i="2"/>
  <c r="G104" i="2"/>
  <c r="O224" i="2"/>
  <c r="O104" i="2"/>
  <c r="W224" i="2"/>
  <c r="W104" i="2"/>
  <c r="I225" i="2"/>
  <c r="Q225" i="2"/>
  <c r="C226" i="2"/>
  <c r="K226" i="2"/>
  <c r="S226" i="2"/>
  <c r="E227" i="2"/>
  <c r="M227" i="2"/>
  <c r="U227" i="2"/>
  <c r="C230" i="2"/>
  <c r="K230" i="2"/>
  <c r="S230" i="2"/>
  <c r="D231" i="2"/>
  <c r="L231" i="2"/>
  <c r="T231" i="2"/>
  <c r="E232" i="2"/>
  <c r="M232" i="2"/>
  <c r="U232" i="2"/>
  <c r="I234" i="2"/>
  <c r="I114" i="2"/>
  <c r="Q234" i="2"/>
  <c r="C235" i="2"/>
  <c r="K235" i="2"/>
  <c r="S235" i="2"/>
  <c r="E236" i="2"/>
  <c r="M236" i="2"/>
  <c r="U236" i="2"/>
  <c r="G237" i="2"/>
  <c r="O237" i="2"/>
  <c r="W237" i="2"/>
  <c r="I238" i="2"/>
  <c r="I118" i="2"/>
  <c r="Q238" i="2"/>
  <c r="B239" i="2"/>
  <c r="J239" i="2"/>
  <c r="R239" i="2"/>
  <c r="C240" i="2"/>
  <c r="C120" i="2"/>
  <c r="K240" i="2"/>
  <c r="K120" i="2"/>
  <c r="S240" i="2"/>
  <c r="S120" i="2"/>
  <c r="E241" i="2"/>
  <c r="E121" i="2"/>
  <c r="M241" i="2"/>
  <c r="M121" i="2"/>
  <c r="U241" i="2"/>
  <c r="U121" i="2"/>
  <c r="G242" i="2"/>
  <c r="G122" i="2"/>
  <c r="O242" i="2"/>
  <c r="O122" i="2"/>
  <c r="W242" i="2"/>
  <c r="W122" i="2"/>
  <c r="I243" i="2"/>
  <c r="I123" i="2"/>
  <c r="L187" i="2"/>
  <c r="T187" i="2"/>
  <c r="E188" i="2"/>
  <c r="M188" i="2"/>
  <c r="U188" i="2"/>
  <c r="F189" i="2"/>
  <c r="N189" i="2"/>
  <c r="V189" i="2"/>
  <c r="G190" i="2"/>
  <c r="O190" i="2"/>
  <c r="W190" i="2"/>
  <c r="P191" i="2"/>
  <c r="A40" i="2"/>
  <c r="I192" i="2"/>
  <c r="Q192" i="2"/>
  <c r="B193" i="2"/>
  <c r="J193" i="2"/>
  <c r="R193" i="2"/>
  <c r="K194" i="2"/>
  <c r="K134" i="2"/>
  <c r="S194" i="2"/>
  <c r="S134" i="2"/>
  <c r="D195" i="2"/>
  <c r="T195" i="2"/>
  <c r="E196" i="2"/>
  <c r="M196" i="2"/>
  <c r="U196" i="2"/>
  <c r="F197" i="2"/>
  <c r="N197" i="2"/>
  <c r="V197" i="2"/>
  <c r="G198" i="2"/>
  <c r="O198" i="2"/>
  <c r="W198" i="2"/>
  <c r="B200" i="2"/>
  <c r="J200" i="2"/>
  <c r="C201" i="2"/>
  <c r="K201" i="2"/>
  <c r="S201" i="2"/>
  <c r="D202" i="2"/>
  <c r="L202" i="2"/>
  <c r="T202" i="2"/>
  <c r="E203" i="2"/>
  <c r="M203" i="2"/>
  <c r="U203" i="2"/>
  <c r="F52" i="2"/>
  <c r="N144" i="2"/>
  <c r="V204" i="2"/>
  <c r="H205" i="2"/>
  <c r="P205" i="2"/>
  <c r="I206" i="2"/>
  <c r="Q206" i="2"/>
  <c r="B207" i="2"/>
  <c r="J207" i="2"/>
  <c r="R207" i="2"/>
  <c r="D208" i="2"/>
  <c r="L208" i="2"/>
  <c r="T208" i="2"/>
  <c r="E209" i="2"/>
  <c r="M209" i="2"/>
  <c r="U209" i="2"/>
  <c r="F210" i="2"/>
  <c r="F150" i="2"/>
  <c r="N210" i="2"/>
  <c r="N150" i="2"/>
  <c r="V210" i="2"/>
  <c r="V150" i="2"/>
  <c r="H211" i="2"/>
  <c r="P151" i="2"/>
  <c r="I212" i="2"/>
  <c r="I152" i="2"/>
  <c r="Q212" i="2"/>
  <c r="Q152" i="2"/>
  <c r="B213" i="2"/>
  <c r="B153" i="2"/>
  <c r="J213" i="2"/>
  <c r="J153" i="2"/>
  <c r="R213" i="2"/>
  <c r="E157" i="2"/>
  <c r="M157" i="2"/>
  <c r="U157" i="2"/>
  <c r="F158" i="2"/>
  <c r="H162" i="2"/>
  <c r="H69" i="2"/>
  <c r="H64" i="2" s="1"/>
  <c r="P162" i="2"/>
  <c r="P69" i="2"/>
  <c r="I163" i="2"/>
  <c r="E165" i="2"/>
  <c r="U165" i="2"/>
  <c r="I170" i="2"/>
  <c r="I77" i="2"/>
  <c r="I169" i="2" s="1"/>
  <c r="S172" i="2"/>
  <c r="H89" i="2"/>
  <c r="H181" i="2" s="1"/>
  <c r="P89" i="2"/>
  <c r="P181" i="2" s="1"/>
  <c r="I183" i="2"/>
  <c r="Q183" i="2"/>
  <c r="E104" i="2"/>
  <c r="I109" i="2"/>
  <c r="Q122" i="2"/>
  <c r="U158" i="2"/>
  <c r="E166" i="2"/>
  <c r="M166" i="2"/>
  <c r="U166" i="2"/>
  <c r="S171" i="2"/>
  <c r="I176" i="2"/>
  <c r="I182" i="2"/>
  <c r="Q182" i="2"/>
  <c r="B183" i="2"/>
  <c r="J183" i="2"/>
  <c r="R183" i="2"/>
  <c r="I160" i="2"/>
  <c r="I168" i="2"/>
  <c r="S176" i="2"/>
  <c r="K182" i="2"/>
  <c r="S182" i="2"/>
  <c r="D183" i="2"/>
  <c r="L183" i="2"/>
  <c r="T183" i="2"/>
  <c r="I159" i="2"/>
  <c r="E163" i="2"/>
  <c r="M163" i="2"/>
  <c r="U163" i="2"/>
  <c r="I167" i="2"/>
  <c r="S175" i="2"/>
  <c r="D182" i="2"/>
  <c r="L182" i="2"/>
  <c r="T182" i="2"/>
  <c r="E183" i="2"/>
  <c r="M183" i="2"/>
  <c r="U183" i="2"/>
  <c r="I166" i="2"/>
  <c r="K168" i="2"/>
  <c r="I173" i="2"/>
  <c r="I179" i="2"/>
  <c r="E182" i="2"/>
  <c r="M182" i="2"/>
  <c r="U182" i="2"/>
  <c r="F183" i="2"/>
  <c r="N183" i="2"/>
  <c r="V183" i="2"/>
  <c r="U161" i="2"/>
  <c r="I172" i="2"/>
  <c r="N182" i="2"/>
  <c r="V182" i="2"/>
  <c r="G183" i="2"/>
  <c r="O183" i="2"/>
  <c r="W183" i="2"/>
  <c r="E160" i="2"/>
  <c r="M160" i="2"/>
  <c r="U160" i="2"/>
  <c r="C166" i="2"/>
  <c r="E168" i="2"/>
  <c r="M168" i="2"/>
  <c r="U168" i="2"/>
  <c r="I171" i="2"/>
  <c r="S173" i="2"/>
  <c r="S179" i="2"/>
  <c r="G182" i="2"/>
  <c r="O182" i="2"/>
  <c r="W182" i="2"/>
  <c r="H183" i="2"/>
  <c r="P183" i="2"/>
  <c r="Q109" i="2" l="1"/>
  <c r="Q118" i="2"/>
  <c r="Q110" i="2"/>
  <c r="Q119" i="2"/>
  <c r="Q113" i="2"/>
  <c r="Q111" i="2"/>
  <c r="Q114" i="2"/>
  <c r="Q112" i="2"/>
  <c r="Q116" i="2"/>
  <c r="Q117" i="2"/>
  <c r="Q115" i="2"/>
  <c r="S112" i="2"/>
  <c r="S111" i="2"/>
  <c r="S110" i="2"/>
  <c r="S117" i="2"/>
  <c r="S116" i="2"/>
  <c r="S114" i="2"/>
  <c r="S115" i="2"/>
  <c r="S113" i="2"/>
  <c r="U137" i="2"/>
  <c r="U136" i="2"/>
  <c r="U127" i="2"/>
  <c r="U130" i="2"/>
  <c r="U132" i="2"/>
  <c r="U129" i="2"/>
  <c r="U128" i="2"/>
  <c r="U138" i="2"/>
  <c r="H156" i="2"/>
  <c r="H168" i="2"/>
  <c r="H160" i="2"/>
  <c r="H158" i="2"/>
  <c r="V169" i="2"/>
  <c r="V175" i="2"/>
  <c r="V172" i="2"/>
  <c r="K159" i="2"/>
  <c r="C241" i="2"/>
  <c r="K183" i="2"/>
  <c r="O234" i="2"/>
  <c r="K166" i="2"/>
  <c r="I229" i="2"/>
  <c r="C183" i="2"/>
  <c r="P4" i="2"/>
  <c r="R152" i="2"/>
  <c r="K160" i="2"/>
  <c r="K165" i="2"/>
  <c r="D123" i="2"/>
  <c r="P182" i="2"/>
  <c r="R182" i="2"/>
  <c r="K163" i="2"/>
  <c r="N17" i="2"/>
  <c r="W4" i="2"/>
  <c r="K167" i="2"/>
  <c r="C182" i="2"/>
  <c r="H182" i="2"/>
  <c r="K241" i="2"/>
  <c r="S156" i="2"/>
  <c r="S160" i="2"/>
  <c r="S157" i="2"/>
  <c r="S166" i="2"/>
  <c r="S159" i="2"/>
  <c r="S158" i="2"/>
  <c r="S165" i="2"/>
  <c r="S168" i="2"/>
  <c r="S167" i="2"/>
  <c r="S208" i="2"/>
  <c r="S47" i="2"/>
  <c r="L241" i="2"/>
  <c r="L121" i="2"/>
  <c r="L122" i="2"/>
  <c r="L123" i="2"/>
  <c r="D77" i="2"/>
  <c r="D230" i="2"/>
  <c r="C195" i="2"/>
  <c r="E211" i="2"/>
  <c r="E151" i="2"/>
  <c r="E153" i="2"/>
  <c r="B195" i="2"/>
  <c r="U77" i="2"/>
  <c r="U170" i="2"/>
  <c r="T109" i="2"/>
  <c r="T112" i="2"/>
  <c r="T111" i="2"/>
  <c r="T114" i="2"/>
  <c r="T110" i="2"/>
  <c r="T116" i="2"/>
  <c r="T115" i="2"/>
  <c r="T119" i="2"/>
  <c r="T113" i="2"/>
  <c r="T117" i="2"/>
  <c r="M126" i="2"/>
  <c r="M135" i="2"/>
  <c r="M132" i="2"/>
  <c r="M130" i="2"/>
  <c r="M137" i="2"/>
  <c r="M133" i="2"/>
  <c r="M128" i="2"/>
  <c r="M127" i="2"/>
  <c r="M136" i="2"/>
  <c r="P139" i="2"/>
  <c r="P145" i="2"/>
  <c r="P140" i="2"/>
  <c r="P148" i="2"/>
  <c r="P142" i="2"/>
  <c r="P141" i="2"/>
  <c r="P149" i="2"/>
  <c r="P146" i="2"/>
  <c r="P143" i="2"/>
  <c r="U178" i="2"/>
  <c r="D204" i="2"/>
  <c r="C156" i="2"/>
  <c r="C158" i="2"/>
  <c r="C159" i="2"/>
  <c r="C165" i="2"/>
  <c r="C168" i="2"/>
  <c r="C163" i="2"/>
  <c r="C167" i="2"/>
  <c r="C160" i="2"/>
  <c r="C139" i="2"/>
  <c r="C143" i="2"/>
  <c r="C140" i="2"/>
  <c r="C146" i="2"/>
  <c r="C149" i="2"/>
  <c r="C141" i="2"/>
  <c r="C144" i="2"/>
  <c r="C147" i="2"/>
  <c r="R230" i="2"/>
  <c r="R17" i="2"/>
  <c r="R200" i="2"/>
  <c r="B64" i="2"/>
  <c r="B161" i="2" s="1"/>
  <c r="B217" i="2"/>
  <c r="E152" i="2"/>
  <c r="P64" i="2"/>
  <c r="P216" i="2" s="1"/>
  <c r="Q200" i="2"/>
  <c r="Q47" i="2"/>
  <c r="Q140" i="2" s="1"/>
  <c r="O191" i="2"/>
  <c r="O34" i="2"/>
  <c r="O131" i="2" s="1"/>
  <c r="K221" i="2"/>
  <c r="N217" i="2"/>
  <c r="N4" i="2"/>
  <c r="F156" i="2"/>
  <c r="F160" i="2"/>
  <c r="F159" i="2"/>
  <c r="F166" i="2"/>
  <c r="F163" i="2"/>
  <c r="F168" i="2"/>
  <c r="F157" i="2"/>
  <c r="F167" i="2"/>
  <c r="S163" i="2"/>
  <c r="D221" i="2"/>
  <c r="B230" i="2"/>
  <c r="B17" i="2"/>
  <c r="C145" i="2"/>
  <c r="O200" i="2"/>
  <c r="O140" i="2"/>
  <c r="O47" i="2"/>
  <c r="P96" i="2"/>
  <c r="P97" i="2"/>
  <c r="P103" i="2"/>
  <c r="P100" i="2"/>
  <c r="P108" i="2"/>
  <c r="P102" i="2"/>
  <c r="P106" i="2"/>
  <c r="P99" i="2"/>
  <c r="P98" i="2"/>
  <c r="P107" i="2"/>
  <c r="V139" i="2"/>
  <c r="V149" i="2"/>
  <c r="V140" i="2"/>
  <c r="V147" i="2"/>
  <c r="V146" i="2"/>
  <c r="V145" i="2"/>
  <c r="V142" i="2"/>
  <c r="V144" i="2"/>
  <c r="J234" i="2"/>
  <c r="L225" i="2"/>
  <c r="H230" i="2"/>
  <c r="H17" i="2"/>
  <c r="T191" i="2"/>
  <c r="T34" i="2"/>
  <c r="G157" i="2"/>
  <c r="G64" i="2"/>
  <c r="J221" i="2"/>
  <c r="Q187" i="2"/>
  <c r="Q34" i="2"/>
  <c r="E230" i="2"/>
  <c r="E110" i="2"/>
  <c r="E17" i="2"/>
  <c r="D191" i="2"/>
  <c r="D34" i="2"/>
  <c r="B191" i="2"/>
  <c r="L109" i="2"/>
  <c r="L112" i="2"/>
  <c r="L117" i="2"/>
  <c r="R187" i="2"/>
  <c r="R34" i="2"/>
  <c r="F221" i="2"/>
  <c r="V195" i="2"/>
  <c r="K217" i="2"/>
  <c r="K4" i="2"/>
  <c r="K101" i="2" s="1"/>
  <c r="O208" i="2"/>
  <c r="O148" i="2"/>
  <c r="P234" i="2"/>
  <c r="V221" i="2"/>
  <c r="V170" i="2"/>
  <c r="H167" i="2"/>
  <c r="G153" i="2"/>
  <c r="I200" i="2"/>
  <c r="I47" i="2"/>
  <c r="I140" i="2" s="1"/>
  <c r="G191" i="2"/>
  <c r="T241" i="2"/>
  <c r="T121" i="2"/>
  <c r="J230" i="2"/>
  <c r="J17" i="2"/>
  <c r="C221" i="2"/>
  <c r="F217" i="2"/>
  <c r="F4" i="2"/>
  <c r="H165" i="2"/>
  <c r="J64" i="2"/>
  <c r="G200" i="2"/>
  <c r="G47" i="2"/>
  <c r="Q221" i="2"/>
  <c r="T170" i="2"/>
  <c r="T77" i="2"/>
  <c r="T229" i="2" s="1"/>
  <c r="Q241" i="2"/>
  <c r="Q121" i="2"/>
  <c r="L77" i="2"/>
  <c r="L229" i="2" s="1"/>
  <c r="K161" i="2"/>
  <c r="K77" i="2"/>
  <c r="M200" i="2"/>
  <c r="M47" i="2"/>
  <c r="V230" i="2"/>
  <c r="V17" i="2"/>
  <c r="P225" i="2"/>
  <c r="P105" i="2"/>
  <c r="G221" i="2"/>
  <c r="N187" i="2"/>
  <c r="N34" i="2"/>
  <c r="N135" i="2" s="1"/>
  <c r="V64" i="2"/>
  <c r="B204" i="2"/>
  <c r="B47" i="2"/>
  <c r="G230" i="2"/>
  <c r="G17" i="2"/>
  <c r="J4" i="2"/>
  <c r="C77" i="2"/>
  <c r="H187" i="2"/>
  <c r="H34" i="2"/>
  <c r="K211" i="2"/>
  <c r="K151" i="2"/>
  <c r="V191" i="2"/>
  <c r="N208" i="2"/>
  <c r="N148" i="2"/>
  <c r="D200" i="2"/>
  <c r="D140" i="2"/>
  <c r="D47" i="2"/>
  <c r="D144" i="2" s="1"/>
  <c r="N234" i="2"/>
  <c r="N114" i="2"/>
  <c r="I217" i="2"/>
  <c r="I4" i="2"/>
  <c r="I97" i="2" s="1"/>
  <c r="I221" i="2"/>
  <c r="I101" i="2"/>
  <c r="L211" i="2"/>
  <c r="L151" i="2"/>
  <c r="U234" i="2"/>
  <c r="M77" i="2"/>
  <c r="M170" i="2" s="1"/>
  <c r="D225" i="2"/>
  <c r="M191" i="2"/>
  <c r="M131" i="2"/>
  <c r="F238" i="2"/>
  <c r="H221" i="2"/>
  <c r="L110" i="2"/>
  <c r="V177" i="2"/>
  <c r="V171" i="2"/>
  <c r="H166" i="2"/>
  <c r="H159" i="2"/>
  <c r="G77" i="2"/>
  <c r="W211" i="2"/>
  <c r="W151" i="2"/>
  <c r="K208" i="2"/>
  <c r="U204" i="2"/>
  <c r="H199" i="2"/>
  <c r="H139" i="2"/>
  <c r="H145" i="2"/>
  <c r="D241" i="2"/>
  <c r="D121" i="2"/>
  <c r="I178" i="2"/>
  <c r="W225" i="2"/>
  <c r="W105" i="2"/>
  <c r="I174" i="2"/>
  <c r="W153" i="2"/>
  <c r="L113" i="2"/>
  <c r="T217" i="2"/>
  <c r="T4" i="2"/>
  <c r="T97" i="2" s="1"/>
  <c r="U153" i="2"/>
  <c r="W100" i="2"/>
  <c r="M234" i="2"/>
  <c r="H157" i="2"/>
  <c r="V173" i="2"/>
  <c r="C161" i="2"/>
  <c r="L119" i="2"/>
  <c r="W102" i="2"/>
  <c r="T178" i="2"/>
  <c r="R77" i="2"/>
  <c r="R174" i="2" s="1"/>
  <c r="I165" i="2"/>
  <c r="H4" i="2"/>
  <c r="H101" i="2" s="1"/>
  <c r="C238" i="2"/>
  <c r="C118" i="2"/>
  <c r="N221" i="2"/>
  <c r="N101" i="2"/>
  <c r="N195" i="2"/>
  <c r="R204" i="2"/>
  <c r="R47" i="2"/>
  <c r="L115" i="2"/>
  <c r="W230" i="2"/>
  <c r="W17" i="2"/>
  <c r="J217" i="2"/>
  <c r="V238" i="2"/>
  <c r="V118" i="2"/>
  <c r="S229" i="2"/>
  <c r="S109" i="2"/>
  <c r="B221" i="2"/>
  <c r="I187" i="2"/>
  <c r="I34" i="2"/>
  <c r="S217" i="2"/>
  <c r="S4" i="2"/>
  <c r="S97" i="2" s="1"/>
  <c r="S238" i="2"/>
  <c r="S118" i="2"/>
  <c r="U191" i="2"/>
  <c r="U131" i="2"/>
  <c r="L230" i="2"/>
  <c r="N64" i="2"/>
  <c r="G208" i="2"/>
  <c r="G148" i="2"/>
  <c r="T200" i="2"/>
  <c r="T47" i="2"/>
  <c r="T140" i="2" s="1"/>
  <c r="H234" i="2"/>
  <c r="H114" i="2"/>
  <c r="C217" i="2"/>
  <c r="C4" i="2"/>
  <c r="C97" i="2" s="1"/>
  <c r="N225" i="2"/>
  <c r="N105" i="2"/>
  <c r="J241" i="2"/>
  <c r="J121" i="2"/>
  <c r="B187" i="2"/>
  <c r="B34" i="2"/>
  <c r="H195" i="2"/>
  <c r="U230" i="2"/>
  <c r="U110" i="2"/>
  <c r="U17" i="2"/>
  <c r="J211" i="2"/>
  <c r="J151" i="2"/>
  <c r="R191" i="2"/>
  <c r="R131" i="2"/>
  <c r="Q217" i="2"/>
  <c r="Q4" i="2"/>
  <c r="Q101" i="2" s="1"/>
  <c r="J123" i="2"/>
  <c r="H161" i="2"/>
  <c r="L195" i="2"/>
  <c r="G217" i="2"/>
  <c r="O211" i="2"/>
  <c r="O151" i="2"/>
  <c r="C208" i="2"/>
  <c r="C148" i="2"/>
  <c r="M204" i="2"/>
  <c r="M144" i="2"/>
  <c r="S187" i="2"/>
  <c r="S34" i="2"/>
  <c r="P238" i="2"/>
  <c r="V178" i="2"/>
  <c r="H147" i="2"/>
  <c r="O225" i="2"/>
  <c r="H149" i="2"/>
  <c r="S178" i="2"/>
  <c r="I175" i="2"/>
  <c r="Q195" i="2"/>
  <c r="Q135" i="2"/>
  <c r="L217" i="2"/>
  <c r="L4" i="2"/>
  <c r="L105" i="2" s="1"/>
  <c r="E234" i="2"/>
  <c r="E114" i="2"/>
  <c r="W64" i="2"/>
  <c r="N77" i="2"/>
  <c r="N178" i="2" s="1"/>
  <c r="E77" i="2"/>
  <c r="P204" i="2"/>
  <c r="P144" i="2"/>
  <c r="E200" i="2"/>
  <c r="E140" i="2"/>
  <c r="E47" i="2"/>
  <c r="Q191" i="2"/>
  <c r="P221" i="2"/>
  <c r="P101" i="2"/>
  <c r="T123" i="2"/>
  <c r="Q211" i="2"/>
  <c r="Q204" i="2"/>
  <c r="Q144" i="2"/>
  <c r="I161" i="2"/>
  <c r="U238" i="2"/>
  <c r="U118" i="2"/>
  <c r="C17" i="2"/>
  <c r="V187" i="2"/>
  <c r="V34" i="2"/>
  <c r="V127" i="2" s="1"/>
  <c r="U186" i="2"/>
  <c r="U126" i="2"/>
  <c r="C211" i="2"/>
  <c r="C151" i="2"/>
  <c r="N191" i="2"/>
  <c r="S119" i="2"/>
  <c r="H148" i="2"/>
  <c r="U133" i="2"/>
  <c r="F208" i="2"/>
  <c r="F234" i="2"/>
  <c r="B4" i="2"/>
  <c r="B101" i="2" s="1"/>
  <c r="P208" i="2"/>
  <c r="F204" i="2"/>
  <c r="H191" i="2"/>
  <c r="T64" i="2"/>
  <c r="T165" i="2" s="1"/>
  <c r="G211" i="2"/>
  <c r="G151" i="2"/>
  <c r="E204" i="2"/>
  <c r="E144" i="2"/>
  <c r="K187" i="2"/>
  <c r="K34" i="2"/>
  <c r="K127" i="2" s="1"/>
  <c r="H238" i="2"/>
  <c r="H118" i="2"/>
  <c r="V179" i="2"/>
  <c r="O165" i="2"/>
  <c r="O64" i="2"/>
  <c r="F165" i="2"/>
  <c r="W152" i="2"/>
  <c r="G225" i="2"/>
  <c r="S174" i="2"/>
  <c r="O153" i="2"/>
  <c r="Q208" i="2"/>
  <c r="Q148" i="2"/>
  <c r="H141" i="2"/>
  <c r="I195" i="2"/>
  <c r="I135" i="2"/>
  <c r="T122" i="2"/>
  <c r="D217" i="2"/>
  <c r="D4" i="2"/>
  <c r="D97" i="2" s="1"/>
  <c r="Q64" i="2"/>
  <c r="Q157" i="2" s="1"/>
  <c r="H142" i="2"/>
  <c r="F200" i="2"/>
  <c r="F47" i="2"/>
  <c r="F144" i="2" s="1"/>
  <c r="I177" i="2"/>
  <c r="M153" i="2"/>
  <c r="G178" i="2"/>
  <c r="R64" i="2"/>
  <c r="R161" i="2" s="1"/>
  <c r="L178" i="2"/>
  <c r="J77" i="2"/>
  <c r="G187" i="2"/>
  <c r="G34" i="2"/>
  <c r="G135" i="2" s="1"/>
  <c r="H225" i="2"/>
  <c r="H105" i="2"/>
  <c r="F225" i="2"/>
  <c r="F105" i="2"/>
  <c r="D211" i="2"/>
  <c r="P230" i="2"/>
  <c r="P17" i="2"/>
  <c r="P110" i="2" s="1"/>
  <c r="T230" i="2"/>
  <c r="R217" i="2"/>
  <c r="R4" i="2"/>
  <c r="O4" i="2"/>
  <c r="L118" i="2"/>
  <c r="N199" i="2"/>
  <c r="N139" i="2"/>
  <c r="E217" i="2"/>
  <c r="E4" i="2"/>
  <c r="K191" i="2"/>
  <c r="K131" i="2"/>
  <c r="R221" i="2"/>
  <c r="R101" i="2"/>
  <c r="W221" i="2"/>
  <c r="W101" i="2"/>
  <c r="K238" i="2"/>
  <c r="W77" i="2"/>
  <c r="W195" i="2"/>
  <c r="M230" i="2"/>
  <c r="M17" i="2"/>
  <c r="B151" i="2"/>
  <c r="B211" i="2"/>
  <c r="J191" i="2"/>
  <c r="G4" i="2"/>
  <c r="H208" i="2"/>
  <c r="W208" i="2"/>
  <c r="H241" i="2"/>
  <c r="F230" i="2"/>
  <c r="F17" i="2"/>
  <c r="W96" i="2"/>
  <c r="W98" i="2"/>
  <c r="P241" i="2"/>
  <c r="P121" i="2"/>
  <c r="E238" i="2"/>
  <c r="E118" i="2"/>
  <c r="M217" i="2"/>
  <c r="M4" i="2"/>
  <c r="F195" i="2"/>
  <c r="H163" i="2"/>
  <c r="L64" i="2"/>
  <c r="L165" i="2" s="1"/>
  <c r="S195" i="2"/>
  <c r="S135" i="2"/>
  <c r="C187" i="2"/>
  <c r="C34" i="2"/>
  <c r="C135" i="2" s="1"/>
  <c r="L116" i="2"/>
  <c r="S170" i="2"/>
  <c r="H140" i="2"/>
  <c r="S177" i="2"/>
  <c r="Q77" i="2"/>
  <c r="Q174" i="2" s="1"/>
  <c r="K158" i="2"/>
  <c r="U211" i="2"/>
  <c r="U151" i="2"/>
  <c r="I208" i="2"/>
  <c r="H77" i="2"/>
  <c r="H174" i="2" s="1"/>
  <c r="S183" i="2"/>
  <c r="J182" i="2"/>
  <c r="F77" i="2"/>
  <c r="U200" i="2"/>
  <c r="U47" i="2"/>
  <c r="T238" i="2"/>
  <c r="T118" i="2"/>
  <c r="L191" i="2"/>
  <c r="L131" i="2"/>
  <c r="L34" i="2"/>
  <c r="N229" i="2"/>
  <c r="N109" i="2"/>
  <c r="K47" i="2"/>
  <c r="E191" i="2"/>
  <c r="B241" i="2"/>
  <c r="B121" i="2"/>
  <c r="J204" i="2"/>
  <c r="J47" i="2"/>
  <c r="J144" i="2" s="1"/>
  <c r="G195" i="2"/>
  <c r="O230" i="2"/>
  <c r="O17" i="2"/>
  <c r="L238" i="2"/>
  <c r="N140" i="2"/>
  <c r="H144" i="2"/>
  <c r="P187" i="2"/>
  <c r="P127" i="2"/>
  <c r="P34" i="2"/>
  <c r="N112" i="2"/>
  <c r="S211" i="2"/>
  <c r="S151" i="2"/>
  <c r="B152" i="2"/>
  <c r="U135" i="2"/>
  <c r="W103" i="2"/>
  <c r="V208" i="2"/>
  <c r="V148" i="2"/>
  <c r="L200" i="2"/>
  <c r="L140" i="2"/>
  <c r="L47" i="2"/>
  <c r="P122" i="2"/>
  <c r="V234" i="2"/>
  <c r="V114" i="2"/>
  <c r="C191" i="2"/>
  <c r="U217" i="2"/>
  <c r="U4" i="2"/>
  <c r="U97" i="2" s="1"/>
  <c r="V176" i="2"/>
  <c r="L111" i="2"/>
  <c r="W97" i="2"/>
  <c r="D64" i="2"/>
  <c r="D161" i="2" s="1"/>
  <c r="K195" i="2"/>
  <c r="K135" i="2"/>
  <c r="W191" i="2"/>
  <c r="P123" i="2"/>
  <c r="S221" i="2"/>
  <c r="V217" i="2"/>
  <c r="V4" i="2"/>
  <c r="V105" i="2" s="1"/>
  <c r="P165" i="2"/>
  <c r="G165" i="2"/>
  <c r="K157" i="2"/>
  <c r="O152" i="2"/>
  <c r="H200" i="2"/>
  <c r="K174" i="2"/>
  <c r="M211" i="2"/>
  <c r="M151" i="2"/>
  <c r="W200" i="2"/>
  <c r="W140" i="2"/>
  <c r="W47" i="2"/>
  <c r="P77" i="2"/>
  <c r="P174" i="2" s="1"/>
  <c r="L152" i="2"/>
  <c r="V174" i="2"/>
  <c r="S161" i="2"/>
  <c r="L153" i="2"/>
  <c r="W107" i="2"/>
  <c r="D178" i="2"/>
  <c r="B77" i="2"/>
  <c r="B170" i="2" s="1"/>
  <c r="D238" i="2"/>
  <c r="D17" i="2"/>
  <c r="V225" i="2"/>
  <c r="I204" i="2"/>
  <c r="I144" i="2"/>
  <c r="E34" i="2"/>
  <c r="T211" i="2"/>
  <c r="W187" i="2"/>
  <c r="W34" i="2"/>
  <c r="W135" i="2" s="1"/>
  <c r="N238" i="2"/>
  <c r="N118" i="2"/>
  <c r="M238" i="2"/>
  <c r="M118" i="2"/>
  <c r="R241" i="2"/>
  <c r="R121" i="2"/>
  <c r="O77" i="2"/>
  <c r="O178" i="2" s="1"/>
  <c r="P195" i="2"/>
  <c r="P135" i="2"/>
  <c r="I191" i="2"/>
  <c r="B234" i="2"/>
  <c r="B114" i="2"/>
  <c r="S153" i="2"/>
  <c r="R211" i="2"/>
  <c r="R151" i="2"/>
  <c r="F191" i="2"/>
  <c r="K17" i="2"/>
  <c r="L114" i="2"/>
  <c r="J187" i="2"/>
  <c r="J127" i="2"/>
  <c r="J34" i="2"/>
  <c r="J131" i="2" s="1"/>
  <c r="V200" i="2"/>
  <c r="F187" i="2"/>
  <c r="F34" i="2"/>
  <c r="O195" i="2"/>
  <c r="L161" i="2" l="1"/>
  <c r="C127" i="2"/>
  <c r="B157" i="2"/>
  <c r="M97" i="2"/>
  <c r="T161" i="2"/>
  <c r="U114" i="2"/>
  <c r="F101" i="2"/>
  <c r="W106" i="2"/>
  <c r="W108" i="2"/>
  <c r="W99" i="2"/>
  <c r="N131" i="2"/>
  <c r="M114" i="2"/>
  <c r="D118" i="2"/>
  <c r="M110" i="2"/>
  <c r="L97" i="2"/>
  <c r="Q97" i="2"/>
  <c r="O110" i="2"/>
  <c r="L157" i="2"/>
  <c r="N116" i="2"/>
  <c r="N113" i="2"/>
  <c r="N110" i="2"/>
  <c r="N111" i="2"/>
  <c r="N115" i="2"/>
  <c r="N119" i="2"/>
  <c r="N117" i="2"/>
  <c r="R97" i="2"/>
  <c r="W110" i="2"/>
  <c r="P118" i="2"/>
  <c r="H186" i="2"/>
  <c r="H126" i="2"/>
  <c r="H131" i="2"/>
  <c r="H130" i="2"/>
  <c r="H138" i="2"/>
  <c r="H132" i="2"/>
  <c r="H128" i="2"/>
  <c r="H136" i="2"/>
  <c r="H137" i="2"/>
  <c r="H129" i="2"/>
  <c r="H133" i="2"/>
  <c r="B199" i="2"/>
  <c r="B139" i="2"/>
  <c r="B141" i="2"/>
  <c r="B145" i="2"/>
  <c r="B140" i="2"/>
  <c r="B142" i="2"/>
  <c r="B143" i="2"/>
  <c r="B149" i="2"/>
  <c r="B146" i="2"/>
  <c r="B147" i="2"/>
  <c r="B148" i="2"/>
  <c r="J156" i="2"/>
  <c r="J168" i="2"/>
  <c r="J160" i="2"/>
  <c r="J166" i="2"/>
  <c r="J158" i="2"/>
  <c r="J159" i="2"/>
  <c r="J163" i="2"/>
  <c r="J167" i="2"/>
  <c r="J165" i="2"/>
  <c r="G131" i="2"/>
  <c r="V101" i="2"/>
  <c r="E186" i="2"/>
  <c r="E126" i="2"/>
  <c r="E136" i="2"/>
  <c r="E133" i="2"/>
  <c r="E132" i="2"/>
  <c r="E130" i="2"/>
  <c r="E137" i="2"/>
  <c r="E128" i="2"/>
  <c r="E138" i="2"/>
  <c r="E129" i="2"/>
  <c r="E135" i="2"/>
  <c r="E127" i="2"/>
  <c r="B169" i="2"/>
  <c r="B173" i="2"/>
  <c r="B175" i="2"/>
  <c r="B178" i="2"/>
  <c r="B172" i="2"/>
  <c r="B177" i="2"/>
  <c r="B179" i="2"/>
  <c r="B171" i="2"/>
  <c r="B176" i="2"/>
  <c r="B174" i="2"/>
  <c r="V97" i="2"/>
  <c r="P186" i="2"/>
  <c r="P126" i="2"/>
  <c r="P128" i="2"/>
  <c r="P129" i="2"/>
  <c r="P130" i="2"/>
  <c r="P137" i="2"/>
  <c r="P132" i="2"/>
  <c r="P131" i="2"/>
  <c r="P138" i="2"/>
  <c r="P136" i="2"/>
  <c r="P133" i="2"/>
  <c r="E131" i="2"/>
  <c r="M216" i="2"/>
  <c r="M96" i="2"/>
  <c r="M105" i="2"/>
  <c r="M99" i="2"/>
  <c r="M108" i="2"/>
  <c r="M103" i="2"/>
  <c r="M106" i="2"/>
  <c r="M107" i="2"/>
  <c r="M101" i="2"/>
  <c r="M100" i="2"/>
  <c r="M98" i="2"/>
  <c r="M102" i="2"/>
  <c r="G127" i="2"/>
  <c r="O156" i="2"/>
  <c r="O168" i="2"/>
  <c r="O163" i="2"/>
  <c r="O167" i="2"/>
  <c r="O158" i="2"/>
  <c r="O157" i="2"/>
  <c r="O160" i="2"/>
  <c r="O166" i="2"/>
  <c r="O161" i="2"/>
  <c r="O159" i="2"/>
  <c r="V186" i="2"/>
  <c r="V126" i="2"/>
  <c r="V137" i="2"/>
  <c r="V128" i="2"/>
  <c r="V133" i="2"/>
  <c r="V138" i="2"/>
  <c r="V129" i="2"/>
  <c r="V136" i="2"/>
  <c r="V132" i="2"/>
  <c r="V130" i="2"/>
  <c r="H135" i="2"/>
  <c r="H127" i="2"/>
  <c r="B144" i="2"/>
  <c r="K169" i="2"/>
  <c r="K170" i="2"/>
  <c r="K171" i="2"/>
  <c r="K175" i="2"/>
  <c r="K178" i="2"/>
  <c r="K172" i="2"/>
  <c r="K176" i="2"/>
  <c r="K177" i="2"/>
  <c r="K179" i="2"/>
  <c r="K173" i="2"/>
  <c r="T169" i="2"/>
  <c r="T175" i="2"/>
  <c r="T171" i="2"/>
  <c r="T173" i="2"/>
  <c r="T174" i="2"/>
  <c r="T179" i="2"/>
  <c r="T177" i="2"/>
  <c r="T172" i="2"/>
  <c r="T176" i="2"/>
  <c r="J157" i="2"/>
  <c r="C101" i="2"/>
  <c r="V135" i="2"/>
  <c r="E229" i="2"/>
  <c r="E109" i="2"/>
  <c r="E113" i="2"/>
  <c r="E115" i="2"/>
  <c r="E117" i="2"/>
  <c r="E119" i="2"/>
  <c r="E112" i="2"/>
  <c r="E116" i="2"/>
  <c r="E111" i="2"/>
  <c r="G156" i="2"/>
  <c r="G160" i="2"/>
  <c r="G166" i="2"/>
  <c r="G161" i="2"/>
  <c r="G158" i="2"/>
  <c r="G159" i="2"/>
  <c r="G168" i="2"/>
  <c r="G167" i="2"/>
  <c r="G163" i="2"/>
  <c r="O199" i="2"/>
  <c r="O139" i="2"/>
  <c r="O145" i="2"/>
  <c r="O143" i="2"/>
  <c r="O144" i="2"/>
  <c r="O149" i="2"/>
  <c r="O142" i="2"/>
  <c r="O141" i="2"/>
  <c r="O147" i="2"/>
  <c r="O146" i="2"/>
  <c r="B156" i="2"/>
  <c r="B160" i="2"/>
  <c r="B166" i="2"/>
  <c r="B158" i="2"/>
  <c r="B159" i="2"/>
  <c r="B165" i="2"/>
  <c r="B163" i="2"/>
  <c r="B167" i="2"/>
  <c r="B168" i="2"/>
  <c r="S186" i="2"/>
  <c r="S126" i="2"/>
  <c r="S133" i="2"/>
  <c r="S138" i="2"/>
  <c r="S128" i="2"/>
  <c r="S131" i="2"/>
  <c r="S132" i="2"/>
  <c r="S129" i="2"/>
  <c r="S136" i="2"/>
  <c r="S130" i="2"/>
  <c r="S137" i="2"/>
  <c r="M169" i="2"/>
  <c r="M173" i="2"/>
  <c r="M177" i="2"/>
  <c r="M176" i="2"/>
  <c r="M179" i="2"/>
  <c r="M171" i="2"/>
  <c r="M172" i="2"/>
  <c r="M175" i="2"/>
  <c r="M174" i="2"/>
  <c r="M178" i="2"/>
  <c r="N216" i="2"/>
  <c r="N96" i="2"/>
  <c r="N100" i="2"/>
  <c r="N108" i="2"/>
  <c r="N102" i="2"/>
  <c r="N99" i="2"/>
  <c r="N107" i="2"/>
  <c r="N106" i="2"/>
  <c r="N103" i="2"/>
  <c r="N98" i="2"/>
  <c r="F186" i="2"/>
  <c r="F126" i="2"/>
  <c r="F129" i="2"/>
  <c r="F130" i="2"/>
  <c r="F132" i="2"/>
  <c r="F136" i="2"/>
  <c r="F137" i="2"/>
  <c r="F128" i="2"/>
  <c r="F133" i="2"/>
  <c r="F138" i="2"/>
  <c r="K229" i="2"/>
  <c r="K109" i="2"/>
  <c r="K113" i="2"/>
  <c r="K115" i="2"/>
  <c r="K119" i="2"/>
  <c r="K111" i="2"/>
  <c r="K114" i="2"/>
  <c r="K112" i="2"/>
  <c r="K110" i="2"/>
  <c r="K116" i="2"/>
  <c r="K117" i="2"/>
  <c r="S101" i="2"/>
  <c r="D157" i="2"/>
  <c r="K199" i="2"/>
  <c r="K139" i="2"/>
  <c r="K144" i="2"/>
  <c r="K147" i="2"/>
  <c r="K140" i="2"/>
  <c r="K145" i="2"/>
  <c r="K142" i="2"/>
  <c r="K143" i="2"/>
  <c r="K146" i="2"/>
  <c r="K149" i="2"/>
  <c r="K141" i="2"/>
  <c r="U139" i="2"/>
  <c r="U199" i="2"/>
  <c r="U142" i="2"/>
  <c r="U143" i="2"/>
  <c r="U146" i="2"/>
  <c r="U147" i="2"/>
  <c r="U149" i="2"/>
  <c r="U148" i="2"/>
  <c r="U141" i="2"/>
  <c r="U145" i="2"/>
  <c r="F229" i="2"/>
  <c r="F109" i="2"/>
  <c r="F116" i="2"/>
  <c r="F113" i="2"/>
  <c r="F115" i="2"/>
  <c r="F111" i="2"/>
  <c r="F119" i="2"/>
  <c r="F112" i="2"/>
  <c r="F117" i="2"/>
  <c r="O216" i="2"/>
  <c r="O96" i="2"/>
  <c r="O103" i="2"/>
  <c r="O108" i="2"/>
  <c r="O102" i="2"/>
  <c r="O101" i="2"/>
  <c r="O100" i="2"/>
  <c r="O107" i="2"/>
  <c r="O98" i="2"/>
  <c r="O97" i="2"/>
  <c r="O99" i="2"/>
  <c r="O106" i="2"/>
  <c r="J169" i="2"/>
  <c r="J177" i="2"/>
  <c r="J171" i="2"/>
  <c r="J176" i="2"/>
  <c r="J173" i="2"/>
  <c r="J172" i="2"/>
  <c r="J175" i="2"/>
  <c r="J178" i="2"/>
  <c r="J179" i="2"/>
  <c r="F199" i="2"/>
  <c r="F139" i="2"/>
  <c r="F142" i="2"/>
  <c r="F149" i="2"/>
  <c r="F143" i="2"/>
  <c r="F141" i="2"/>
  <c r="F147" i="2"/>
  <c r="F145" i="2"/>
  <c r="F146" i="2"/>
  <c r="J174" i="2"/>
  <c r="B216" i="2"/>
  <c r="B96" i="2"/>
  <c r="B103" i="2"/>
  <c r="B99" i="2"/>
  <c r="B108" i="2"/>
  <c r="B100" i="2"/>
  <c r="B97" i="2"/>
  <c r="B106" i="2"/>
  <c r="B98" i="2"/>
  <c r="B107" i="2"/>
  <c r="B105" i="2"/>
  <c r="S127" i="2"/>
  <c r="B186" i="2"/>
  <c r="B126" i="2"/>
  <c r="B138" i="2"/>
  <c r="B128" i="2"/>
  <c r="B133" i="2"/>
  <c r="B129" i="2"/>
  <c r="B136" i="2"/>
  <c r="B130" i="2"/>
  <c r="B137" i="2"/>
  <c r="R199" i="2"/>
  <c r="R139" i="2"/>
  <c r="R149" i="2"/>
  <c r="R145" i="2"/>
  <c r="R148" i="2"/>
  <c r="R140" i="2"/>
  <c r="R147" i="2"/>
  <c r="R146" i="2"/>
  <c r="R142" i="2"/>
  <c r="R141" i="2"/>
  <c r="R143" i="2"/>
  <c r="G169" i="2"/>
  <c r="G173" i="2"/>
  <c r="G170" i="2"/>
  <c r="G177" i="2"/>
  <c r="G179" i="2"/>
  <c r="G176" i="2"/>
  <c r="G172" i="2"/>
  <c r="G175" i="2"/>
  <c r="G171" i="2"/>
  <c r="C169" i="2"/>
  <c r="C178" i="2"/>
  <c r="C175" i="2"/>
  <c r="C171" i="2"/>
  <c r="C170" i="2"/>
  <c r="C176" i="2"/>
  <c r="C173" i="2"/>
  <c r="C179" i="2"/>
  <c r="C177" i="2"/>
  <c r="C172" i="2"/>
  <c r="V156" i="2"/>
  <c r="V161" i="2"/>
  <c r="V160" i="2"/>
  <c r="V159" i="2"/>
  <c r="V163" i="2"/>
  <c r="V157" i="2"/>
  <c r="V167" i="2"/>
  <c r="V166" i="2"/>
  <c r="V158" i="2"/>
  <c r="V168" i="2"/>
  <c r="V229" i="2"/>
  <c r="V109" i="2"/>
  <c r="V115" i="2"/>
  <c r="V117" i="2"/>
  <c r="V112" i="2"/>
  <c r="V116" i="2"/>
  <c r="V111" i="2"/>
  <c r="V119" i="2"/>
  <c r="V113" i="2"/>
  <c r="C174" i="2"/>
  <c r="J229" i="2"/>
  <c r="J109" i="2"/>
  <c r="J116" i="2"/>
  <c r="J117" i="2"/>
  <c r="J111" i="2"/>
  <c r="J115" i="2"/>
  <c r="J118" i="2"/>
  <c r="J113" i="2"/>
  <c r="J112" i="2"/>
  <c r="J119" i="2"/>
  <c r="T186" i="2"/>
  <c r="T126" i="2"/>
  <c r="T133" i="2"/>
  <c r="T130" i="2"/>
  <c r="T127" i="2"/>
  <c r="T137" i="2"/>
  <c r="T128" i="2"/>
  <c r="T138" i="2"/>
  <c r="T132" i="2"/>
  <c r="T135" i="2"/>
  <c r="T129" i="2"/>
  <c r="T136" i="2"/>
  <c r="J114" i="2"/>
  <c r="N97" i="2"/>
  <c r="P229" i="2"/>
  <c r="P109" i="2"/>
  <c r="P117" i="2"/>
  <c r="P119" i="2"/>
  <c r="P112" i="2"/>
  <c r="P111" i="2"/>
  <c r="P115" i="2"/>
  <c r="P116" i="2"/>
  <c r="P113" i="2"/>
  <c r="W156" i="2"/>
  <c r="W163" i="2"/>
  <c r="W168" i="2"/>
  <c r="W167" i="2"/>
  <c r="W158" i="2"/>
  <c r="W161" i="2"/>
  <c r="W157" i="2"/>
  <c r="W160" i="2"/>
  <c r="W159" i="2"/>
  <c r="W166" i="2"/>
  <c r="G216" i="2"/>
  <c r="G96" i="2"/>
  <c r="G102" i="2"/>
  <c r="G108" i="2"/>
  <c r="G106" i="2"/>
  <c r="G98" i="2"/>
  <c r="G99" i="2"/>
  <c r="G103" i="2"/>
  <c r="G107" i="2"/>
  <c r="G97" i="2"/>
  <c r="G100" i="2"/>
  <c r="S216" i="2"/>
  <c r="S96" i="2"/>
  <c r="S99" i="2"/>
  <c r="S103" i="2"/>
  <c r="S98" i="2"/>
  <c r="S105" i="2"/>
  <c r="S100" i="2"/>
  <c r="S107" i="2"/>
  <c r="S106" i="2"/>
  <c r="S102" i="2"/>
  <c r="S108" i="2"/>
  <c r="I199" i="2"/>
  <c r="I139" i="2"/>
  <c r="I147" i="2"/>
  <c r="I146" i="2"/>
  <c r="I149" i="2"/>
  <c r="I143" i="2"/>
  <c r="I141" i="2"/>
  <c r="I145" i="2"/>
  <c r="I142" i="2"/>
  <c r="F127" i="2"/>
  <c r="F131" i="2"/>
  <c r="W199" i="2"/>
  <c r="W139" i="2"/>
  <c r="W141" i="2"/>
  <c r="W146" i="2"/>
  <c r="W149" i="2"/>
  <c r="W145" i="2"/>
  <c r="W144" i="2"/>
  <c r="W143" i="2"/>
  <c r="W147" i="2"/>
  <c r="W142" i="2"/>
  <c r="J199" i="2"/>
  <c r="J139" i="2"/>
  <c r="J140" i="2"/>
  <c r="J148" i="2"/>
  <c r="J146" i="2"/>
  <c r="J147" i="2"/>
  <c r="J141" i="2"/>
  <c r="J142" i="2"/>
  <c r="J149" i="2"/>
  <c r="J143" i="2"/>
  <c r="J145" i="2"/>
  <c r="U140" i="2"/>
  <c r="L156" i="2"/>
  <c r="L163" i="2"/>
  <c r="L158" i="2"/>
  <c r="L167" i="2"/>
  <c r="L160" i="2"/>
  <c r="L159" i="2"/>
  <c r="L166" i="2"/>
  <c r="L168" i="2"/>
  <c r="F110" i="2"/>
  <c r="W169" i="2"/>
  <c r="W176" i="2"/>
  <c r="W174" i="2"/>
  <c r="W171" i="2"/>
  <c r="W175" i="2"/>
  <c r="W173" i="2"/>
  <c r="W170" i="2"/>
  <c r="W177" i="2"/>
  <c r="W179" i="2"/>
  <c r="W172" i="2"/>
  <c r="R216" i="2"/>
  <c r="R96" i="2"/>
  <c r="R106" i="2"/>
  <c r="R99" i="2"/>
  <c r="R98" i="2"/>
  <c r="R107" i="2"/>
  <c r="R108" i="2"/>
  <c r="R102" i="2"/>
  <c r="R100" i="2"/>
  <c r="R105" i="2"/>
  <c r="R103" i="2"/>
  <c r="J170" i="2"/>
  <c r="F140" i="2"/>
  <c r="F114" i="2"/>
  <c r="C229" i="2"/>
  <c r="C109" i="2"/>
  <c r="C111" i="2"/>
  <c r="C114" i="2"/>
  <c r="C112" i="2"/>
  <c r="C110" i="2"/>
  <c r="C117" i="2"/>
  <c r="C116" i="2"/>
  <c r="C119" i="2"/>
  <c r="C113" i="2"/>
  <c r="C115" i="2"/>
  <c r="L216" i="2"/>
  <c r="L96" i="2"/>
  <c r="L101" i="2"/>
  <c r="L99" i="2"/>
  <c r="L98" i="2"/>
  <c r="L100" i="2"/>
  <c r="L102" i="2"/>
  <c r="L107" i="2"/>
  <c r="L106" i="2"/>
  <c r="L103" i="2"/>
  <c r="L108" i="2"/>
  <c r="O105" i="2"/>
  <c r="B127" i="2"/>
  <c r="N156" i="2"/>
  <c r="N161" i="2"/>
  <c r="N160" i="2"/>
  <c r="N159" i="2"/>
  <c r="N163" i="2"/>
  <c r="N157" i="2"/>
  <c r="N166" i="2"/>
  <c r="N168" i="2"/>
  <c r="N158" i="2"/>
  <c r="N167" i="2"/>
  <c r="R144" i="2"/>
  <c r="H216" i="2"/>
  <c r="H96" i="2"/>
  <c r="H99" i="2"/>
  <c r="H108" i="2"/>
  <c r="H97" i="2"/>
  <c r="H106" i="2"/>
  <c r="H98" i="2"/>
  <c r="H107" i="2"/>
  <c r="H102" i="2"/>
  <c r="H103" i="2"/>
  <c r="H100" i="2"/>
  <c r="G174" i="2"/>
  <c r="F118" i="2"/>
  <c r="V131" i="2"/>
  <c r="J216" i="2"/>
  <c r="J96" i="2"/>
  <c r="J103" i="2"/>
  <c r="J98" i="2"/>
  <c r="J107" i="2"/>
  <c r="J97" i="2"/>
  <c r="J108" i="2"/>
  <c r="J102" i="2"/>
  <c r="J100" i="2"/>
  <c r="J106" i="2"/>
  <c r="J99" i="2"/>
  <c r="J105" i="2"/>
  <c r="N186" i="2"/>
  <c r="N126" i="2"/>
  <c r="N133" i="2"/>
  <c r="N138" i="2"/>
  <c r="N129" i="2"/>
  <c r="N128" i="2"/>
  <c r="N136" i="2"/>
  <c r="N130" i="2"/>
  <c r="N132" i="2"/>
  <c r="N137" i="2"/>
  <c r="V110" i="2"/>
  <c r="W178" i="2"/>
  <c r="V165" i="2"/>
  <c r="J110" i="2"/>
  <c r="B131" i="2"/>
  <c r="Q186" i="2"/>
  <c r="Q126" i="2"/>
  <c r="Q132" i="2"/>
  <c r="Q133" i="2"/>
  <c r="Q138" i="2"/>
  <c r="Q128" i="2"/>
  <c r="Q137" i="2"/>
  <c r="Q131" i="2"/>
  <c r="Q130" i="2"/>
  <c r="Q136" i="2"/>
  <c r="Q129" i="2"/>
  <c r="T131" i="2"/>
  <c r="R229" i="2"/>
  <c r="R109" i="2"/>
  <c r="R113" i="2"/>
  <c r="R112" i="2"/>
  <c r="R119" i="2"/>
  <c r="R115" i="2"/>
  <c r="R118" i="2"/>
  <c r="R116" i="2"/>
  <c r="R117" i="2"/>
  <c r="R114" i="2"/>
  <c r="R111" i="2"/>
  <c r="U169" i="2"/>
  <c r="U174" i="2"/>
  <c r="U173" i="2"/>
  <c r="U177" i="2"/>
  <c r="U176" i="2"/>
  <c r="U179" i="2"/>
  <c r="U171" i="2"/>
  <c r="U172" i="2"/>
  <c r="U175" i="2"/>
  <c r="S199" i="2"/>
  <c r="S139" i="2"/>
  <c r="S141" i="2"/>
  <c r="S149" i="2"/>
  <c r="S145" i="2"/>
  <c r="S144" i="2"/>
  <c r="S147" i="2"/>
  <c r="S142" i="2"/>
  <c r="S143" i="2"/>
  <c r="S140" i="2"/>
  <c r="S146" i="2"/>
  <c r="P169" i="2"/>
  <c r="P173" i="2"/>
  <c r="P170" i="2"/>
  <c r="P177" i="2"/>
  <c r="P172" i="2"/>
  <c r="P175" i="2"/>
  <c r="P179" i="2"/>
  <c r="P178" i="2"/>
  <c r="P176" i="2"/>
  <c r="P171" i="2"/>
  <c r="W216" i="2"/>
  <c r="D216" i="2"/>
  <c r="D96" i="2"/>
  <c r="D103" i="2"/>
  <c r="D100" i="2"/>
  <c r="D102" i="2"/>
  <c r="D107" i="2"/>
  <c r="D106" i="2"/>
  <c r="D108" i="2"/>
  <c r="D99" i="2"/>
  <c r="D105" i="2"/>
  <c r="D98" i="2"/>
  <c r="D101" i="2"/>
  <c r="W186" i="2"/>
  <c r="W126" i="2"/>
  <c r="W129" i="2"/>
  <c r="W130" i="2"/>
  <c r="W128" i="2"/>
  <c r="W133" i="2"/>
  <c r="W132" i="2"/>
  <c r="W136" i="2"/>
  <c r="W138" i="2"/>
  <c r="W137" i="2"/>
  <c r="I148" i="2"/>
  <c r="K118" i="2"/>
  <c r="E216" i="2"/>
  <c r="E96" i="2"/>
  <c r="E108" i="2"/>
  <c r="E103" i="2"/>
  <c r="E107" i="2"/>
  <c r="E100" i="2"/>
  <c r="E101" i="2"/>
  <c r="E98" i="2"/>
  <c r="E102" i="2"/>
  <c r="E105" i="2"/>
  <c r="E106" i="2"/>
  <c r="E99" i="2"/>
  <c r="G105" i="2"/>
  <c r="T156" i="2"/>
  <c r="T166" i="2"/>
  <c r="T168" i="2"/>
  <c r="T163" i="2"/>
  <c r="T158" i="2"/>
  <c r="T167" i="2"/>
  <c r="T160" i="2"/>
  <c r="T159" i="2"/>
  <c r="E169" i="2"/>
  <c r="E176" i="2"/>
  <c r="E173" i="2"/>
  <c r="E177" i="2"/>
  <c r="E178" i="2"/>
  <c r="E179" i="2"/>
  <c r="E172" i="2"/>
  <c r="E171" i="2"/>
  <c r="E174" i="2"/>
  <c r="E175" i="2"/>
  <c r="I186" i="2"/>
  <c r="I126" i="2"/>
  <c r="I138" i="2"/>
  <c r="I131" i="2"/>
  <c r="I128" i="2"/>
  <c r="I137" i="2"/>
  <c r="I130" i="2"/>
  <c r="I132" i="2"/>
  <c r="I129" i="2"/>
  <c r="I136" i="2"/>
  <c r="I133" i="2"/>
  <c r="T216" i="2"/>
  <c r="T96" i="2"/>
  <c r="T106" i="2"/>
  <c r="T98" i="2"/>
  <c r="T108" i="2"/>
  <c r="T103" i="2"/>
  <c r="T99" i="2"/>
  <c r="T101" i="2"/>
  <c r="T105" i="2"/>
  <c r="T100" i="2"/>
  <c r="T102" i="2"/>
  <c r="T107" i="2"/>
  <c r="N165" i="2"/>
  <c r="U144" i="2"/>
  <c r="G229" i="2"/>
  <c r="G109" i="2"/>
  <c r="G113" i="2"/>
  <c r="G112" i="2"/>
  <c r="G116" i="2"/>
  <c r="G118" i="2"/>
  <c r="G117" i="2"/>
  <c r="G111" i="2"/>
  <c r="G114" i="2"/>
  <c r="G119" i="2"/>
  <c r="G115" i="2"/>
  <c r="N127" i="2"/>
  <c r="L169" i="2"/>
  <c r="L179" i="2"/>
  <c r="L173" i="2"/>
  <c r="L174" i="2"/>
  <c r="L177" i="2"/>
  <c r="L171" i="2"/>
  <c r="L172" i="2"/>
  <c r="L176" i="2"/>
  <c r="L175" i="2"/>
  <c r="G199" i="2"/>
  <c r="G139" i="2"/>
  <c r="G144" i="2"/>
  <c r="G141" i="2"/>
  <c r="G142" i="2"/>
  <c r="G145" i="2"/>
  <c r="G149" i="2"/>
  <c r="G146" i="2"/>
  <c r="G143" i="2"/>
  <c r="G147" i="2"/>
  <c r="R186" i="2"/>
  <c r="R126" i="2"/>
  <c r="R135" i="2"/>
  <c r="R129" i="2"/>
  <c r="R136" i="2"/>
  <c r="R128" i="2"/>
  <c r="R138" i="2"/>
  <c r="R137" i="2"/>
  <c r="R133" i="2"/>
  <c r="R132" i="2"/>
  <c r="R130" i="2"/>
  <c r="Q127" i="2"/>
  <c r="V199" i="2"/>
  <c r="B229" i="2"/>
  <c r="B109" i="2"/>
  <c r="B116" i="2"/>
  <c r="B117" i="2"/>
  <c r="B118" i="2"/>
  <c r="B115" i="2"/>
  <c r="B111" i="2"/>
  <c r="B113" i="2"/>
  <c r="B112" i="2"/>
  <c r="B119" i="2"/>
  <c r="P156" i="2"/>
  <c r="P158" i="2"/>
  <c r="P157" i="2"/>
  <c r="P166" i="2"/>
  <c r="P163" i="2"/>
  <c r="P160" i="2"/>
  <c r="P159" i="2"/>
  <c r="P168" i="2"/>
  <c r="P167" i="2"/>
  <c r="R110" i="2"/>
  <c r="P199" i="2"/>
  <c r="S148" i="2"/>
  <c r="V216" i="2"/>
  <c r="V96" i="2"/>
  <c r="V100" i="2"/>
  <c r="V98" i="2"/>
  <c r="V108" i="2"/>
  <c r="V102" i="2"/>
  <c r="V107" i="2"/>
  <c r="V103" i="2"/>
  <c r="V106" i="2"/>
  <c r="V99" i="2"/>
  <c r="G186" i="2"/>
  <c r="G126" i="2"/>
  <c r="G129" i="2"/>
  <c r="G136" i="2"/>
  <c r="G133" i="2"/>
  <c r="G128" i="2"/>
  <c r="G138" i="2"/>
  <c r="G137" i="2"/>
  <c r="G132" i="2"/>
  <c r="G130" i="2"/>
  <c r="D156" i="2"/>
  <c r="D163" i="2"/>
  <c r="D168" i="2"/>
  <c r="D158" i="2"/>
  <c r="D167" i="2"/>
  <c r="D160" i="2"/>
  <c r="D159" i="2"/>
  <c r="D166" i="2"/>
  <c r="H169" i="2"/>
  <c r="H176" i="2"/>
  <c r="H173" i="2"/>
  <c r="H170" i="2"/>
  <c r="H177" i="2"/>
  <c r="H172" i="2"/>
  <c r="H175" i="2"/>
  <c r="H179" i="2"/>
  <c r="H171" i="2"/>
  <c r="H178" i="2"/>
  <c r="P114" i="2"/>
  <c r="Q199" i="2"/>
  <c r="Q139" i="2"/>
  <c r="Q143" i="2"/>
  <c r="Q141" i="2"/>
  <c r="Q142" i="2"/>
  <c r="Q145" i="2"/>
  <c r="Q147" i="2"/>
  <c r="Q146" i="2"/>
  <c r="Q149" i="2"/>
  <c r="O169" i="2"/>
  <c r="O175" i="2"/>
  <c r="O171" i="2"/>
  <c r="O173" i="2"/>
  <c r="O170" i="2"/>
  <c r="O177" i="2"/>
  <c r="O172" i="2"/>
  <c r="O174" i="2"/>
  <c r="O176" i="2"/>
  <c r="O179" i="2"/>
  <c r="W127" i="2"/>
  <c r="D229" i="2"/>
  <c r="D109" i="2"/>
  <c r="D117" i="2"/>
  <c r="D112" i="2"/>
  <c r="D110" i="2"/>
  <c r="D115" i="2"/>
  <c r="D119" i="2"/>
  <c r="D113" i="2"/>
  <c r="D114" i="2"/>
  <c r="D111" i="2"/>
  <c r="D116" i="2"/>
  <c r="J161" i="2"/>
  <c r="W131" i="2"/>
  <c r="L199" i="2"/>
  <c r="L139" i="2"/>
  <c r="L141" i="2"/>
  <c r="L146" i="2"/>
  <c r="L149" i="2"/>
  <c r="L142" i="2"/>
  <c r="L147" i="2"/>
  <c r="L144" i="2"/>
  <c r="L145" i="2"/>
  <c r="L148" i="2"/>
  <c r="L143" i="2"/>
  <c r="L186" i="2"/>
  <c r="L126" i="2"/>
  <c r="L127" i="2"/>
  <c r="L132" i="2"/>
  <c r="L138" i="2"/>
  <c r="L135" i="2"/>
  <c r="L133" i="2"/>
  <c r="L129" i="2"/>
  <c r="L137" i="2"/>
  <c r="L128" i="2"/>
  <c r="L136" i="2"/>
  <c r="L130" i="2"/>
  <c r="E97" i="2"/>
  <c r="R156" i="2"/>
  <c r="R163" i="2"/>
  <c r="R160" i="2"/>
  <c r="R167" i="2"/>
  <c r="R168" i="2"/>
  <c r="R166" i="2"/>
  <c r="R165" i="2"/>
  <c r="R158" i="2"/>
  <c r="R159" i="2"/>
  <c r="R157" i="2"/>
  <c r="K186" i="2"/>
  <c r="K126" i="2"/>
  <c r="K132" i="2"/>
  <c r="K129" i="2"/>
  <c r="K136" i="2"/>
  <c r="K130" i="2"/>
  <c r="K133" i="2"/>
  <c r="K137" i="2"/>
  <c r="K128" i="2"/>
  <c r="K138" i="2"/>
  <c r="T157" i="2"/>
  <c r="F148" i="2"/>
  <c r="E170" i="2"/>
  <c r="U229" i="2"/>
  <c r="U109" i="2"/>
  <c r="U112" i="2"/>
  <c r="U116" i="2"/>
  <c r="U113" i="2"/>
  <c r="U119" i="2"/>
  <c r="U111" i="2"/>
  <c r="U115" i="2"/>
  <c r="U117" i="2"/>
  <c r="I127" i="2"/>
  <c r="R169" i="2"/>
  <c r="R177" i="2"/>
  <c r="R173" i="2"/>
  <c r="R171" i="2"/>
  <c r="R176" i="2"/>
  <c r="R179" i="2"/>
  <c r="R175" i="2"/>
  <c r="R178" i="2"/>
  <c r="R172" i="2"/>
  <c r="W165" i="2"/>
  <c r="G110" i="2"/>
  <c r="M199" i="2"/>
  <c r="M139" i="2"/>
  <c r="M148" i="2"/>
  <c r="M142" i="2"/>
  <c r="M146" i="2"/>
  <c r="M145" i="2"/>
  <c r="M149" i="2"/>
  <c r="M141" i="2"/>
  <c r="M147" i="2"/>
  <c r="M143" i="2"/>
  <c r="L170" i="2"/>
  <c r="G140" i="2"/>
  <c r="F216" i="2"/>
  <c r="F96" i="2"/>
  <c r="F108" i="2"/>
  <c r="F106" i="2"/>
  <c r="F107" i="2"/>
  <c r="F103" i="2"/>
  <c r="F99" i="2"/>
  <c r="F102" i="2"/>
  <c r="F100" i="2"/>
  <c r="F98" i="2"/>
  <c r="K216" i="2"/>
  <c r="K96" i="2"/>
  <c r="K103" i="2"/>
  <c r="K102" i="2"/>
  <c r="K108" i="2"/>
  <c r="K105" i="2"/>
  <c r="K100" i="2"/>
  <c r="K107" i="2"/>
  <c r="K106" i="2"/>
  <c r="K98" i="2"/>
  <c r="K99" i="2"/>
  <c r="R127" i="2"/>
  <c r="D186" i="2"/>
  <c r="D126" i="2"/>
  <c r="D138" i="2"/>
  <c r="D135" i="2"/>
  <c r="D129" i="2"/>
  <c r="D136" i="2"/>
  <c r="D130" i="2"/>
  <c r="D133" i="2"/>
  <c r="D132" i="2"/>
  <c r="D127" i="2"/>
  <c r="D137" i="2"/>
  <c r="D128" i="2"/>
  <c r="H229" i="2"/>
  <c r="H109" i="2"/>
  <c r="H111" i="2"/>
  <c r="H116" i="2"/>
  <c r="H115" i="2"/>
  <c r="H113" i="2"/>
  <c r="H112" i="2"/>
  <c r="H117" i="2"/>
  <c r="H119" i="2"/>
  <c r="B110" i="2"/>
  <c r="P161" i="2"/>
  <c r="B135" i="2"/>
  <c r="D169" i="2"/>
  <c r="D173" i="2"/>
  <c r="D177" i="2"/>
  <c r="D174" i="2"/>
  <c r="D171" i="2"/>
  <c r="D175" i="2"/>
  <c r="D179" i="2"/>
  <c r="D176" i="2"/>
  <c r="D172" i="2"/>
  <c r="Q169" i="2"/>
  <c r="Q170" i="2"/>
  <c r="Q179" i="2"/>
  <c r="Q177" i="2"/>
  <c r="Q171" i="2"/>
  <c r="Q178" i="2"/>
  <c r="Q229" i="2"/>
  <c r="Q176" i="2"/>
  <c r="Q172" i="2"/>
  <c r="Q175" i="2"/>
  <c r="Q173" i="2"/>
  <c r="C216" i="2"/>
  <c r="C96" i="2"/>
  <c r="C105" i="2"/>
  <c r="C100" i="2"/>
  <c r="C107" i="2"/>
  <c r="C106" i="2"/>
  <c r="C98" i="2"/>
  <c r="C108" i="2"/>
  <c r="C99" i="2"/>
  <c r="C103" i="2"/>
  <c r="I216" i="2"/>
  <c r="I96" i="2"/>
  <c r="I108" i="2"/>
  <c r="I100" i="2"/>
  <c r="I98" i="2"/>
  <c r="I99" i="2"/>
  <c r="I106" i="2"/>
  <c r="I105" i="2"/>
  <c r="I103" i="2"/>
  <c r="I107" i="2"/>
  <c r="I102" i="2"/>
  <c r="J186" i="2"/>
  <c r="J126" i="2"/>
  <c r="J132" i="2"/>
  <c r="J137" i="2"/>
  <c r="J128" i="2"/>
  <c r="J138" i="2"/>
  <c r="J133" i="2"/>
  <c r="J135" i="2"/>
  <c r="J130" i="2"/>
  <c r="J129" i="2"/>
  <c r="J136" i="2"/>
  <c r="U216" i="2"/>
  <c r="U96" i="2"/>
  <c r="U106" i="2"/>
  <c r="U100" i="2"/>
  <c r="U102" i="2"/>
  <c r="U101" i="2"/>
  <c r="U105" i="2"/>
  <c r="U98" i="2"/>
  <c r="U99" i="2"/>
  <c r="U108" i="2"/>
  <c r="U103" i="2"/>
  <c r="U107" i="2"/>
  <c r="O229" i="2"/>
  <c r="O109" i="2"/>
  <c r="O113" i="2"/>
  <c r="O114" i="2"/>
  <c r="O111" i="2"/>
  <c r="O115" i="2"/>
  <c r="O112" i="2"/>
  <c r="O116" i="2"/>
  <c r="O118" i="2"/>
  <c r="O117" i="2"/>
  <c r="O119" i="2"/>
  <c r="F169" i="2"/>
  <c r="F173" i="2"/>
  <c r="F177" i="2"/>
  <c r="F171" i="2"/>
  <c r="F179" i="2"/>
  <c r="F175" i="2"/>
  <c r="F170" i="2"/>
  <c r="F174" i="2"/>
  <c r="F176" i="2"/>
  <c r="F172" i="2"/>
  <c r="C186" i="2"/>
  <c r="C126" i="2"/>
  <c r="C138" i="2"/>
  <c r="C131" i="2"/>
  <c r="C130" i="2"/>
  <c r="C137" i="2"/>
  <c r="C133" i="2"/>
  <c r="C136" i="2"/>
  <c r="C129" i="2"/>
  <c r="C128" i="2"/>
  <c r="F135" i="2"/>
  <c r="W148" i="2"/>
  <c r="M229" i="2"/>
  <c r="M109" i="2"/>
  <c r="M111" i="2"/>
  <c r="M113" i="2"/>
  <c r="M115" i="2"/>
  <c r="M117" i="2"/>
  <c r="M112" i="2"/>
  <c r="M116" i="2"/>
  <c r="M119" i="2"/>
  <c r="Q156" i="2"/>
  <c r="Q168" i="2"/>
  <c r="Q158" i="2"/>
  <c r="Q167" i="2"/>
  <c r="Q165" i="2"/>
  <c r="Q161" i="2"/>
  <c r="Q166" i="2"/>
  <c r="Q160" i="2"/>
  <c r="Q163" i="2"/>
  <c r="Q159" i="2"/>
  <c r="E139" i="2"/>
  <c r="E199" i="2"/>
  <c r="E146" i="2"/>
  <c r="E145" i="2"/>
  <c r="E142" i="2"/>
  <c r="E147" i="2"/>
  <c r="E149" i="2"/>
  <c r="E141" i="2"/>
  <c r="E148" i="2"/>
  <c r="E143" i="2"/>
  <c r="N169" i="2"/>
  <c r="N173" i="2"/>
  <c r="N179" i="2"/>
  <c r="N171" i="2"/>
  <c r="N177" i="2"/>
  <c r="N175" i="2"/>
  <c r="N172" i="2"/>
  <c r="N170" i="2"/>
  <c r="N176" i="2"/>
  <c r="N174" i="2"/>
  <c r="Q216" i="2"/>
  <c r="Q96" i="2"/>
  <c r="Q100" i="2"/>
  <c r="Q108" i="2"/>
  <c r="Q106" i="2"/>
  <c r="Q102" i="2"/>
  <c r="Q105" i="2"/>
  <c r="Q103" i="2"/>
  <c r="Q107" i="2"/>
  <c r="Q98" i="2"/>
  <c r="Q99" i="2"/>
  <c r="T199" i="2"/>
  <c r="T139" i="2"/>
  <c r="T148" i="2"/>
  <c r="T143" i="2"/>
  <c r="T141" i="2"/>
  <c r="T142" i="2"/>
  <c r="T146" i="2"/>
  <c r="T149" i="2"/>
  <c r="T147" i="2"/>
  <c r="T144" i="2"/>
  <c r="T145" i="2"/>
  <c r="W229" i="2"/>
  <c r="W109" i="2"/>
  <c r="W119" i="2"/>
  <c r="W114" i="2"/>
  <c r="W111" i="2"/>
  <c r="W115" i="2"/>
  <c r="W113" i="2"/>
  <c r="W112" i="2"/>
  <c r="W116" i="2"/>
  <c r="W118" i="2"/>
  <c r="W117" i="2"/>
  <c r="R170" i="2"/>
  <c r="F178" i="2"/>
  <c r="K148" i="2"/>
  <c r="D165" i="2"/>
  <c r="D199" i="2"/>
  <c r="D139" i="2"/>
  <c r="D146" i="2"/>
  <c r="D142" i="2"/>
  <c r="D147" i="2"/>
  <c r="D145" i="2"/>
  <c r="D148" i="2"/>
  <c r="D141" i="2"/>
  <c r="D149" i="2"/>
  <c r="D143" i="2"/>
  <c r="G101" i="2"/>
  <c r="M140" i="2"/>
  <c r="F97" i="2"/>
  <c r="K97" i="2"/>
  <c r="D131" i="2"/>
  <c r="J101" i="2"/>
  <c r="H110" i="2"/>
  <c r="O186" i="2"/>
  <c r="O126" i="2"/>
  <c r="O135" i="2"/>
  <c r="O132" i="2"/>
  <c r="O129" i="2"/>
  <c r="O136" i="2"/>
  <c r="O133" i="2"/>
  <c r="O128" i="2"/>
  <c r="O138" i="2"/>
  <c r="O137" i="2"/>
  <c r="O127" i="2"/>
  <c r="O130" i="2"/>
  <c r="C199" i="2"/>
  <c r="M186" i="2"/>
  <c r="D17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<sst xmlns="http://schemas.openxmlformats.org/spreadsheetml/2006/main" count="804" uniqueCount="313">
  <si>
    <t>DK: Industry Summary</t>
  </si>
  <si>
    <t>Value added (M€2015)</t>
  </si>
  <si>
    <t>Iron and steel</t>
  </si>
  <si>
    <t>Non-ferrous metals</t>
  </si>
  <si>
    <t>Alumina production</t>
  </si>
  <si>
    <t>Aluminium production</t>
  </si>
  <si>
    <t>Other non-ferrous metals</t>
  </si>
  <si>
    <t>Chemical industry</t>
  </si>
  <si>
    <t xml:space="preserve">Basic chemicals </t>
  </si>
  <si>
    <t>Other chemicals</t>
  </si>
  <si>
    <t>Pharmaceutical products etc.</t>
  </si>
  <si>
    <t>Non-metallic mineral products</t>
  </si>
  <si>
    <t>Cement</t>
  </si>
  <si>
    <t>Ceramics &amp; other NMM</t>
  </si>
  <si>
    <t xml:space="preserve">Glass production </t>
  </si>
  <si>
    <t>Pulp, paper and printing</t>
  </si>
  <si>
    <t>Pulp production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</si>
  <si>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</si>
  <si>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</si>
  <si>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</si>
  <si>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</si>
  <si>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</si>
  <si>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</si>
  <si>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</si>
  <si>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</si>
  <si>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</si>
  <si>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</si>
  <si>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Solids</t>
  </si>
  <si>
    <t>Hard coal and others</t>
  </si>
  <si>
    <t>Coke</t>
  </si>
  <si>
    <t>Liquids</t>
  </si>
  <si>
    <t>Refinery gas</t>
  </si>
  <si>
    <t>LPG</t>
  </si>
  <si>
    <t>Diesel oil (without biofuels)</t>
  </si>
  <si>
    <t>Fuel oil</t>
  </si>
  <si>
    <t>Other liquids</t>
  </si>
  <si>
    <t>Gases</t>
  </si>
  <si>
    <t>Natural gas</t>
  </si>
  <si>
    <t>Derived gases</t>
  </si>
  <si>
    <t>RES and wastes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</si>
  <si>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</si>
  <si>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</si>
  <si>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</si>
  <si>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</si>
  <si>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</si>
  <si>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</si>
  <si>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</si>
  <si>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Electricity</t>
  </si>
  <si>
    <t>by sector</t>
  </si>
  <si>
    <t>Integrated steelworks</t>
  </si>
  <si>
    <t>Electric arc</t>
  </si>
  <si>
    <t>Aluminium - primary production</t>
  </si>
  <si>
    <t>Aluminium - secondary production</t>
  </si>
  <si>
    <t>Non-energy use (ktoe)</t>
  </si>
  <si>
    <t>Diesel oil</t>
  </si>
  <si>
    <t>Naphtha</t>
  </si>
  <si>
    <t>Gas</t>
  </si>
  <si>
    <t>Basic chemicals</t>
  </si>
  <si>
    <t>Other industrial sectors</t>
  </si>
  <si>
    <t>CO2 emissions (kt CO2)</t>
  </si>
  <si>
    <t>Solvent use and other process emissions</t>
  </si>
  <si>
    <t>Value added intensity (toe / M€2015)</t>
  </si>
  <si>
    <t/>
  </si>
  <si>
    <t>Emission intensity (kt of CO2 / ktoe)</t>
  </si>
  <si>
    <t>Basic chemicals  (kt of CO2 / ktoe energy)</t>
  </si>
  <si>
    <t>Transport overview - DK - Denmark</t>
  </si>
  <si>
    <t>Code</t>
  </si>
  <si>
    <t>Transport activity</t>
  </si>
  <si>
    <t>Passenger transport (mio pkm)</t>
  </si>
  <si>
    <t>Activity.Mpkm.DK.Tr</t>
  </si>
  <si>
    <t>Road transport</t>
  </si>
  <si>
    <t>Activity.Mpkm.DK.Tr.Road.Passenger</t>
  </si>
  <si>
    <t>Activity.Mpkm.DK.Tr.Road.Passenger.P2W</t>
  </si>
  <si>
    <t>Activity.Mpkm.DK.Tr.Road.Passenger.Car</t>
  </si>
  <si>
    <t>Activity.Mpkm.DK.Tr.Road.Passenger.Bus</t>
  </si>
  <si>
    <t>Rail, metro and tram</t>
  </si>
  <si>
    <t>Activity.Mpkm.DK.Tr.Rail.Passenger</t>
  </si>
  <si>
    <t>Activity.Mpkm.DK.Tr.Rail.Passenger.MTU</t>
  </si>
  <si>
    <t>Activity.Mpkm.DK.Tr.Rail.Passenger.CPT</t>
  </si>
  <si>
    <t>Activity.Mpkm.DK.Tr.Rail.Passenger.HST</t>
  </si>
  <si>
    <t>Aviation</t>
  </si>
  <si>
    <t>Activity.Mpkm.DK.Tr.Avia.Passenger</t>
  </si>
  <si>
    <t>Domestic</t>
  </si>
  <si>
    <t>Activity.Mpkm.DK.Tr.Avia.Passenger.Domestic</t>
  </si>
  <si>
    <t>International - Intra-EEAwUK</t>
  </si>
  <si>
    <t>Activity.Mpkm.DK.Tr.Avia.Passenger.IntraEEAwUK</t>
  </si>
  <si>
    <t>International - Extra-EEAwUK</t>
  </si>
  <si>
    <t>Activity.Mpkm.DK.Tr.Avia.Passenger.ExtraEEAwUK</t>
  </si>
  <si>
    <t>Freight transport (mio tkm)</t>
  </si>
  <si>
    <t>Activity.Mtkm.DK.Tr</t>
  </si>
  <si>
    <t>Activity.Mtkm.DK.Tr.Road.Freight</t>
  </si>
  <si>
    <t>Activity.Mtkm.DK.Tr.Road.Freight.LCV</t>
  </si>
  <si>
    <t>Activity.Mtkm.DK.Tr.Road.Freight.HGV</t>
  </si>
  <si>
    <t>Rail transport</t>
  </si>
  <si>
    <t>Activity.Mtkm.DK.Tr.Rail.Freight</t>
  </si>
  <si>
    <t>Activity.Mtkm.DK.Tr.Avia.Freight</t>
  </si>
  <si>
    <t>Activity.Mtkm.DK.Tr.Avia.Freight.Domestic</t>
  </si>
  <si>
    <t>Activity.Mtkm.DK.Tr.Avia.Freight.IntraEEAwUK</t>
  </si>
  <si>
    <t>Activity.Mtkm.DK.Tr.Avia.Freight.ExtraEEAwUK</t>
  </si>
  <si>
    <t>Domestic navigation</t>
  </si>
  <si>
    <t>Activity.Mtkm.DK.Tr.DNavi.Freight</t>
  </si>
  <si>
    <t>Activity.Mtkm.DK.Tr.DNavi.Freight.DCS</t>
  </si>
  <si>
    <t>Activity.Mtkm.DK.Tr.DNavi.Freight.IWW</t>
  </si>
  <si>
    <t>International maritime bunkers (mio tkm)</t>
  </si>
  <si>
    <t>Activity.Mtkm.DK.MBunk.Freight</t>
  </si>
  <si>
    <t>Intra-EEA</t>
  </si>
  <si>
    <t>Activity.Mtkm.DK.MBunk.Freight.IntraEEA</t>
  </si>
  <si>
    <t>Extra-EEA</t>
  </si>
  <si>
    <t>Activity.Mtkm.DK.MBunk.Freight.ExtraEEA</t>
  </si>
  <si>
    <t>Passenger transport</t>
  </si>
  <si>
    <t>FEC.ktoe.DK.Tr.Road.Passenger</t>
  </si>
  <si>
    <t>FEC.ktoe.DK.Tr.Road.Passenger.P2W</t>
  </si>
  <si>
    <t>FEC.ktoe.DK.Tr.Road.Passenger.Car</t>
  </si>
  <si>
    <t>FEC.ktoe.DK.Tr.Road.Passenger.Bus</t>
  </si>
  <si>
    <t>FEC.ktoe.DK.Tr.Rail.Passenger</t>
  </si>
  <si>
    <t>FEC.ktoe.DK.Tr.Rail.Passenger.MTU</t>
  </si>
  <si>
    <t>FEC.ktoe.DK.Tr.Rail.Passenger.CPT</t>
  </si>
  <si>
    <t>FEC.ktoe.DK.Tr.Rail.Passenger.HST</t>
  </si>
  <si>
    <t>FEC.ktoe.DK.Tr.Avia.Passenger</t>
  </si>
  <si>
    <t>FEC.ktoe.DK.Tr.Avia.Passenger.Domestic</t>
  </si>
  <si>
    <t>FEC.ktoe.DK.Tr.Avia.Passenger.IntraEEAwUK</t>
  </si>
  <si>
    <t>FEC.ktoe.DK.Tr.Avia.Passenger.ExtraEEAwUK</t>
  </si>
  <si>
    <t>Freight transport</t>
  </si>
  <si>
    <t>FEC.ktoe.DK.Tr.Road.Freight</t>
  </si>
  <si>
    <t>FEC.ktoe.DK.Tr.Road.Freight.LCV</t>
  </si>
  <si>
    <t>FEC.ktoe.DK.Tr.Road.Freight.HGV</t>
  </si>
  <si>
    <t>FEC.ktoe.DK.Tr.Rail.Freight</t>
  </si>
  <si>
    <t>FEC.ktoe.DK.Tr.Avia.Freight</t>
  </si>
  <si>
    <t>FEC.ktoe.DK.Tr.Avia.Freight.Domestic</t>
  </si>
  <si>
    <t>FEC.ktoe.DK.Tr.Avia.Freight.IntraEEAwUK</t>
  </si>
  <si>
    <t>FEC.ktoe.DK.Tr.Avia.Freight.ExtraEEAwUK</t>
  </si>
  <si>
    <t>FEC.ktoe.DK.Tr.DNavi</t>
  </si>
  <si>
    <t>FEC.ktoe.DK.Tr.Dnavi.DCS</t>
  </si>
  <si>
    <t>FEC.ktoe.DK.Tr.Dnavi.IWW</t>
  </si>
  <si>
    <t>International maritime bunkers</t>
  </si>
  <si>
    <t>FEC.ktoe.DK.MBunk</t>
  </si>
  <si>
    <t>FEC.ktoe.DK.MBunk.IntraEEA</t>
  </si>
  <si>
    <t>FEC.ktoe.DK.MBunk.ExtraEEA</t>
  </si>
  <si>
    <t>CO2 emissions (kt of CO2)</t>
  </si>
  <si>
    <t>EMI.ktCO2.DK.Tr.Road.Passenger</t>
  </si>
  <si>
    <t>EMI.ktCO2.DK.Tr.Road.Passenger.P2W</t>
  </si>
  <si>
    <t>EMI.ktCO2.DK.Tr.Road.Passenger.Car</t>
  </si>
  <si>
    <t>EMI.ktCO2.DK.Tr.Road.Passenger.Bus</t>
  </si>
  <si>
    <t>EMI.ktCO2.DK.Tr.Rail.Passenger</t>
  </si>
  <si>
    <t>EMI.ktCO2.DK.Tr.Rail.Passenger.MTU</t>
  </si>
  <si>
    <t>EMI.ktCO2.DK.Tr.Rail.Passenger.CPT</t>
  </si>
  <si>
    <t>EMI.ktCO2.DK.Tr.Rail.Passenger.HST</t>
  </si>
  <si>
    <t>EMI.ktCO2.DK.Tr.Avia.Passenger</t>
  </si>
  <si>
    <t>EMI.ktCO2.DK.Tr.Avia.Passenger.Domestic</t>
  </si>
  <si>
    <t>EMI.ktCO2.DK.Tr.Avia.Passenger.IntraEEAwUK</t>
  </si>
  <si>
    <t>EMI.ktCO2.DK.Tr.Avia.Passenger.ExtraEEAwUK</t>
  </si>
  <si>
    <t>EMI.ktCO2.DK.Tr.Road.Freight</t>
  </si>
  <si>
    <t>EMI.ktCO2.DK.Tr.Road.Freight.LCV</t>
  </si>
  <si>
    <t>EMI.ktCO2.DK.Tr.Road.Freight.HGV</t>
  </si>
  <si>
    <t>EMI.ktCO2.DK.Tr.Rail.Freight</t>
  </si>
  <si>
    <t>EMI.ktCO2.DK.Tr.Avia.Freight</t>
  </si>
  <si>
    <t>EMI.ktCO2.DK.Tr.Avia.Freight.Domestic</t>
  </si>
  <si>
    <t>EMI.ktCO2.DK.Tr.Avia.Freight.IntraEEAwUK</t>
  </si>
  <si>
    <t>EMI.ktCO2.DK.Tr.Avia.Freight.ExtraEEAwUK</t>
  </si>
  <si>
    <t>EMI.ktCO2.DK.Tr.DNavi</t>
  </si>
  <si>
    <t>EMI.ktCO2.DK.Tr.Dnavi.DCS</t>
  </si>
  <si>
    <t>EMI.ktCO2.DK.Tr.Dnavi.IWW</t>
  </si>
  <si>
    <t>EMI.ktCO2.DK.MBunk</t>
  </si>
  <si>
    <t>EMI.ktCO2.DK.MBunk.IntraEEA</t>
  </si>
  <si>
    <t>EMI.ktCO2.DK.MBunk.ExtraEEA</t>
  </si>
  <si>
    <t>Indicators</t>
  </si>
  <si>
    <t>Market shares of activity</t>
  </si>
  <si>
    <t>Passenger transport (% of pkm)</t>
  </si>
  <si>
    <t>Freight transport (% of tkm)</t>
  </si>
  <si>
    <t>International maritime bunkers (% of international tkm)</t>
  </si>
  <si>
    <t>Shares of total energy consumption (%)</t>
  </si>
  <si>
    <t>Shares of CO2 emissions (%)</t>
  </si>
  <si>
    <t>Energy consumption per activity</t>
  </si>
  <si>
    <t>Passenger transport (kgoe / kpkm)</t>
  </si>
  <si>
    <t>Eff.kgoe_per_kpkm.DK.Tr</t>
  </si>
  <si>
    <t>Eff.kgoe_per_kpkm.DK.Tr.Road.Passenger</t>
  </si>
  <si>
    <t>Eff.kgoe_per_kpkm.DK.Tr.Road.Passenger.P2W</t>
  </si>
  <si>
    <t>Eff.kgoe_per_kpkm.DK.Tr.Road.Passenger.Car</t>
  </si>
  <si>
    <t>Eff.kgoe_per_kpkm.DK.Tr.Road.Passenger.Bus</t>
  </si>
  <si>
    <t>Eff.kgoe_per_kpkm.DK.Tr.Rail.Passenger</t>
  </si>
  <si>
    <t>Eff.kgoe_per_kpkm.DK.Tr.Rail.Passenger.MTU</t>
  </si>
  <si>
    <t>Eff.kgoe_per_kpkm.DK.Tr.Rail.Passenger.CPT</t>
  </si>
  <si>
    <t>Eff.kgoe_per_kpkm.DK.Tr.Rail.Passenger.HST</t>
  </si>
  <si>
    <t>Eff.kgoe_per_kpkm.DK.Tr.Avia.Passenger</t>
  </si>
  <si>
    <t>Eff.kgoe_per_kpkm.DK.Tr.Avia.Passenger.Domestic</t>
  </si>
  <si>
    <t>Eff.kgoe_per_kpkm.DK.Tr.Avia.Passenger.IntraEEAwUK</t>
  </si>
  <si>
    <t>Eff.kgoe_per_kpkm.DK.Tr.Avia.Passenger.ExtraEEAwUK</t>
  </si>
  <si>
    <t>Freight transport (kgoe / ktkm)</t>
  </si>
  <si>
    <t>Eff.kgoe_per_ktkm.DK.Tr</t>
  </si>
  <si>
    <t>Eff.kgoe_per_ktkm.DK.Tr.Road.Freight</t>
  </si>
  <si>
    <t>Eff.kgoe_per_ktkm.DK.Tr.Road.Freight.LCV</t>
  </si>
  <si>
    <t>Eff.kgoe_per_ktkm.DK.Tr.Road.Freight.HGV</t>
  </si>
  <si>
    <t>Eff.kgoe_per_ktkm.DK.Tr.Rail.Freight</t>
  </si>
  <si>
    <t>Eff.kgoe_per_ktkm.DK.Tr.Avia.Freight</t>
  </si>
  <si>
    <t>Eff.kgoe_per_ktkm.DK.Tr.Avia.Freight.Domestic</t>
  </si>
  <si>
    <t>Eff.kgoe_per_ktkm.DK.Tr.Avia.Freight.IntraEEAwUK</t>
  </si>
  <si>
    <t>Eff.kgoe_per_ktkm.DK.Tr.Avia.Freight.ExtraEEAwUK</t>
  </si>
  <si>
    <t>Eff.kgoe_per_ktkm.DK.Tr.DNavi.Freight</t>
  </si>
  <si>
    <t>Eff.kgoe_per_ktkm.DK.Tr.DNavi.Freight.DCS</t>
  </si>
  <si>
    <t>Eff.kgoe_per_ktkm.DK.Tr.DNavi.Freight.IWW</t>
  </si>
  <si>
    <t>International maritime bunkers (kgoe / ktkm)</t>
  </si>
  <si>
    <t>Eff.kgoe_per_ktkm.DK.MBunk.Freight</t>
  </si>
  <si>
    <t>Eff.kgoe_per_ktkm.DK.MBunk.Freight.IntraEEA</t>
  </si>
  <si>
    <t>Eff.kgoe_per_ktkm.DK.MBunk.Freight.ExtraEEA</t>
  </si>
  <si>
    <t>Emission intensity</t>
  </si>
  <si>
    <t>Passenger transport (g of CO2 / pkm)</t>
  </si>
  <si>
    <t>EMIint.gCO2_per_pkm.DK.Tr</t>
  </si>
  <si>
    <t>EMIint.gCO2_per_pkm.DK.Tr.Road.Passenger</t>
  </si>
  <si>
    <t>EMIint.gCO2_per_pkm.DK.Tr.Road.Passenger.P2W</t>
  </si>
  <si>
    <t>EMIint.gCO2_per_pkm.DK.Tr.Road.Passenger.Car</t>
  </si>
  <si>
    <t>EMIint.gCO2_per_pkm.DK.Tr.Road.Passenger.Bus</t>
  </si>
  <si>
    <t>EMIint.gCO2_per_pkm.DK.Tr.Rail.Passenger</t>
  </si>
  <si>
    <t>EMIint.gCO2_per_pkm.DK.Tr.Rail.Passenger.MTU</t>
  </si>
  <si>
    <t>EMIint.gCO2_per_pkm.DK.Tr.Rail.Passenger.CPT</t>
  </si>
  <si>
    <t>EMIint.gCO2_per_pkm.DK.Tr.Rail.Passenger.HST</t>
  </si>
  <si>
    <t>EMIint.gCO2_per_pkm.DK.Tr.Avia.Passenger</t>
  </si>
  <si>
    <t>EMIint.gCO2_per_pkm.DK.Tr.Avia.Passenger.Domestic</t>
  </si>
  <si>
    <t>EMIint.gCO2_per_pkm.DK.Tr.Avia.Passenger.IntraEEAwUK</t>
  </si>
  <si>
    <t>EMIint.gCO2_per_pkm.DK.Tr.Avia.Passenger.ExtraEEAwUK</t>
  </si>
  <si>
    <t>Freight transport (g of CO2 / tkm)</t>
  </si>
  <si>
    <t>EMIint.gCO2_per_tkm.DK.Tr</t>
  </si>
  <si>
    <t>EMIint.gCO2_per_tkm.DK.Tr.Road.Freight</t>
  </si>
  <si>
    <t>EMIint.gCO2_per_tkm.DK.Tr.Road.Freight.LCV</t>
  </si>
  <si>
    <t>EMIint.gCO2_per_tkm.DK.Tr.Road.Freight.HGV</t>
  </si>
  <si>
    <t>EMIint.gCO2_per_tkm.DK.Tr.Rail.Freight</t>
  </si>
  <si>
    <t>EMIint.gCO2_per_tkm.DK.Tr.Avia.Freight</t>
  </si>
  <si>
    <t>EMIint.gCO2_per_tkm.DK.Tr.Avia.Freight.Domestic</t>
  </si>
  <si>
    <t>EMIint.gCO2_per_tkm.DK.Tr.Avia.Freight.IntraEEAwUK</t>
  </si>
  <si>
    <t>EMIint.gCO2_per_tkm.DK.Tr.Avia.Freight.ExtraEEAwUK</t>
  </si>
  <si>
    <t>EMIint.gCO2_per_tkm.DK.Tr.DNavi.Freight</t>
  </si>
  <si>
    <t>EMIint.gCO2_per_tkm.DK.Tr.DNavi.Freight.DCS</t>
  </si>
  <si>
    <t>EMIint.gCO2_per_tkm.DK.Tr.DNavi.Freight.IWW</t>
  </si>
  <si>
    <t>EMIint.gCO2_per_tkm.DK.MBunk.Freight</t>
  </si>
  <si>
    <t>EMIint.gCO2_per_tkm.DK.MBunk.Freight.IntraEEA</t>
  </si>
  <si>
    <t>EMIint.gCO2_per_tkm.DK.MBunk.Freight.ExtraEEA</t>
  </si>
  <si>
    <t>Pharmaceutical products</t>
  </si>
  <si>
    <t>Ceramics &amp; other non metallic minerals</t>
  </si>
  <si>
    <t>Glass production</t>
  </si>
  <si>
    <t>Pulp</t>
  </si>
  <si>
    <t>Paper</t>
  </si>
  <si>
    <t>Printing</t>
  </si>
  <si>
    <t>Food, beverages and tobacco</t>
  </si>
  <si>
    <t xml:space="preserve">Transport </t>
  </si>
  <si>
    <t>Machinery</t>
  </si>
  <si>
    <t>Textiles and leather</t>
  </si>
  <si>
    <t>Wood and wood products</t>
  </si>
  <si>
    <t>Powered two-wheelers</t>
  </si>
  <si>
    <t>Passenger cars</t>
  </si>
  <si>
    <t>Motor coaches, buses and trolley buses</t>
  </si>
  <si>
    <t>Metro and tram, urban light rail</t>
  </si>
  <si>
    <t>Conventional passenger trains</t>
  </si>
  <si>
    <t>Light commercial vehicles</t>
  </si>
  <si>
    <t>Heavy goods vehicles</t>
  </si>
  <si>
    <t>pkm</t>
  </si>
  <si>
    <t>tkm</t>
  </si>
  <si>
    <t>ktoe</t>
  </si>
  <si>
    <t>Shipping-Domestic coastal shipping</t>
  </si>
  <si>
    <t>Industry</t>
  </si>
  <si>
    <t>Transport</t>
  </si>
  <si>
    <t>Unit</t>
  </si>
  <si>
    <t>Subsector</t>
  </si>
  <si>
    <t>Aviation-Domestic-pass</t>
  </si>
  <si>
    <t>Aviation-Domestic-goods</t>
  </si>
  <si>
    <t>Aviation -International - Intra-EEAwUK - pass</t>
  </si>
  <si>
    <t>Aviation-International - Extra-EEAwUK - pass</t>
  </si>
  <si>
    <t>Aviation-International - Intra-EEAwUK - goods</t>
  </si>
  <si>
    <t>Aviation-International - Extra-EEAwUK - goods</t>
  </si>
  <si>
    <t>OUTPUT.kt.DK.ISI.BF_BOF</t>
  </si>
  <si>
    <t>OUTPUT.kt.DK.ISI.EAF</t>
  </si>
  <si>
    <t>Alumina production (kt)</t>
  </si>
  <si>
    <t>OUTPUT.kt.DK.NFM.ALUMINA</t>
  </si>
  <si>
    <t>Aluminium production (kt)</t>
  </si>
  <si>
    <t>OUTPUT.kt.DK.NFM.PRIM_ALU</t>
  </si>
  <si>
    <t>OUTPUT.kt.DK.NFM.SEC_ALU</t>
  </si>
  <si>
    <t>Other non-ferrous metals (kt lead eq.)</t>
  </si>
  <si>
    <t>OUTPUT.kt.DK.NFM.OTHER_NFM</t>
  </si>
  <si>
    <t>Basic chemicals (kt ethylene eq.)</t>
  </si>
  <si>
    <t>OUTPUT.kt.DK.CHI.BASIC_CHEM</t>
  </si>
  <si>
    <t>Other chemicals (kt ethylene eq.)</t>
  </si>
  <si>
    <t>OUTPUT.kt.DK.CHI.OTHER_CHEM</t>
  </si>
  <si>
    <t>Pharmaceutical products etc. (kt ethylene eq.)</t>
  </si>
  <si>
    <t>OUTPUT.kt.DK.CHI.PHARM</t>
  </si>
  <si>
    <t>Cement (kt)</t>
  </si>
  <si>
    <t>Ceramics &amp; other NMM (kt bricks eq.)</t>
  </si>
  <si>
    <t>Glass production  (kt)</t>
  </si>
  <si>
    <t>Pulp production (kt)</t>
  </si>
  <si>
    <t>OUTPUT.kt.DK.PPA.PULP</t>
  </si>
  <si>
    <t>Paper production  (kt)</t>
  </si>
  <si>
    <t>OUTPUT.kt.DK.PPA.PAPER</t>
  </si>
  <si>
    <t>Printing and media reproduction (kt paper eq.)</t>
  </si>
  <si>
    <t>OUTPUT.kt.DK.PPA.PRINT</t>
  </si>
  <si>
    <t>OUTPUT.kt.DK.NMM.CEM</t>
  </si>
  <si>
    <t>OUTPUT.kt.DK.NMM.CER</t>
  </si>
  <si>
    <t>OUTPUT.kt.DK.NMM.GLASS</t>
  </si>
  <si>
    <t>Electric arc (kt steel)</t>
  </si>
  <si>
    <t>Integrated steelworks (kt steel)</t>
  </si>
  <si>
    <t>Physical output</t>
  </si>
  <si>
    <t xml:space="preserve">Iron and Steel </t>
  </si>
  <si>
    <t>High speed passenger trains</t>
  </si>
  <si>
    <t>Inland waterways</t>
  </si>
  <si>
    <t>Maritime - Intra -EEA</t>
  </si>
  <si>
    <t>Maritime - Extra -EEA</t>
  </si>
  <si>
    <t>kt steel</t>
  </si>
  <si>
    <t>kt alumina</t>
  </si>
  <si>
    <t>kt aluminium</t>
  </si>
  <si>
    <t>kt lead eq</t>
  </si>
  <si>
    <t>kt ethylene eq</t>
  </si>
  <si>
    <t>kt bricks eq</t>
  </si>
  <si>
    <t>kt paper eq</t>
  </si>
  <si>
    <t>kt glass</t>
  </si>
  <si>
    <t>kt pulp</t>
  </si>
  <si>
    <t>kt paper</t>
  </si>
  <si>
    <t>kt 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</si>
</sst>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00;\-#,##0.00;&quot;-&quot;"/>
    <numFmt numFmtId="165" formatCode="#,##0.0"/>
    <numFmt numFmtId="166" formatCode="#,##0;\-#,##0;&quot;-&quot;"/>
    <numFmt numFmtId="167" formatCode="#,##0.000;\-#,##0.000;&quot;-&quot;"/>
    <numFmt numFmtId="168" formatCode="#,##0.0;\-#,##0.0;&quot;-&quot;"/>
    <numFmt numFmtId="169" formatCode="0.00%;\-0.00%;&quot;-&quot;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050505"/>
      <name val="Aptos Narrow"/>
      <family val="2"/>
      <scheme val="minor"/>
    </font>
    <font>
      <b/>
      <sz val="8"/>
      <color rgb="FF050505"/>
      <name val="Aptos Narrow"/>
      <family val="2"/>
      <scheme val="minor"/>
    </font>
    <font>
      <sz val="8"/>
      <color rgb="FF050505"/>
      <name val="Aptos Narrow"/>
      <family val="2"/>
      <scheme val="minor"/>
    </font>
    <font>
      <i/>
      <sz val="8"/>
      <color rgb="FF050505"/>
      <name val="Aptos Narrow"/>
      <family val="2"/>
      <scheme val="minor"/>
    </font>
    <font>
      <b/>
      <sz val="8"/>
      <color rgb="FF00143C"/>
      <name val="Aptos Narrow"/>
      <family val="2"/>
      <scheme val="minor"/>
    </font>
    <font>
      <sz val="8"/>
      <color rgb="FF00143C"/>
      <name val="Aptos Narrow"/>
      <family val="2"/>
      <scheme val="minor"/>
    </font>
    <font>
      <i/>
      <sz val="8"/>
      <color rgb="FF00143C"/>
      <name val="Aptos Narrow"/>
      <family val="2"/>
      <scheme val="minor"/>
    </font>
    <font>
      <b/>
      <sz val="10"/>
      <color rgb="FF00143C"/>
      <name val="Aptos Narrow"/>
      <family val="2"/>
      <scheme val="minor"/>
    </font>
    <font>
      <sz val="10"/>
      <color rgb="FF00143C"/>
      <name val="Aptos Narrow"/>
      <family val="2"/>
      <scheme val="minor"/>
    </font>
    <font>
      <sz val="8"/>
      <color rgb="FFBE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color rgb="FF963732"/>
      <name val="Aptos Narrow"/>
      <family val="2"/>
      <scheme val="minor"/>
    </font>
    <font>
      <sz val="8"/>
      <color rgb="FF0F243E"/>
      <name val="Calibri"/>
      <family val="2"/>
    </font>
    <font>
      <sz val="8"/>
      <color rgb="FF96373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8">
    <xf numFmtId="0" fontId="0" fillId="0" borderId="0"/>
    <xf numFmtId="9" fontId="1" fillId="0" borderId="0"/>
    <xf numFmtId="43" fontId="1" fillId="0" borderId="0"/>
    <xf numFmtId="0" fontId="2" fillId="0" borderId="0"/>
    <xf numFmtId="0" fontId="3" fillId="0" borderId="0"/>
    <xf numFmtId="9" fontId="2" fillId="0" borderId="0"/>
    <xf numFmtId="9" fontId="3" fillId="0" borderId="0"/>
    <xf numFmtId="0" fontId="1" fillId="0" borderId="0"/>
  </cellStyleXfs>
  <cellXfs count="111">
    <xf numFmtId="0" fontId="0" fillId="0" borderId="0" xfId="0"/>
    <xf numFmtId="0" fontId="6" fillId="3" borderId="2" xfId="7" applyFont="1" applyFill="1" applyBorder="1" applyAlignment="1">
      <alignment horizontal="left" vertical="center"/>
    </xf>
    <xf numFmtId="0" fontId="6" fillId="3" borderId="2" xfId="3" applyFont="1" applyFill="1" applyBorder="1" applyAlignment="1">
      <alignment horizontal="left" vertical="center"/>
    </xf>
    <xf numFmtId="1" fontId="7" fillId="3" borderId="2" xfId="3" applyNumberFormat="1" applyFont="1" applyFill="1" applyBorder="1" applyAlignment="1">
      <alignment horizontal="center" vertical="center"/>
    </xf>
    <xf numFmtId="0" fontId="4" fillId="2" borderId="0" xfId="3" applyFont="1" applyFill="1" applyAlignment="1">
      <alignment horizontal="left" vertical="center" indent="4"/>
    </xf>
    <xf numFmtId="0" fontId="8" fillId="2" borderId="0" xfId="3" applyFont="1" applyFill="1" applyAlignment="1">
      <alignment horizontal="left" vertical="center" indent="1"/>
    </xf>
    <xf numFmtId="0" fontId="8" fillId="2" borderId="4" xfId="3" applyFont="1" applyFill="1" applyBorder="1" applyAlignment="1">
      <alignment horizontal="left" vertical="center" indent="1"/>
    </xf>
    <xf numFmtId="0" fontId="8" fillId="2" borderId="0" xfId="3" applyFont="1" applyFill="1" applyAlignment="1">
      <alignment horizontal="left" vertical="center" indent="2"/>
    </xf>
    <xf numFmtId="0" fontId="8" fillId="2" borderId="3" xfId="3" applyFont="1" applyFill="1" applyBorder="1" applyAlignment="1">
      <alignment horizontal="left" vertical="center" indent="1"/>
    </xf>
    <xf numFmtId="0" fontId="8" fillId="2" borderId="1" xfId="3" applyFont="1" applyFill="1" applyBorder="1" applyAlignment="1">
      <alignment horizontal="left" vertical="center" indent="1"/>
    </xf>
    <xf numFmtId="0" fontId="8" fillId="2" borderId="7" xfId="3" applyFont="1" applyFill="1" applyBorder="1" applyAlignment="1">
      <alignment horizontal="left" vertical="center" indent="2"/>
    </xf>
    <xf numFmtId="0" fontId="8" fillId="2" borderId="0" xfId="3" applyFont="1" applyFill="1" applyAlignment="1">
      <alignment horizontal="left" vertical="center" indent="3"/>
    </xf>
    <xf numFmtId="0" fontId="8" fillId="2" borderId="4" xfId="3" applyFont="1" applyFill="1" applyBorder="1" applyAlignment="1">
      <alignment horizontal="left" vertical="center" indent="2"/>
    </xf>
    <xf numFmtId="0" fontId="8" fillId="2" borderId="3" xfId="3" applyFont="1" applyFill="1" applyBorder="1" applyAlignment="1">
      <alignment horizontal="left" vertical="center" indent="2"/>
    </xf>
    <xf numFmtId="0" fontId="8" fillId="2" borderId="1" xfId="3" applyFont="1" applyFill="1" applyBorder="1" applyAlignment="1">
      <alignment horizontal="left" vertical="center" indent="2"/>
    </xf>
    <xf numFmtId="0" fontId="9" fillId="2" borderId="6" xfId="3" applyFont="1" applyFill="1" applyBorder="1" applyAlignment="1">
      <alignment horizontal="left" vertical="center" indent="4"/>
    </xf>
    <xf numFmtId="0" fontId="9" fillId="2" borderId="5" xfId="3" applyFont="1" applyFill="1" applyBorder="1" applyAlignment="1">
      <alignment horizontal="left" vertical="center" indent="4"/>
    </xf>
    <xf numFmtId="0" fontId="8" fillId="2" borderId="9" xfId="3" applyFont="1" applyFill="1" applyBorder="1" applyAlignment="1">
      <alignment horizontal="left" vertical="center" indent="2"/>
    </xf>
    <xf numFmtId="0" fontId="8" fillId="2" borderId="7" xfId="3" applyFont="1" applyFill="1" applyBorder="1" applyAlignment="1">
      <alignment horizontal="left" vertical="center" indent="1"/>
    </xf>
    <xf numFmtId="0" fontId="9" fillId="2" borderId="6" xfId="3" applyFont="1" applyFill="1" applyBorder="1" applyAlignment="1">
      <alignment horizontal="left" vertical="center" indent="3"/>
    </xf>
    <xf numFmtId="0" fontId="9" fillId="2" borderId="5" xfId="3" applyFont="1" applyFill="1" applyBorder="1" applyAlignment="1">
      <alignment horizontal="left" vertical="center" indent="3"/>
    </xf>
    <xf numFmtId="0" fontId="8" fillId="2" borderId="8" xfId="3" applyFont="1" applyFill="1" applyBorder="1" applyAlignment="1">
      <alignment horizontal="left" vertical="center" indent="1"/>
    </xf>
    <xf numFmtId="0" fontId="12" fillId="2" borderId="2" xfId="3" applyFont="1" applyFill="1" applyBorder="1" applyAlignment="1">
      <alignment horizontal="left" vertical="center" indent="1"/>
    </xf>
    <xf numFmtId="0" fontId="10" fillId="4" borderId="2" xfId="3" applyFont="1" applyFill="1" applyBorder="1" applyAlignment="1">
      <alignment horizontal="left" vertical="center"/>
    </xf>
    <xf numFmtId="0" fontId="12" fillId="5" borderId="2" xfId="3" applyFont="1" applyFill="1" applyBorder="1" applyAlignment="1">
      <alignment horizontal="left" vertical="center" indent="1"/>
    </xf>
    <xf numFmtId="168" fontId="11" fillId="4" borderId="2" xfId="3" applyNumberFormat="1" applyFont="1" applyFill="1" applyBorder="1" applyAlignment="1">
      <alignment vertical="center"/>
    </xf>
    <xf numFmtId="168" fontId="8" fillId="2" borderId="0" xfId="3" applyNumberFormat="1" applyFont="1" applyFill="1" applyAlignment="1">
      <alignment vertical="center"/>
    </xf>
    <xf numFmtId="168" fontId="8" fillId="2" borderId="4" xfId="3" applyNumberFormat="1" applyFont="1" applyFill="1" applyBorder="1" applyAlignment="1">
      <alignment vertical="center"/>
    </xf>
    <xf numFmtId="168" fontId="8" fillId="2" borderId="3" xfId="3" applyNumberFormat="1" applyFont="1" applyFill="1" applyBorder="1" applyAlignment="1">
      <alignment vertical="center"/>
    </xf>
    <xf numFmtId="168" fontId="8" fillId="2" borderId="1" xfId="3" applyNumberFormat="1" applyFont="1" applyFill="1" applyBorder="1" applyAlignment="1">
      <alignment vertical="center"/>
    </xf>
    <xf numFmtId="168" fontId="11" fillId="2" borderId="2" xfId="3" applyNumberFormat="1" applyFont="1" applyFill="1" applyBorder="1" applyAlignment="1">
      <alignment vertical="center"/>
    </xf>
    <xf numFmtId="168" fontId="8" fillId="2" borderId="7" xfId="3" applyNumberFormat="1" applyFont="1" applyFill="1" applyBorder="1" applyAlignment="1">
      <alignment vertical="center"/>
    </xf>
    <xf numFmtId="168" fontId="11" fillId="5" borderId="2" xfId="3" applyNumberFormat="1" applyFont="1" applyFill="1" applyBorder="1" applyAlignment="1">
      <alignment vertical="center"/>
    </xf>
    <xf numFmtId="168" fontId="9" fillId="2" borderId="6" xfId="3" applyNumberFormat="1" applyFont="1" applyFill="1" applyBorder="1" applyAlignment="1">
      <alignment vertical="center"/>
    </xf>
    <xf numFmtId="168" fontId="9" fillId="2" borderId="5" xfId="3" applyNumberFormat="1" applyFont="1" applyFill="1" applyBorder="1" applyAlignment="1">
      <alignment vertical="center"/>
    </xf>
    <xf numFmtId="168" fontId="8" fillId="2" borderId="9" xfId="3" applyNumberFormat="1" applyFont="1" applyFill="1" applyBorder="1" applyAlignment="1">
      <alignment vertical="center"/>
    </xf>
    <xf numFmtId="168" fontId="8" fillId="2" borderId="8" xfId="3" applyNumberFormat="1" applyFont="1" applyFill="1" applyBorder="1" applyAlignment="1">
      <alignment vertical="center"/>
    </xf>
    <xf numFmtId="164" fontId="11" fillId="4" borderId="2" xfId="3" applyNumberFormat="1" applyFont="1" applyFill="1" applyBorder="1" applyAlignment="1">
      <alignment vertical="center"/>
    </xf>
    <xf numFmtId="164" fontId="8" fillId="2" borderId="7" xfId="3" applyNumberFormat="1" applyFont="1" applyFill="1" applyBorder="1" applyAlignment="1">
      <alignment vertical="center"/>
    </xf>
    <xf numFmtId="164" fontId="8" fillId="2" borderId="0" xfId="3" applyNumberFormat="1" applyFont="1" applyFill="1" applyAlignment="1">
      <alignment vertical="center"/>
    </xf>
    <xf numFmtId="164" fontId="8" fillId="2" borderId="4" xfId="3" applyNumberFormat="1" applyFont="1" applyFill="1" applyBorder="1" applyAlignment="1">
      <alignment vertical="center"/>
    </xf>
    <xf numFmtId="164" fontId="9" fillId="2" borderId="6" xfId="3" applyNumberFormat="1" applyFont="1" applyFill="1" applyBorder="1" applyAlignment="1">
      <alignment vertical="center"/>
    </xf>
    <xf numFmtId="164" fontId="9" fillId="2" borderId="5" xfId="3" applyNumberFormat="1" applyFont="1" applyFill="1" applyBorder="1" applyAlignment="1">
      <alignment vertical="center"/>
    </xf>
    <xf numFmtId="164" fontId="8" fillId="2" borderId="3" xfId="3" applyNumberFormat="1" applyFont="1" applyFill="1" applyBorder="1" applyAlignment="1">
      <alignment vertical="center"/>
    </xf>
    <xf numFmtId="164" fontId="8" fillId="2" borderId="1" xfId="3" applyNumberFormat="1" applyFont="1" applyFill="1" applyBorder="1" applyAlignment="1">
      <alignment vertical="center"/>
    </xf>
    <xf numFmtId="1" fontId="7" fillId="3" borderId="2" xfId="7" applyNumberFormat="1" applyFont="1" applyFill="1" applyBorder="1" applyAlignment="1">
      <alignment horizontal="center" vertical="center"/>
    </xf>
    <xf numFmtId="0" fontId="5" fillId="0" borderId="0" xfId="7" applyFont="1" applyAlignment="1">
      <alignment vertical="center"/>
    </xf>
    <xf numFmtId="1" fontId="7" fillId="3" borderId="2" xfId="7" applyNumberFormat="1" applyFont="1" applyFill="1" applyBorder="1" applyAlignment="1">
      <alignment horizontal="center" vertical="center" shrinkToFit="1"/>
    </xf>
    <xf numFmtId="0" fontId="8" fillId="2" borderId="0" xfId="7" applyFont="1" applyFill="1" applyAlignment="1">
      <alignment vertical="center"/>
    </xf>
    <xf numFmtId="0" fontId="8" fillId="2" borderId="0" xfId="7" applyFont="1" applyFill="1" applyAlignment="1">
      <alignment vertical="center" shrinkToFit="1"/>
    </xf>
    <xf numFmtId="0" fontId="10" fillId="4" borderId="2" xfId="7" applyFont="1" applyFill="1" applyBorder="1" applyAlignment="1">
      <alignment horizontal="left" vertical="center"/>
    </xf>
    <xf numFmtId="165" fontId="11" fillId="4" borderId="2" xfId="7" applyNumberFormat="1" applyFont="1" applyFill="1" applyBorder="1" applyAlignment="1">
      <alignment vertical="center"/>
    </xf>
    <xf numFmtId="0" fontId="11" fillId="4" borderId="2" xfId="7" applyFont="1" applyFill="1" applyBorder="1" applyAlignment="1">
      <alignment vertical="center" shrinkToFit="1"/>
    </xf>
    <xf numFmtId="0" fontId="15" fillId="5" borderId="2" xfId="7" applyFont="1" applyFill="1" applyBorder="1" applyAlignment="1">
      <alignment horizontal="left" vertical="center" indent="1"/>
    </xf>
    <xf numFmtId="166" fontId="15" fillId="5" borderId="2" xfId="7" applyNumberFormat="1" applyFont="1" applyFill="1" applyBorder="1" applyAlignment="1">
      <alignment vertical="center"/>
    </xf>
    <xf numFmtId="0" fontId="15" fillId="5" borderId="2" xfId="7" applyFont="1" applyFill="1" applyBorder="1" applyAlignment="1">
      <alignment vertical="center" shrinkToFit="1"/>
    </xf>
    <xf numFmtId="0" fontId="8" fillId="2" borderId="7" xfId="7" applyFont="1" applyFill="1" applyBorder="1" applyAlignment="1">
      <alignment horizontal="left" vertical="center" indent="2"/>
    </xf>
    <xf numFmtId="166" fontId="8" fillId="2" borderId="7" xfId="7" applyNumberFormat="1" applyFont="1" applyFill="1" applyBorder="1" applyAlignment="1">
      <alignment vertical="center"/>
    </xf>
    <xf numFmtId="0" fontId="8" fillId="2" borderId="7" xfId="7" applyFont="1" applyFill="1" applyBorder="1" applyAlignment="1">
      <alignment vertical="center" shrinkToFit="1"/>
    </xf>
    <xf numFmtId="0" fontId="8" fillId="2" borderId="0" xfId="7" applyFont="1" applyFill="1" applyAlignment="1">
      <alignment horizontal="left" vertical="center" indent="3"/>
    </xf>
    <xf numFmtId="166" fontId="8" fillId="2" borderId="0" xfId="7" applyNumberFormat="1" applyFont="1" applyFill="1" applyAlignment="1">
      <alignment vertical="center"/>
    </xf>
    <xf numFmtId="0" fontId="8" fillId="2" borderId="4" xfId="7" applyFont="1" applyFill="1" applyBorder="1" applyAlignment="1">
      <alignment horizontal="left" vertical="center" indent="2"/>
    </xf>
    <xf numFmtId="166" fontId="8" fillId="2" borderId="4" xfId="7" applyNumberFormat="1" applyFont="1" applyFill="1" applyBorder="1" applyAlignment="1">
      <alignment vertical="center"/>
    </xf>
    <xf numFmtId="0" fontId="8" fillId="2" borderId="4" xfId="7" applyFont="1" applyFill="1" applyBorder="1" applyAlignment="1">
      <alignment vertical="center" shrinkToFit="1"/>
    </xf>
    <xf numFmtId="0" fontId="8" fillId="2" borderId="10" xfId="7" applyFont="1" applyFill="1" applyBorder="1" applyAlignment="1">
      <alignment horizontal="left" vertical="center" indent="3"/>
    </xf>
    <xf numFmtId="166" fontId="8" fillId="2" borderId="10" xfId="7" applyNumberFormat="1" applyFont="1" applyFill="1" applyBorder="1" applyAlignment="1">
      <alignment vertical="center"/>
    </xf>
    <xf numFmtId="0" fontId="8" fillId="2" borderId="10" xfId="7" applyFont="1" applyFill="1" applyBorder="1" applyAlignment="1">
      <alignment vertical="center" shrinkToFit="1"/>
    </xf>
    <xf numFmtId="0" fontId="8" fillId="2" borderId="1" xfId="7" applyFont="1" applyFill="1" applyBorder="1" applyAlignment="1">
      <alignment horizontal="left" vertical="center" indent="3"/>
    </xf>
    <xf numFmtId="166" fontId="8" fillId="2" borderId="1" xfId="7" applyNumberFormat="1" applyFont="1" applyFill="1" applyBorder="1" applyAlignment="1">
      <alignment vertical="center"/>
    </xf>
    <xf numFmtId="0" fontId="8" fillId="2" borderId="1" xfId="7" applyFont="1" applyFill="1" applyBorder="1" applyAlignment="1">
      <alignment vertical="center" shrinkToFit="1"/>
    </xf>
    <xf numFmtId="166" fontId="11" fillId="4" borderId="2" xfId="7" applyNumberFormat="1" applyFont="1" applyFill="1" applyBorder="1" applyAlignment="1">
      <alignment vertical="center"/>
    </xf>
    <xf numFmtId="0" fontId="13" fillId="6" borderId="2" xfId="7" applyFont="1" applyFill="1" applyBorder="1" applyAlignment="1">
      <alignment horizontal="left" vertical="center"/>
    </xf>
    <xf numFmtId="167" fontId="14" fillId="6" borderId="2" xfId="7" applyNumberFormat="1" applyFont="1" applyFill="1" applyBorder="1" applyAlignment="1">
      <alignment vertical="center"/>
    </xf>
    <xf numFmtId="0" fontId="14" fillId="6" borderId="2" xfId="7" applyFont="1" applyFill="1" applyBorder="1" applyAlignment="1">
      <alignment vertical="center" shrinkToFit="1"/>
    </xf>
    <xf numFmtId="169" fontId="11" fillId="4" borderId="2" xfId="7" applyNumberFormat="1" applyFont="1" applyFill="1" applyBorder="1" applyAlignment="1">
      <alignment vertical="center"/>
    </xf>
    <xf numFmtId="169" fontId="15" fillId="5" borderId="2" xfId="7" applyNumberFormat="1" applyFont="1" applyFill="1" applyBorder="1" applyAlignment="1">
      <alignment vertical="center"/>
    </xf>
    <xf numFmtId="169" fontId="8" fillId="2" borderId="7" xfId="7" applyNumberFormat="1" applyFont="1" applyFill="1" applyBorder="1" applyAlignment="1">
      <alignment vertical="center"/>
    </xf>
    <xf numFmtId="169" fontId="8" fillId="2" borderId="0" xfId="7" applyNumberFormat="1" applyFont="1" applyFill="1" applyAlignment="1">
      <alignment vertical="center"/>
    </xf>
    <xf numFmtId="169" fontId="8" fillId="2" borderId="4" xfId="7" applyNumberFormat="1" applyFont="1" applyFill="1" applyBorder="1" applyAlignment="1">
      <alignment vertical="center"/>
    </xf>
    <xf numFmtId="169" fontId="8" fillId="2" borderId="1" xfId="7" applyNumberFormat="1" applyFont="1" applyFill="1" applyBorder="1" applyAlignment="1">
      <alignment vertical="center"/>
    </xf>
    <xf numFmtId="167" fontId="11" fillId="4" borderId="2" xfId="7" applyNumberFormat="1" applyFont="1" applyFill="1" applyBorder="1" applyAlignment="1">
      <alignment vertical="center"/>
    </xf>
    <xf numFmtId="164" fontId="15" fillId="5" borderId="2" xfId="7" applyNumberFormat="1" applyFont="1" applyFill="1" applyBorder="1" applyAlignment="1">
      <alignment vertical="center"/>
    </xf>
    <xf numFmtId="164" fontId="8" fillId="2" borderId="7" xfId="7" applyNumberFormat="1" applyFont="1" applyFill="1" applyBorder="1" applyAlignment="1">
      <alignment vertical="center"/>
    </xf>
    <xf numFmtId="164" fontId="8" fillId="2" borderId="0" xfId="7" applyNumberFormat="1" applyFont="1" applyFill="1" applyAlignment="1">
      <alignment vertical="center"/>
    </xf>
    <xf numFmtId="164" fontId="8" fillId="2" borderId="4" xfId="7" applyNumberFormat="1" applyFont="1" applyFill="1" applyBorder="1" applyAlignment="1">
      <alignment vertical="center"/>
    </xf>
    <xf numFmtId="164" fontId="8" fillId="2" borderId="1" xfId="7" applyNumberFormat="1" applyFont="1" applyFill="1" applyBorder="1" applyAlignment="1">
      <alignment vertical="center"/>
    </xf>
    <xf numFmtId="0" fontId="5" fillId="0" borderId="0" xfId="7" applyFont="1" applyAlignment="1">
      <alignment vertical="center" shrinkToFit="1"/>
    </xf>
    <xf numFmtId="0" fontId="16" fillId="0" borderId="0" xfId="0" applyFont="1"/>
    <xf numFmtId="0" fontId="4" fillId="2" borderId="0" xfId="3" applyFont="1" applyFill="1" applyAlignment="1">
      <alignment vertical="center"/>
    </xf>
    <xf numFmtId="0" fontId="11" fillId="4" borderId="2" xfId="3" applyFont="1" applyFill="1" applyBorder="1" applyAlignment="1">
      <alignment vertical="center" shrinkToFit="1"/>
    </xf>
    <xf numFmtId="0" fontId="17" fillId="2" borderId="9" xfId="3" applyFont="1" applyFill="1" applyBorder="1" applyAlignment="1">
      <alignment horizontal="left" vertical="center" indent="1"/>
    </xf>
    <xf numFmtId="168" fontId="17" fillId="2" borderId="9" xfId="3" applyNumberFormat="1" applyFont="1" applyFill="1" applyBorder="1" applyAlignment="1">
      <alignment vertical="center"/>
    </xf>
    <xf numFmtId="0" fontId="17" fillId="2" borderId="9" xfId="3" applyFont="1" applyFill="1" applyBorder="1" applyAlignment="1">
      <alignment vertical="center" shrinkToFit="1"/>
    </xf>
    <xf numFmtId="0" fontId="17" fillId="2" borderId="1" xfId="3" applyFont="1" applyFill="1" applyBorder="1" applyAlignment="1">
      <alignment horizontal="left" vertical="center" indent="1"/>
    </xf>
    <xf numFmtId="168" fontId="17" fillId="2" borderId="1" xfId="3" applyNumberFormat="1" applyFont="1" applyFill="1" applyBorder="1" applyAlignment="1">
      <alignment vertical="center"/>
    </xf>
    <xf numFmtId="0" fontId="17" fillId="2" borderId="1" xfId="3" applyFont="1" applyFill="1" applyBorder="1" applyAlignment="1">
      <alignment vertical="center" shrinkToFit="1"/>
    </xf>
    <xf numFmtId="0" fontId="17" fillId="2" borderId="0" xfId="3" applyFont="1" applyFill="1" applyAlignment="1">
      <alignment horizontal="left" vertical="center" indent="1"/>
    </xf>
    <xf numFmtId="168" fontId="17" fillId="2" borderId="0" xfId="3" applyNumberFormat="1" applyFont="1" applyFill="1" applyAlignment="1">
      <alignment vertical="center"/>
    </xf>
    <xf numFmtId="0" fontId="17" fillId="2" borderId="0" xfId="3" applyFont="1" applyFill="1" applyAlignment="1">
      <alignment vertical="center" shrinkToFit="1"/>
    </xf>
    <xf numFmtId="0" fontId="18" fillId="7" borderId="0" xfId="3" applyFont="1" applyFill="1" applyAlignment="1">
      <alignment vertical="center"/>
    </xf>
    <xf numFmtId="0" fontId="19" fillId="7" borderId="9" xfId="3" applyFont="1" applyFill="1" applyBorder="1" applyAlignment="1">
      <alignment horizontal="left" vertical="center" indent="1"/>
    </xf>
    <xf numFmtId="168" fontId="19" fillId="7" borderId="9" xfId="3" applyNumberFormat="1" applyFont="1" applyFill="1" applyBorder="1" applyAlignment="1">
      <alignment vertical="center"/>
    </xf>
    <xf numFmtId="0" fontId="19" fillId="7" borderId="9" xfId="3" applyFont="1" applyFill="1" applyBorder="1" applyAlignment="1">
      <alignment vertical="center" shrinkToFit="1"/>
    </xf>
    <xf numFmtId="0" fontId="19" fillId="7" borderId="0" xfId="3" applyFont="1" applyFill="1" applyAlignment="1">
      <alignment horizontal="left" vertical="center" indent="1"/>
    </xf>
    <xf numFmtId="168" fontId="19" fillId="7" borderId="0" xfId="3" applyNumberFormat="1" applyFont="1" applyFill="1" applyAlignment="1">
      <alignment vertical="center"/>
    </xf>
    <xf numFmtId="0" fontId="19" fillId="7" borderId="0" xfId="3" applyFont="1" applyFill="1" applyAlignment="1">
      <alignment vertical="center" shrinkToFit="1"/>
    </xf>
    <xf numFmtId="0" fontId="19" fillId="7" borderId="0" xfId="3" applyFont="1" applyFill="1" applyAlignment="1">
      <alignment horizontal="left" vertical="center" indent="2"/>
    </xf>
    <xf numFmtId="0" fontId="19" fillId="7" borderId="1" xfId="3" applyFont="1" applyFill="1" applyBorder="1" applyAlignment="1">
      <alignment horizontal="left" vertical="center" indent="1"/>
    </xf>
    <xf numFmtId="168" fontId="19" fillId="7" borderId="1" xfId="3" applyNumberFormat="1" applyFont="1" applyFill="1" applyBorder="1" applyAlignment="1">
      <alignment vertical="center"/>
    </xf>
    <xf numFmtId="0" fontId="19" fillId="7" borderId="1" xfId="3" applyFont="1" applyFill="1" applyBorder="1" applyAlignment="1">
      <alignment vertical="center" shrinkToFit="1"/>
    </xf>
    <xf numFmtId="0" fontId="17" fillId="2" borderId="0" xfId="3" applyFont="1" applyFill="1" applyAlignment="1">
      <alignment horizontal="left" vertical="center" wrapText="1" indent="1"/>
    </xf>
  </cellXfs>
  <cellStyles count="8">
    <cellStyle name="Comma 2" xfId="2" xr:uid="{8289F802-F7E6-491B-938E-3D31ACD066AC}"/>
    <cellStyle name="Normal" xfId="0" builtinId="0"/>
    <cellStyle name="Normal 2" xfId="3" xr:uid="{B7397CA7-7CE6-4CAE-95C8-963442C5D117}"/>
    <cellStyle name="Normal 2 2" xfId="7" xr:uid="{3966770F-31CA-43CA-89EA-BE8144B18942}"/>
    <cellStyle name="Normal 3" xfId="4" xr:uid="{17C24F6D-BCEA-46E4-B01C-25A0CBDE272D}"/>
    <cellStyle name="Percent 2" xfId="5" xr:uid="{9B34FC25-D173-4EEC-A624-8846F44F87F2}"/>
    <cellStyle name="Percent 3" xfId="6" xr:uid="{03F6088D-8D47-4642-8747-585F3FA90E25}"/>
    <cellStyle name="Prozent 2" xfId="1" xr:uid="{DDA6A629-BB6A-4CE7-9F43-815002D1AB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</xdr:colOff>
      <xdr:row>1</xdr:row>
      <xdr:rowOff>132556</xdr:rowOff>
    </xdr:from>
    <xdr:to>
      <xdr:col>7</xdr:col>
      <xdr:colOff>82640</xdr:colOff>
      <xdr:row>32</xdr:row>
      <xdr:rowOff>133069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E9B8714-4803-9517-B45D-8E07B00B18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247"/>
        <a:stretch/>
      </xdr:blipFill>
      <xdr:spPr>
        <a:xfrm>
          <a:off x="5953" y="400447"/>
          <a:ext cx="5410687" cy="5536919"/>
        </a:xfrm>
        <a:prstGeom prst="rect">
          <a:avLst/>
        </a:prstGeom>
      </xdr:spPr>
    </xdr:pic>
    <xdr:clientData/>
  </xdr:twoCellAnchor>
  <xdr:twoCellAnchor editAs="oneCell">
    <xdr:from>
      <xdr:col>7</xdr:col>
      <xdr:colOff>144780</xdr:colOff>
      <xdr:row>1</xdr:row>
      <xdr:rowOff>175260</xdr:rowOff>
    </xdr:from>
    <xdr:to>
      <xdr:col>14</xdr:col>
      <xdr:colOff>282433</xdr:colOff>
      <xdr:row>25</xdr:row>
      <xdr:rowOff>30848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F08DEBA8-2AE5-03B8-2010-76BEC81D6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92140" y="358140"/>
          <a:ext cx="5685013" cy="424470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lora\AppData\Local\Temp\4ddead28-4c84-4eb4-9978-0fde633cf235_JRC-IDEES-2021.zip.JRC-IDEES-2021.zip\DK\JRC-IDEES-2021_Transport_DK.xlsx" TargetMode="External"/><Relationship Id="rId1" Type="http://schemas.openxmlformats.org/officeDocument/2006/relationships/externalLinkPath" Target="/Users/flora/AppData/Local/Temp/4ddead28-4c84-4eb4-9978-0fde633cf235_JRC-IDEES-2021.zip.JRC-IDEES-2021.zip/DK/JRC-IDEES-2021_Transport_D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index"/>
      <sheetName val="Transport"/>
      <sheetName val="TrRoad_act"/>
      <sheetName val="TrRoad_ene"/>
      <sheetName val="TrRoad_emi"/>
      <sheetName val="TrRoad_tech"/>
      <sheetName val="TrRail_act"/>
      <sheetName val="TrRail_ene"/>
      <sheetName val="TrRail_emi"/>
      <sheetName val="TrAvia_act"/>
      <sheetName val="TrAvia_ene"/>
      <sheetName val="TrAvia_emi"/>
      <sheetName val="TrAvia_png"/>
      <sheetName val="TrNavi_act"/>
      <sheetName val="TrNavi_ene"/>
      <sheetName val="TrNavi_emi"/>
      <sheetName val="MBunk_act"/>
      <sheetName val="MBunk_ene"/>
      <sheetName val="MBunk_emi"/>
    </sheetNames>
    <sheetDataSet>
      <sheetData sheetId="0"/>
      <sheetData sheetId="1"/>
      <sheetData sheetId="2"/>
      <sheetData sheetId="3">
        <row r="5">
          <cell r="A5" t="str">
            <v>Powered two-wheelers</v>
          </cell>
          <cell r="B5">
            <v>618.06270654561922</v>
          </cell>
          <cell r="C5">
            <v>586.67393876571521</v>
          </cell>
          <cell r="D5">
            <v>609.87843956196923</v>
          </cell>
          <cell r="E5">
            <v>616.21646683060271</v>
          </cell>
          <cell r="F5">
            <v>615.64630201562716</v>
          </cell>
          <cell r="G5">
            <v>631.84951342392662</v>
          </cell>
          <cell r="H5">
            <v>665.74426072888741</v>
          </cell>
          <cell r="I5">
            <v>712.09003479639296</v>
          </cell>
          <cell r="J5">
            <v>712.46479061656851</v>
          </cell>
          <cell r="K5">
            <v>686.37760614342062</v>
          </cell>
          <cell r="L5">
            <v>686.81199575097514</v>
          </cell>
          <cell r="M5">
            <v>681.66932110322557</v>
          </cell>
          <cell r="N5">
            <v>682.95354835054661</v>
          </cell>
          <cell r="O5">
            <v>691.82369853973353</v>
          </cell>
          <cell r="P5">
            <v>706.58775015468939</v>
          </cell>
          <cell r="Q5">
            <v>713.81021490519925</v>
          </cell>
          <cell r="R5">
            <v>711.70731530665489</v>
          </cell>
          <cell r="S5">
            <v>668.26693266766108</v>
          </cell>
          <cell r="T5">
            <v>634.48253072571617</v>
          </cell>
          <cell r="U5">
            <v>665.30790686102102</v>
          </cell>
          <cell r="V5">
            <v>593.12828382677617</v>
          </cell>
          <cell r="W5">
            <v>613.24874250755204</v>
          </cell>
        </row>
        <row r="6">
          <cell r="A6" t="str">
            <v>Passenger cars</v>
          </cell>
          <cell r="B6">
            <v>50615</v>
          </cell>
          <cell r="C6">
            <v>49620</v>
          </cell>
          <cell r="D6">
            <v>49454</v>
          </cell>
          <cell r="E6">
            <v>49695</v>
          </cell>
          <cell r="F6">
            <v>50557</v>
          </cell>
          <cell r="G6">
            <v>49758</v>
          </cell>
          <cell r="H6">
            <v>49648</v>
          </cell>
          <cell r="I6">
            <v>50733</v>
          </cell>
          <cell r="J6">
            <v>51459</v>
          </cell>
          <cell r="K6">
            <v>51884</v>
          </cell>
          <cell r="L6">
            <v>51691</v>
          </cell>
          <cell r="M6">
            <v>52957</v>
          </cell>
          <cell r="N6">
            <v>52664.999999999993</v>
          </cell>
          <cell r="O6">
            <v>52903.999999999993</v>
          </cell>
          <cell r="P6">
            <v>54402.000000000007</v>
          </cell>
          <cell r="Q6">
            <v>56844.000000000007</v>
          </cell>
          <cell r="R6">
            <v>59041</v>
          </cell>
          <cell r="S6">
            <v>60046</v>
          </cell>
          <cell r="T6">
            <v>61213</v>
          </cell>
          <cell r="U6">
            <v>62513</v>
          </cell>
          <cell r="V6">
            <v>58479</v>
          </cell>
          <cell r="W6">
            <v>58910</v>
          </cell>
        </row>
        <row r="13">
          <cell r="A13" t="str">
            <v>Motor coaches, buses and trolley buses</v>
          </cell>
          <cell r="B13">
            <v>7418</v>
          </cell>
          <cell r="C13">
            <v>7332</v>
          </cell>
          <cell r="D13">
            <v>7295</v>
          </cell>
          <cell r="E13">
            <v>7272</v>
          </cell>
          <cell r="F13">
            <v>7300</v>
          </cell>
          <cell r="G13">
            <v>7169</v>
          </cell>
          <cell r="H13">
            <v>7054</v>
          </cell>
          <cell r="I13">
            <v>6845</v>
          </cell>
          <cell r="J13">
            <v>6739</v>
          </cell>
          <cell r="K13">
            <v>6746.0000000000009</v>
          </cell>
          <cell r="L13">
            <v>6821</v>
          </cell>
          <cell r="M13">
            <v>6673</v>
          </cell>
          <cell r="N13">
            <v>6466</v>
          </cell>
          <cell r="O13">
            <v>6466</v>
          </cell>
          <cell r="P13">
            <v>6558</v>
          </cell>
          <cell r="Q13">
            <v>6854.9999999999991</v>
          </cell>
          <cell r="R13">
            <v>7069</v>
          </cell>
          <cell r="S13">
            <v>7300</v>
          </cell>
          <cell r="T13">
            <v>7107.9999999999991</v>
          </cell>
          <cell r="U13">
            <v>6929</v>
          </cell>
          <cell r="V13">
            <v>4547</v>
          </cell>
          <cell r="W13">
            <v>4834</v>
          </cell>
        </row>
        <row r="20">
          <cell r="A20" t="str">
            <v>Light commercial vehicles</v>
          </cell>
          <cell r="B20">
            <v>967.69161960842871</v>
          </cell>
          <cell r="C20">
            <v>1039.2803571428108</v>
          </cell>
          <cell r="D20">
            <v>1081.8775655784996</v>
          </cell>
          <cell r="E20">
            <v>1145.365920751447</v>
          </cell>
          <cell r="F20">
            <v>1259.0690910860051</v>
          </cell>
          <cell r="G20">
            <v>1357.8092139001092</v>
          </cell>
          <cell r="H20">
            <v>1498.9049667236454</v>
          </cell>
          <cell r="I20">
            <v>1642.3372972945608</v>
          </cell>
          <cell r="J20">
            <v>1642.100932238998</v>
          </cell>
          <cell r="K20">
            <v>1556.3443418001732</v>
          </cell>
          <cell r="L20">
            <v>1514.7237158435612</v>
          </cell>
          <cell r="M20">
            <v>1378.623661996241</v>
          </cell>
          <cell r="N20">
            <v>1278.0406604003247</v>
          </cell>
          <cell r="O20">
            <v>1211.6717668725753</v>
          </cell>
          <cell r="P20">
            <v>1170.7877713172372</v>
          </cell>
          <cell r="Q20">
            <v>1189.4401413442174</v>
          </cell>
          <cell r="R20">
            <v>1198.2699444678321</v>
          </cell>
          <cell r="S20">
            <v>1227.2141511383193</v>
          </cell>
          <cell r="T20">
            <v>1252.5889217238089</v>
          </cell>
          <cell r="U20">
            <v>1218.1573220182254</v>
          </cell>
          <cell r="V20">
            <v>1145.084442872298</v>
          </cell>
          <cell r="W20">
            <v>1167.879284988391</v>
          </cell>
        </row>
        <row r="26">
          <cell r="A26" t="str">
            <v>Heavy goods vehicles</v>
          </cell>
          <cell r="B26">
            <v>15135.134184086188</v>
          </cell>
          <cell r="C26">
            <v>15316.426795903024</v>
          </cell>
          <cell r="D26">
            <v>15747.50063622354</v>
          </cell>
          <cell r="E26">
            <v>15777.978798603068</v>
          </cell>
          <cell r="F26">
            <v>16069.630331978449</v>
          </cell>
          <cell r="G26">
            <v>16786.513223591253</v>
          </cell>
          <cell r="H26">
            <v>17692.258729141256</v>
          </cell>
          <cell r="I26">
            <v>18387.594020981316</v>
          </cell>
          <cell r="J26">
            <v>18914.41807897732</v>
          </cell>
          <cell r="K26">
            <v>16915.748243820388</v>
          </cell>
          <cell r="L26">
            <v>17243.749269546621</v>
          </cell>
          <cell r="M26">
            <v>18438.395166590464</v>
          </cell>
          <cell r="N26">
            <v>18571.037617626171</v>
          </cell>
          <cell r="O26">
            <v>19296.721203207024</v>
          </cell>
          <cell r="P26">
            <v>19517.265790013018</v>
          </cell>
          <cell r="Q26">
            <v>19128.622625910946</v>
          </cell>
          <cell r="R26">
            <v>20598.863081338419</v>
          </cell>
          <cell r="S26">
            <v>20352.101420361727</v>
          </cell>
          <cell r="T26">
            <v>19306</v>
          </cell>
          <cell r="U26">
            <v>19461</v>
          </cell>
          <cell r="V26">
            <v>20209</v>
          </cell>
          <cell r="W26">
            <v>20819</v>
          </cell>
        </row>
      </sheetData>
      <sheetData sheetId="4">
        <row r="19">
          <cell r="B19">
            <v>23.705497959108364</v>
          </cell>
          <cell r="C19">
            <v>22.334039574026558</v>
          </cell>
          <cell r="D19">
            <v>23.087706824148658</v>
          </cell>
          <cell r="E19">
            <v>23.24693578374352</v>
          </cell>
          <cell r="F19">
            <v>23.012006130275079</v>
          </cell>
          <cell r="G19">
            <v>23.252000512665834</v>
          </cell>
          <cell r="H19">
            <v>24.150430160563218</v>
          </cell>
          <cell r="I19">
            <v>25.423038059012608</v>
          </cell>
          <cell r="J19">
            <v>25.140927795842163</v>
          </cell>
          <cell r="K19">
            <v>23.991412693672956</v>
          </cell>
          <cell r="L19">
            <v>23.846683998708187</v>
          </cell>
          <cell r="M19">
            <v>23.565411948061278</v>
          </cell>
          <cell r="N19">
            <v>23.657544590184635</v>
          </cell>
          <cell r="O19">
            <v>23.73716922156191</v>
          </cell>
          <cell r="P19">
            <v>24.077134049438857</v>
          </cell>
          <cell r="Q19">
            <v>24.127106992693992</v>
          </cell>
          <cell r="R19">
            <v>23.947259301445957</v>
          </cell>
          <cell r="S19">
            <v>22.266519880538606</v>
          </cell>
          <cell r="T19">
            <v>20.998580957437749</v>
          </cell>
          <cell r="U19">
            <v>21.705878441535958</v>
          </cell>
          <cell r="V19">
            <v>19.244554543467839</v>
          </cell>
          <cell r="W19">
            <v>19.048650815689985</v>
          </cell>
        </row>
        <row r="21">
          <cell r="B21">
            <v>2026.7728999521639</v>
          </cell>
          <cell r="C21">
            <v>2003.1332475872264</v>
          </cell>
          <cell r="D21">
            <v>2036.7310887318481</v>
          </cell>
          <cell r="E21">
            <v>2077.201641119143</v>
          </cell>
          <cell r="F21">
            <v>2096.6248118199292</v>
          </cell>
          <cell r="G21">
            <v>2098.6091795134657</v>
          </cell>
          <cell r="H21">
            <v>2122.874232014975</v>
          </cell>
          <cell r="I21">
            <v>2235.8474003229649</v>
          </cell>
          <cell r="J21">
            <v>2216.557645206969</v>
          </cell>
          <cell r="K21">
            <v>2183.8480058636601</v>
          </cell>
          <cell r="L21">
            <v>2171.0737829216782</v>
          </cell>
          <cell r="M21">
            <v>2243.6821847062015</v>
          </cell>
          <cell r="N21">
            <v>2119.424596281784</v>
          </cell>
          <cell r="O21">
            <v>2112.6198675336072</v>
          </cell>
          <cell r="P21">
            <v>2142.0292683599741</v>
          </cell>
          <cell r="Q21">
            <v>2328.5563196169101</v>
          </cell>
          <cell r="R21">
            <v>2294.9025519524903</v>
          </cell>
          <cell r="S21">
            <v>2263.6764088656632</v>
          </cell>
          <cell r="T21">
            <v>2316.4696960881852</v>
          </cell>
          <cell r="U21">
            <v>2303.0420911108231</v>
          </cell>
          <cell r="V21">
            <v>2094.8822673257055</v>
          </cell>
          <cell r="W21">
            <v>2124.5335855227499</v>
          </cell>
        </row>
        <row r="33">
          <cell r="B33">
            <v>343.70597899826163</v>
          </cell>
          <cell r="C33">
            <v>334.12166688862828</v>
          </cell>
          <cell r="D33">
            <v>325.82877550824202</v>
          </cell>
          <cell r="E33">
            <v>330.00573883060332</v>
          </cell>
          <cell r="F33">
            <v>324.28972820234748</v>
          </cell>
          <cell r="G33">
            <v>327.20618023760761</v>
          </cell>
          <cell r="H33">
            <v>329.49825950974667</v>
          </cell>
          <cell r="I33">
            <v>325.80074089075055</v>
          </cell>
          <cell r="J33">
            <v>330.58826022909153</v>
          </cell>
          <cell r="K33">
            <v>336.41069301727595</v>
          </cell>
          <cell r="L33">
            <v>343.21541403311147</v>
          </cell>
          <cell r="M33">
            <v>335.16843325171624</v>
          </cell>
          <cell r="N33">
            <v>315.13445308816449</v>
          </cell>
          <cell r="O33">
            <v>302.49356949174506</v>
          </cell>
          <cell r="P33">
            <v>313.99226605267944</v>
          </cell>
          <cell r="Q33">
            <v>322.04986100620573</v>
          </cell>
          <cell r="R33">
            <v>333.77010357750976</v>
          </cell>
          <cell r="S33">
            <v>349.71656421353134</v>
          </cell>
          <cell r="T33">
            <v>349.33084387952999</v>
          </cell>
          <cell r="U33">
            <v>341.5864731006069</v>
          </cell>
          <cell r="V33">
            <v>339.69398932934126</v>
          </cell>
          <cell r="W33">
            <v>340.10962191500494</v>
          </cell>
        </row>
        <row r="43">
          <cell r="B43">
            <v>610.91696728133172</v>
          </cell>
          <cell r="C43">
            <v>633.2874265401133</v>
          </cell>
          <cell r="D43">
            <v>629.26736741611239</v>
          </cell>
          <cell r="E43">
            <v>639.48831766263686</v>
          </cell>
          <cell r="F43">
            <v>678.28833225621963</v>
          </cell>
          <cell r="G43">
            <v>705.61659959780843</v>
          </cell>
          <cell r="H43">
            <v>759.68930982578593</v>
          </cell>
          <cell r="I43">
            <v>819.99695557687153</v>
          </cell>
          <cell r="J43">
            <v>801.94304775994067</v>
          </cell>
          <cell r="K43">
            <v>741.68812321722476</v>
          </cell>
          <cell r="L43">
            <v>714.7294049155206</v>
          </cell>
          <cell r="M43">
            <v>646.8909233461236</v>
          </cell>
          <cell r="N43">
            <v>595.22615113830466</v>
          </cell>
          <cell r="O43">
            <v>560.77008009540475</v>
          </cell>
          <cell r="P43">
            <v>533.79225275448198</v>
          </cell>
          <cell r="Q43">
            <v>534.6252761628981</v>
          </cell>
          <cell r="R43">
            <v>532.06429673578918</v>
          </cell>
          <cell r="S43">
            <v>540.18574833511025</v>
          </cell>
          <cell r="T43">
            <v>543.7833973002837</v>
          </cell>
          <cell r="U43">
            <v>515.64896607661763</v>
          </cell>
          <cell r="V43">
            <v>477.69802114168817</v>
          </cell>
          <cell r="W43">
            <v>491.37265897169306</v>
          </cell>
        </row>
        <row r="52">
          <cell r="B52">
            <v>686.23812270509313</v>
          </cell>
          <cell r="C52">
            <v>725.39533050200816</v>
          </cell>
          <cell r="D52">
            <v>740.3612438068368</v>
          </cell>
          <cell r="E52">
            <v>841.34765035279747</v>
          </cell>
          <cell r="F52">
            <v>912.81667791109066</v>
          </cell>
          <cell r="G52">
            <v>913.44682259761009</v>
          </cell>
          <cell r="H52">
            <v>945.96515455943609</v>
          </cell>
          <cell r="I52">
            <v>972.33857194317761</v>
          </cell>
          <cell r="J52">
            <v>902.25335202621341</v>
          </cell>
          <cell r="K52">
            <v>768.49556292342618</v>
          </cell>
          <cell r="L52">
            <v>782.81078841006286</v>
          </cell>
          <cell r="M52">
            <v>780.18126038529783</v>
          </cell>
          <cell r="N52">
            <v>711.32516516059707</v>
          </cell>
          <cell r="O52">
            <v>697.57264289775787</v>
          </cell>
          <cell r="P52">
            <v>747.33370833304559</v>
          </cell>
          <cell r="Q52">
            <v>692.1429152065225</v>
          </cell>
          <cell r="R52">
            <v>783.87021273591813</v>
          </cell>
          <cell r="S52">
            <v>792.58060360509944</v>
          </cell>
          <cell r="T52">
            <v>820.88249369724088</v>
          </cell>
          <cell r="U52">
            <v>793.7932316746635</v>
          </cell>
          <cell r="V52">
            <v>772.06964014802861</v>
          </cell>
          <cell r="W52">
            <v>802.18588767589154</v>
          </cell>
        </row>
      </sheetData>
      <sheetData sheetId="5">
        <row r="19">
          <cell r="B19">
            <v>68.780373946650073</v>
          </cell>
          <cell r="C19">
            <v>64.801152723754342</v>
          </cell>
          <cell r="D19">
            <v>66.987882375422501</v>
          </cell>
          <cell r="E19">
            <v>67.449877622388527</v>
          </cell>
          <cell r="F19">
            <v>66.768240415501339</v>
          </cell>
          <cell r="G19">
            <v>67.464572692275524</v>
          </cell>
          <cell r="H19">
            <v>69.929544337882547</v>
          </cell>
          <cell r="I19">
            <v>73.538090425707622</v>
          </cell>
          <cell r="J19">
            <v>72.736794935352236</v>
          </cell>
          <cell r="K19">
            <v>69.400766619868577</v>
          </cell>
          <cell r="L19">
            <v>68.032661342074519</v>
          </cell>
          <cell r="M19">
            <v>66.342237910043337</v>
          </cell>
          <cell r="N19">
            <v>66.226912098767329</v>
          </cell>
          <cell r="O19">
            <v>66.583785955967372</v>
          </cell>
          <cell r="P19">
            <v>67.575574502892877</v>
          </cell>
          <cell r="Q19">
            <v>67.854679088762637</v>
          </cell>
          <cell r="R19">
            <v>67.336236283475699</v>
          </cell>
          <cell r="S19">
            <v>62.527792249369682</v>
          </cell>
          <cell r="T19">
            <v>59.002111659735434</v>
          </cell>
          <cell r="U19">
            <v>60.956996898405016</v>
          </cell>
          <cell r="V19">
            <v>52.289507716053102</v>
          </cell>
          <cell r="W19">
            <v>51.756883057326938</v>
          </cell>
        </row>
        <row r="20">
          <cell r="B20">
            <v>5910.1088653621609</v>
          </cell>
          <cell r="C20">
            <v>5843.8802201583803</v>
          </cell>
          <cell r="D20">
            <v>5945.3350273522983</v>
          </cell>
          <cell r="E20">
            <v>6068.1375846491719</v>
          </cell>
          <cell r="F20">
            <v>6133.0447097356746</v>
          </cell>
          <cell r="G20">
            <v>6150.8979981928769</v>
          </cell>
          <cell r="H20">
            <v>6222.1341059186971</v>
          </cell>
          <cell r="I20">
            <v>6570.1057268646291</v>
          </cell>
          <cell r="J20">
            <v>6527.9427865858133</v>
          </cell>
          <cell r="K20">
            <v>6439.0618501839044</v>
          </cell>
          <cell r="L20">
            <v>6362.1593831394875</v>
          </cell>
          <cell r="M20">
            <v>6451.8886741321621</v>
          </cell>
          <cell r="N20">
            <v>6006.2060662948879</v>
          </cell>
          <cell r="O20">
            <v>5989.9413040583877</v>
          </cell>
          <cell r="P20">
            <v>6075.7931573562209</v>
          </cell>
          <cell r="Q20">
            <v>6613.8237247150892</v>
          </cell>
          <cell r="R20">
            <v>6521.3227476549446</v>
          </cell>
          <cell r="S20">
            <v>6437.3337937150791</v>
          </cell>
          <cell r="T20">
            <v>6596.5200034692662</v>
          </cell>
          <cell r="U20">
            <v>6529.6182657453764</v>
          </cell>
          <cell r="V20">
            <v>5810.3524644413164</v>
          </cell>
          <cell r="W20">
            <v>5841.9154528574918</v>
          </cell>
        </row>
        <row r="27">
          <cell r="B27">
            <v>1063.3926741665543</v>
          </cell>
          <cell r="C27">
            <v>1033.6152007819326</v>
          </cell>
          <cell r="D27">
            <v>1007.9030403117886</v>
          </cell>
          <cell r="E27">
            <v>1021.9371189948192</v>
          </cell>
          <cell r="F27">
            <v>1004.5376758787592</v>
          </cell>
          <cell r="G27">
            <v>1013.6784657967717</v>
          </cell>
          <cell r="H27">
            <v>1020.7691616565697</v>
          </cell>
          <cell r="I27">
            <v>1009.3475430806744</v>
          </cell>
          <cell r="J27">
            <v>1024.2247841847704</v>
          </cell>
          <cell r="K27">
            <v>1040.8134912201099</v>
          </cell>
          <cell r="L27">
            <v>1063.3213607769208</v>
          </cell>
          <cell r="M27">
            <v>1003.3302404489723</v>
          </cell>
          <cell r="N27">
            <v>911.83301099878997</v>
          </cell>
          <cell r="O27">
            <v>872.29094050009076</v>
          </cell>
          <cell r="P27">
            <v>905.11690078566085</v>
          </cell>
          <cell r="Q27">
            <v>928.98437856412636</v>
          </cell>
          <cell r="R27">
            <v>962.61905291639846</v>
          </cell>
          <cell r="S27">
            <v>1008.6197072901973</v>
          </cell>
          <cell r="T27">
            <v>1009.9559780796715</v>
          </cell>
          <cell r="U27">
            <v>974.06581817333267</v>
          </cell>
          <cell r="V27">
            <v>970.14339572954316</v>
          </cell>
          <cell r="W27">
            <v>959.35738690468327</v>
          </cell>
        </row>
        <row r="34">
          <cell r="B34">
            <v>1870.4837868876482</v>
          </cell>
          <cell r="C34">
            <v>1937.5024125142877</v>
          </cell>
          <cell r="D34">
            <v>1925.7579321427756</v>
          </cell>
          <cell r="E34">
            <v>1959.1390795032733</v>
          </cell>
          <cell r="F34">
            <v>2079.8249534251531</v>
          </cell>
          <cell r="G34">
            <v>2165.3569202909871</v>
          </cell>
          <cell r="H34">
            <v>2333.0730569567509</v>
          </cell>
          <cell r="I34">
            <v>2520.9155196673219</v>
          </cell>
          <cell r="J34">
            <v>2467.6897001649227</v>
          </cell>
          <cell r="K34">
            <v>2280.0636652639737</v>
          </cell>
          <cell r="L34">
            <v>2198.7016022553175</v>
          </cell>
          <cell r="M34">
            <v>1926.9635731811454</v>
          </cell>
          <cell r="N34">
            <v>1718.1807468073735</v>
          </cell>
          <cell r="O34">
            <v>1614.0515709333692</v>
          </cell>
          <cell r="P34">
            <v>1535.9788249463829</v>
          </cell>
          <cell r="Q34">
            <v>1540.3792572361642</v>
          </cell>
          <cell r="R34">
            <v>1534.4079450829806</v>
          </cell>
          <cell r="S34">
            <v>1561.3403670619234</v>
          </cell>
          <cell r="T34">
            <v>1575.7048212114339</v>
          </cell>
          <cell r="U34">
            <v>1484.1537465193662</v>
          </cell>
          <cell r="V34">
            <v>1371.5893830635371</v>
          </cell>
          <cell r="W34">
            <v>1407.9079992781244</v>
          </cell>
        </row>
        <row r="40">
          <cell r="B40">
            <v>2128.9980531569881</v>
          </cell>
          <cell r="C40">
            <v>2250.4801107816438</v>
          </cell>
          <cell r="D40">
            <v>2296.9106415777142</v>
          </cell>
          <cell r="E40">
            <v>2610.2127677903459</v>
          </cell>
          <cell r="F40">
            <v>2831.9396225049127</v>
          </cell>
          <cell r="G40">
            <v>2833.8945952270906</v>
          </cell>
          <cell r="H40">
            <v>2934.7800796501001</v>
          </cell>
          <cell r="I40">
            <v>3016.6014655616664</v>
          </cell>
          <cell r="J40">
            <v>2799.1677616891429</v>
          </cell>
          <cell r="K40">
            <v>2380.5654341521458</v>
          </cell>
          <cell r="L40">
            <v>2428.6069068062011</v>
          </cell>
          <cell r="M40">
            <v>2337.8609639676788</v>
          </cell>
          <cell r="N40">
            <v>2059.3628373201805</v>
          </cell>
          <cell r="O40">
            <v>2012.6131171921816</v>
          </cell>
          <cell r="P40">
            <v>2155.2019612488425</v>
          </cell>
          <cell r="Q40">
            <v>1998.9073749158556</v>
          </cell>
          <cell r="R40">
            <v>2265.9087043822001</v>
          </cell>
          <cell r="S40">
            <v>2296.6265784834309</v>
          </cell>
          <cell r="T40">
            <v>2384.3138208998907</v>
          </cell>
          <cell r="U40">
            <v>2289.6046429035187</v>
          </cell>
          <cell r="V40">
            <v>2225.90170052955</v>
          </cell>
          <cell r="W40">
            <v>2310.9845083023747</v>
          </cell>
        </row>
      </sheetData>
      <sheetData sheetId="6"/>
      <sheetData sheetId="7">
        <row r="5">
          <cell r="A5" t="str">
            <v>Metro and tram, urban light rail</v>
          </cell>
          <cell r="B5">
            <v>0</v>
          </cell>
          <cell r="C5">
            <v>0</v>
          </cell>
          <cell r="D5">
            <v>9</v>
          </cell>
          <cell r="E5">
            <v>67</v>
          </cell>
          <cell r="F5">
            <v>128</v>
          </cell>
          <cell r="G5">
            <v>162</v>
          </cell>
          <cell r="H5">
            <v>164</v>
          </cell>
          <cell r="I5">
            <v>177</v>
          </cell>
          <cell r="J5">
            <v>195</v>
          </cell>
          <cell r="K5">
            <v>215</v>
          </cell>
          <cell r="L5">
            <v>239</v>
          </cell>
          <cell r="M5">
            <v>278</v>
          </cell>
          <cell r="N5">
            <v>274</v>
          </cell>
          <cell r="O5">
            <v>284</v>
          </cell>
          <cell r="P5">
            <v>295</v>
          </cell>
          <cell r="Q5">
            <v>302</v>
          </cell>
          <cell r="R5">
            <v>321</v>
          </cell>
          <cell r="S5">
            <v>341</v>
          </cell>
          <cell r="T5">
            <v>352</v>
          </cell>
          <cell r="U5">
            <v>400</v>
          </cell>
          <cell r="V5">
            <v>289</v>
          </cell>
          <cell r="W5">
            <v>331</v>
          </cell>
        </row>
        <row r="6">
          <cell r="A6" t="str">
            <v>Conventional passenger trains</v>
          </cell>
          <cell r="B6">
            <v>5537</v>
          </cell>
          <cell r="C6">
            <v>5721</v>
          </cell>
          <cell r="D6">
            <v>5745</v>
          </cell>
          <cell r="E6">
            <v>5826</v>
          </cell>
          <cell r="F6">
            <v>5946</v>
          </cell>
          <cell r="G6">
            <v>5974</v>
          </cell>
          <cell r="H6">
            <v>6110</v>
          </cell>
          <cell r="I6">
            <v>6176</v>
          </cell>
          <cell r="J6">
            <v>6280</v>
          </cell>
          <cell r="K6">
            <v>6152</v>
          </cell>
          <cell r="L6">
            <v>6338</v>
          </cell>
          <cell r="M6">
            <v>6365</v>
          </cell>
          <cell r="N6">
            <v>6517</v>
          </cell>
          <cell r="O6">
            <v>6551</v>
          </cell>
          <cell r="P6">
            <v>6513</v>
          </cell>
          <cell r="Q6">
            <v>6506</v>
          </cell>
          <cell r="R6">
            <v>6332</v>
          </cell>
          <cell r="S6">
            <v>6280</v>
          </cell>
          <cell r="T6">
            <v>6197</v>
          </cell>
          <cell r="U6">
            <v>6174</v>
          </cell>
          <cell r="V6">
            <v>3940</v>
          </cell>
          <cell r="W6">
            <v>4181</v>
          </cell>
        </row>
        <row r="9">
          <cell r="A9" t="str">
            <v>High speed passenger trains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</row>
        <row r="10">
          <cell r="B10">
            <v>2025</v>
          </cell>
          <cell r="C10">
            <v>2091</v>
          </cell>
          <cell r="D10">
            <v>1877</v>
          </cell>
          <cell r="E10">
            <v>1985</v>
          </cell>
          <cell r="F10">
            <v>2321</v>
          </cell>
          <cell r="G10">
            <v>1976</v>
          </cell>
          <cell r="H10">
            <v>1892</v>
          </cell>
          <cell r="I10">
            <v>1779</v>
          </cell>
          <cell r="J10">
            <v>1866</v>
          </cell>
          <cell r="K10">
            <v>1700</v>
          </cell>
          <cell r="L10">
            <v>2239</v>
          </cell>
          <cell r="M10">
            <v>2614</v>
          </cell>
          <cell r="N10">
            <v>2278</v>
          </cell>
          <cell r="O10">
            <v>2449</v>
          </cell>
          <cell r="P10">
            <v>2453</v>
          </cell>
          <cell r="Q10">
            <v>2603</v>
          </cell>
          <cell r="R10">
            <v>2616</v>
          </cell>
          <cell r="S10">
            <v>2653</v>
          </cell>
          <cell r="T10">
            <v>2594</v>
          </cell>
          <cell r="U10">
            <v>2525</v>
          </cell>
          <cell r="V10">
            <v>2450</v>
          </cell>
          <cell r="W10">
            <v>1986</v>
          </cell>
        </row>
      </sheetData>
      <sheetData sheetId="8">
        <row r="12">
          <cell r="B12">
            <v>0</v>
          </cell>
          <cell r="C12">
            <v>0</v>
          </cell>
          <cell r="D12">
            <v>4.09618427296096E-2</v>
          </cell>
          <cell r="E12">
            <v>0.31247756389811876</v>
          </cell>
          <cell r="F12">
            <v>0.59371176122776581</v>
          </cell>
          <cell r="G12">
            <v>0.75592416902596504</v>
          </cell>
          <cell r="H12">
            <v>0.76062061087540023</v>
          </cell>
          <cell r="I12">
            <v>0.81070194974420673</v>
          </cell>
          <cell r="J12">
            <v>0.89186032652531155</v>
          </cell>
          <cell r="K12">
            <v>0.98315725228874595</v>
          </cell>
          <cell r="L12">
            <v>1.0817347674089566</v>
          </cell>
          <cell r="M12">
            <v>1.2529292518905577</v>
          </cell>
          <cell r="N12">
            <v>1.2188387591037089</v>
          </cell>
          <cell r="O12">
            <v>1.259612978879036</v>
          </cell>
          <cell r="P12">
            <v>1.3032468791469836</v>
          </cell>
          <cell r="Q12">
            <v>1.3215202821987322</v>
          </cell>
          <cell r="R12">
            <v>1.4041380641794627</v>
          </cell>
          <cell r="S12">
            <v>1.4818147242265765</v>
          </cell>
          <cell r="T12">
            <v>1.5300035203189966</v>
          </cell>
          <cell r="U12">
            <v>1.746122418115319</v>
          </cell>
          <cell r="V12">
            <v>1.7440462392793343</v>
          </cell>
          <cell r="W12">
            <v>1.7549455070421456</v>
          </cell>
        </row>
        <row r="13">
          <cell r="B13">
            <v>89.871730930969861</v>
          </cell>
          <cell r="C13">
            <v>85.365321944193013</v>
          </cell>
          <cell r="D13">
            <v>88.009205749308421</v>
          </cell>
          <cell r="E13">
            <v>89.108078106972684</v>
          </cell>
          <cell r="F13">
            <v>87.596682385490752</v>
          </cell>
          <cell r="G13">
            <v>93.841330927998641</v>
          </cell>
          <cell r="H13">
            <v>93.895320947772063</v>
          </cell>
          <cell r="I13">
            <v>93.132987216435822</v>
          </cell>
          <cell r="J13">
            <v>97.217264219134634</v>
          </cell>
          <cell r="K13">
            <v>97.861792973562146</v>
          </cell>
          <cell r="L13">
            <v>99.998404201526199</v>
          </cell>
          <cell r="M13">
            <v>99.64805386992218</v>
          </cell>
          <cell r="N13">
            <v>100.99730831437817</v>
          </cell>
          <cell r="O13">
            <v>99.650993329302111</v>
          </cell>
          <cell r="P13">
            <v>101.08035433492691</v>
          </cell>
          <cell r="Q13">
            <v>99.702587659113817</v>
          </cell>
          <cell r="R13">
            <v>102.64425135045343</v>
          </cell>
          <cell r="S13">
            <v>100.195599721131</v>
          </cell>
          <cell r="T13">
            <v>94.208800582933819</v>
          </cell>
          <cell r="U13">
            <v>95.788702344851757</v>
          </cell>
          <cell r="V13">
            <v>87.212267474598974</v>
          </cell>
          <cell r="W13">
            <v>87.638013491516602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</row>
        <row r="17">
          <cell r="B17">
            <v>13.481665457680165</v>
          </cell>
          <cell r="C17">
            <v>12.888676336116518</v>
          </cell>
          <cell r="D17">
            <v>11.5795830528459</v>
          </cell>
          <cell r="E17">
            <v>11.303176057418106</v>
          </cell>
          <cell r="F17">
            <v>12.975212044167115</v>
          </cell>
          <cell r="G17">
            <v>12.097585831608232</v>
          </cell>
          <cell r="H17">
            <v>11.105021468007729</v>
          </cell>
          <cell r="I17">
            <v>10.097583404757184</v>
          </cell>
          <cell r="J17">
            <v>10.88339480085768</v>
          </cell>
          <cell r="K17">
            <v>9.569581158499922</v>
          </cell>
          <cell r="L17">
            <v>12.187788804065702</v>
          </cell>
          <cell r="M17">
            <v>13.8047778412139</v>
          </cell>
          <cell r="N17">
            <v>11.457799616113981</v>
          </cell>
          <cell r="O17">
            <v>11.829462479437082</v>
          </cell>
          <cell r="P17">
            <v>12.310207900285507</v>
          </cell>
          <cell r="Q17">
            <v>13.256373572015043</v>
          </cell>
          <cell r="R17">
            <v>13.623321677370544</v>
          </cell>
          <cell r="S17">
            <v>12.064975924375878</v>
          </cell>
          <cell r="T17">
            <v>11.234282741115184</v>
          </cell>
          <cell r="U17">
            <v>10.059930181142985</v>
          </cell>
          <cell r="V17">
            <v>10.890719820085573</v>
          </cell>
          <cell r="W17">
            <v>9.0975827039348136</v>
          </cell>
        </row>
      </sheetData>
      <sheetData sheetId="9"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</row>
        <row r="11">
          <cell r="B11">
            <v>197.56286081920211</v>
          </cell>
          <cell r="C11">
            <v>183.62182624938225</v>
          </cell>
          <cell r="D11">
            <v>186.81610772024646</v>
          </cell>
          <cell r="E11">
            <v>194.89220436100666</v>
          </cell>
          <cell r="F11">
            <v>188.73043625241783</v>
          </cell>
          <cell r="G11">
            <v>207.08602316702863</v>
          </cell>
          <cell r="H11">
            <v>204.29183364473175</v>
          </cell>
          <cell r="I11">
            <v>206.66722161122414</v>
          </cell>
          <cell r="J11">
            <v>216.60181520158139</v>
          </cell>
          <cell r="K11">
            <v>211.31015033813617</v>
          </cell>
          <cell r="L11">
            <v>218.07443158301263</v>
          </cell>
          <cell r="M11">
            <v>220.54767584704081</v>
          </cell>
          <cell r="N11">
            <v>226.17256753204401</v>
          </cell>
          <cell r="O11">
            <v>221.94641529613014</v>
          </cell>
          <cell r="P11">
            <v>225.85263559719826</v>
          </cell>
          <cell r="Q11">
            <v>220.05759206394896</v>
          </cell>
          <cell r="R11">
            <v>225.5908121120963</v>
          </cell>
          <cell r="S11">
            <v>218.00011709372512</v>
          </cell>
          <cell r="T11">
            <v>200.70550661846889</v>
          </cell>
          <cell r="U11">
            <v>201.99273834507969</v>
          </cell>
          <cell r="V11">
            <v>176.28058134472019</v>
          </cell>
          <cell r="W11">
            <v>168.373089255764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</row>
        <row r="15">
          <cell r="B15">
            <v>30.250179180797815</v>
          </cell>
          <cell r="C15">
            <v>28.370745190617718</v>
          </cell>
          <cell r="D15">
            <v>25.176463719753563</v>
          </cell>
          <cell r="E15">
            <v>23.428714558993356</v>
          </cell>
          <cell r="F15">
            <v>26.426442307582164</v>
          </cell>
          <cell r="G15">
            <v>23.891057192971385</v>
          </cell>
          <cell r="H15">
            <v>23.521206355268244</v>
          </cell>
          <cell r="I15">
            <v>21.145818388775826</v>
          </cell>
          <cell r="J15">
            <v>20.70334587841861</v>
          </cell>
          <cell r="K15">
            <v>19.666930021863838</v>
          </cell>
          <cell r="L15">
            <v>25.559076976987388</v>
          </cell>
          <cell r="M15">
            <v>29.41391343295918</v>
          </cell>
          <cell r="N15">
            <v>23.789021747955982</v>
          </cell>
          <cell r="O15">
            <v>24.851133623869863</v>
          </cell>
          <cell r="P15">
            <v>27.272994042801724</v>
          </cell>
          <cell r="Q15">
            <v>28.584602256051046</v>
          </cell>
          <cell r="R15">
            <v>28.237196607903705</v>
          </cell>
          <cell r="S15">
            <v>26.287872546274865</v>
          </cell>
          <cell r="T15">
            <v>23.64564090153112</v>
          </cell>
          <cell r="U15">
            <v>21.947065254920282</v>
          </cell>
          <cell r="V15">
            <v>20.40088517527979</v>
          </cell>
          <cell r="W15">
            <v>16.38648730423602</v>
          </cell>
        </row>
      </sheetData>
      <sheetData sheetId="10">
        <row r="5">
          <cell r="B5">
            <v>291.40924396035859</v>
          </cell>
          <cell r="C5">
            <v>299.46483133744471</v>
          </cell>
          <cell r="D5">
            <v>270.63505047752295</v>
          </cell>
          <cell r="E5">
            <v>294.26581108181898</v>
          </cell>
          <cell r="F5">
            <v>369.96532619028915</v>
          </cell>
          <cell r="G5">
            <v>371.63024424271703</v>
          </cell>
          <cell r="H5">
            <v>403.57690740271437</v>
          </cell>
          <cell r="I5">
            <v>446.8763170177379</v>
          </cell>
          <cell r="J5">
            <v>458.44665437170937</v>
          </cell>
          <cell r="K5">
            <v>464.32366596496422</v>
          </cell>
          <cell r="L5">
            <v>563.06762945161995</v>
          </cell>
          <cell r="M5">
            <v>519.51037812927541</v>
          </cell>
          <cell r="N5">
            <v>405.46675317223634</v>
          </cell>
          <cell r="O5">
            <v>408.17099991910067</v>
          </cell>
          <cell r="P5">
            <v>421.85946758049505</v>
          </cell>
          <cell r="Q5">
            <v>412.07747383764882</v>
          </cell>
          <cell r="R5">
            <v>437.606250558174</v>
          </cell>
          <cell r="S5">
            <v>422.72749352524494</v>
          </cell>
          <cell r="T5">
            <v>418.01654063879562</v>
          </cell>
          <cell r="U5">
            <v>393.61794485666769</v>
          </cell>
          <cell r="V5">
            <v>165.67190867400353</v>
          </cell>
          <cell r="W5">
            <v>231.30369073079234</v>
          </cell>
        </row>
        <row r="6">
          <cell r="B6">
            <v>10186.297917202788</v>
          </cell>
          <cell r="C6">
            <v>10566.784446657559</v>
          </cell>
          <cell r="D6">
            <v>10520.060983530002</v>
          </cell>
          <cell r="E6">
            <v>10218.513228038924</v>
          </cell>
          <cell r="F6">
            <v>10696.838536596297</v>
          </cell>
          <cell r="G6">
            <v>11149.757139233894</v>
          </cell>
          <cell r="H6">
            <v>11392.01850836867</v>
          </cell>
          <cell r="I6">
            <v>11336.021346299245</v>
          </cell>
          <cell r="J6">
            <v>10757.313683987757</v>
          </cell>
          <cell r="K6">
            <v>10035.434119026262</v>
          </cell>
          <cell r="L6">
            <v>10883.842524756506</v>
          </cell>
          <cell r="M6">
            <v>11526.969338168174</v>
          </cell>
          <cell r="N6">
            <v>11914.287257611903</v>
          </cell>
          <cell r="O6">
            <v>12547.638627097454</v>
          </cell>
          <cell r="P6">
            <v>13032.859656212773</v>
          </cell>
          <cell r="Q6">
            <v>13353.18808062169</v>
          </cell>
          <cell r="R6">
            <v>15101.974100752148</v>
          </cell>
          <cell r="S6">
            <v>15751.286250439953</v>
          </cell>
          <cell r="T6">
            <v>16295.38997882581</v>
          </cell>
          <cell r="U6">
            <v>15686.817297998425</v>
          </cell>
          <cell r="V6">
            <v>3816.1926543588661</v>
          </cell>
          <cell r="W6">
            <v>5724.8426153984155</v>
          </cell>
        </row>
        <row r="7">
          <cell r="B7">
            <v>6253.811640126848</v>
          </cell>
          <cell r="C7">
            <v>6454.0407469830343</v>
          </cell>
          <cell r="D7">
            <v>6499.1536095377141</v>
          </cell>
          <cell r="E7">
            <v>6288.9755177094721</v>
          </cell>
          <cell r="F7">
            <v>7273.244797016876</v>
          </cell>
          <cell r="G7">
            <v>8228.1177882751672</v>
          </cell>
          <cell r="H7">
            <v>8578.7544386336103</v>
          </cell>
          <cell r="I7">
            <v>8577.0951220565712</v>
          </cell>
          <cell r="J7">
            <v>8614.7565795719402</v>
          </cell>
          <cell r="K7">
            <v>8216.4302782723425</v>
          </cell>
          <cell r="L7">
            <v>9204.542831222856</v>
          </cell>
          <cell r="M7">
            <v>9125.5467981545098</v>
          </cell>
          <cell r="N7">
            <v>10028.9991184749</v>
          </cell>
          <cell r="O7">
            <v>10427.429714918328</v>
          </cell>
          <cell r="P7">
            <v>11445.717125756293</v>
          </cell>
          <cell r="Q7">
            <v>11619.493537248251</v>
          </cell>
          <cell r="R7">
            <v>11996.836057121571</v>
          </cell>
          <cell r="S7">
            <v>12345.309445970895</v>
          </cell>
          <cell r="T7">
            <v>13535.060771733841</v>
          </cell>
          <cell r="U7">
            <v>13939.646285209907</v>
          </cell>
          <cell r="V7">
            <v>3209.2765338470399</v>
          </cell>
          <cell r="W7">
            <v>3019.5166768824793</v>
          </cell>
        </row>
        <row r="9">
          <cell r="B9">
            <v>0.39172366016678484</v>
          </cell>
          <cell r="C9">
            <v>0.41211957488556195</v>
          </cell>
          <cell r="D9">
            <v>0.38472127495833575</v>
          </cell>
          <cell r="E9">
            <v>0.28773505338378291</v>
          </cell>
          <cell r="F9">
            <v>0.30105339581717916</v>
          </cell>
          <cell r="G9">
            <v>0.33328109776836573</v>
          </cell>
          <cell r="H9">
            <v>0.33346815466669566</v>
          </cell>
          <cell r="I9">
            <v>0.2698273485077764</v>
          </cell>
          <cell r="J9">
            <v>0.45761915652942836</v>
          </cell>
          <cell r="K9">
            <v>0.33392210029788355</v>
          </cell>
          <cell r="L9">
            <v>0.12517562277821262</v>
          </cell>
          <cell r="M9">
            <v>7.1719848184202628E-2</v>
          </cell>
          <cell r="N9">
            <v>5.7239893367400617E-2</v>
          </cell>
          <cell r="O9">
            <v>7.1353982102432559E-2</v>
          </cell>
          <cell r="P9">
            <v>8.6212950052164408E-2</v>
          </cell>
          <cell r="Q9">
            <v>8.4131859703813122E-2</v>
          </cell>
          <cell r="R9">
            <v>2.4660009783207825E-2</v>
          </cell>
          <cell r="S9">
            <v>4.0384429238605649E-2</v>
          </cell>
          <cell r="T9">
            <v>5.6031012439184319E-2</v>
          </cell>
          <cell r="U9">
            <v>6.3298350329026185E-2</v>
          </cell>
          <cell r="V9">
            <v>7.7001122219437279E-2</v>
          </cell>
          <cell r="W9">
            <v>0.13964973004104073</v>
          </cell>
        </row>
        <row r="10">
          <cell r="B10">
            <v>42.905083456148169</v>
          </cell>
          <cell r="C10">
            <v>46.931066716378098</v>
          </cell>
          <cell r="D10">
            <v>41.43212304203864</v>
          </cell>
          <cell r="E10">
            <v>30.287155976302785</v>
          </cell>
          <cell r="F10">
            <v>30.628589715144848</v>
          </cell>
          <cell r="G10">
            <v>35.80812073868649</v>
          </cell>
          <cell r="H10">
            <v>37.802768006542145</v>
          </cell>
          <cell r="I10">
            <v>34.545832813210581</v>
          </cell>
          <cell r="J10">
            <v>73.007463946440822</v>
          </cell>
          <cell r="K10">
            <v>51.799427558787741</v>
          </cell>
          <cell r="L10">
            <v>37.374545680705971</v>
          </cell>
          <cell r="M10">
            <v>37.565584873698235</v>
          </cell>
          <cell r="N10">
            <v>36.27117486315769</v>
          </cell>
          <cell r="O10">
            <v>30.523839864007151</v>
          </cell>
          <cell r="P10">
            <v>50.036327319758321</v>
          </cell>
          <cell r="Q10">
            <v>48.248824660922544</v>
          </cell>
          <cell r="R10">
            <v>42.029275036124417</v>
          </cell>
          <cell r="S10">
            <v>46.221980594383972</v>
          </cell>
          <cell r="T10">
            <v>46.669987420462135</v>
          </cell>
          <cell r="U10">
            <v>53.690768159436494</v>
          </cell>
          <cell r="V10">
            <v>51.588895265861069</v>
          </cell>
          <cell r="W10">
            <v>75.077321550225236</v>
          </cell>
        </row>
        <row r="11">
          <cell r="B11">
            <v>8.0154785904303658</v>
          </cell>
          <cell r="C11">
            <v>8.8632524525693519</v>
          </cell>
          <cell r="D11">
            <v>9.692331037457814</v>
          </cell>
          <cell r="E11">
            <v>9.6088750164835321</v>
          </cell>
          <cell r="F11">
            <v>9.3271537873730708</v>
          </cell>
          <cell r="G11">
            <v>6.2576858856908482</v>
          </cell>
          <cell r="H11">
            <v>3.1583090440325332</v>
          </cell>
          <cell r="I11">
            <v>3.553751432424245</v>
          </cell>
          <cell r="J11">
            <v>412.30371548016882</v>
          </cell>
          <cell r="K11">
            <v>343.45466408078465</v>
          </cell>
          <cell r="L11">
            <v>410.5199155368266</v>
          </cell>
          <cell r="M11">
            <v>413.41346485673722</v>
          </cell>
          <cell r="N11">
            <v>506.91094122109234</v>
          </cell>
          <cell r="O11">
            <v>441.86273207540222</v>
          </cell>
          <cell r="P11">
            <v>565.00375930087409</v>
          </cell>
          <cell r="Q11">
            <v>517.3414655162303</v>
          </cell>
          <cell r="R11">
            <v>464.34767376332707</v>
          </cell>
          <cell r="S11">
            <v>510.45428372055852</v>
          </cell>
          <cell r="T11">
            <v>406.78995412945966</v>
          </cell>
          <cell r="U11">
            <v>471.46869708442148</v>
          </cell>
          <cell r="V11">
            <v>249.30480623135767</v>
          </cell>
          <cell r="W11">
            <v>339.24578343368262</v>
          </cell>
        </row>
      </sheetData>
      <sheetData sheetId="11">
        <row r="7">
          <cell r="B7">
            <v>46.518694134263129</v>
          </cell>
          <cell r="C7">
            <v>47.542946982934829</v>
          </cell>
          <cell r="D7">
            <v>39.302074620897528</v>
          </cell>
          <cell r="E7">
            <v>38.345082498809049</v>
          </cell>
          <cell r="F7">
            <v>32.145995717365345</v>
          </cell>
          <cell r="G7">
            <v>34.202785503090944</v>
          </cell>
          <cell r="H7">
            <v>36.257862173756955</v>
          </cell>
          <cell r="I7">
            <v>42.484730805414863</v>
          </cell>
          <cell r="J7">
            <v>44.435310698950808</v>
          </cell>
          <cell r="K7">
            <v>44.456889458139642</v>
          </cell>
          <cell r="L7">
            <v>46.660095618340186</v>
          </cell>
          <cell r="M7">
            <v>44.626663321550886</v>
          </cell>
          <cell r="N7">
            <v>38.393818155638776</v>
          </cell>
          <cell r="O7">
            <v>37.353395088861141</v>
          </cell>
          <cell r="P7">
            <v>36.318256640179207</v>
          </cell>
          <cell r="Q7">
            <v>33.740119295318955</v>
          </cell>
          <cell r="R7">
            <v>35.058728458456578</v>
          </cell>
          <cell r="S7">
            <v>33.457683369515891</v>
          </cell>
          <cell r="T7">
            <v>31.661774931035541</v>
          </cell>
          <cell r="U7">
            <v>31.764557743491224</v>
          </cell>
          <cell r="V7">
            <v>17.041705069313146</v>
          </cell>
          <cell r="W7">
            <v>18.240787122025473</v>
          </cell>
        </row>
        <row r="8">
          <cell r="B8">
            <v>437.88959573977871</v>
          </cell>
          <cell r="C8">
            <v>444.7515106874983</v>
          </cell>
          <cell r="D8">
            <v>402.43666734145893</v>
          </cell>
          <cell r="E8">
            <v>424.01103517259531</v>
          </cell>
          <cell r="F8">
            <v>469.25399046303369</v>
          </cell>
          <cell r="G8">
            <v>490.36003615241128</v>
          </cell>
          <cell r="H8">
            <v>494.95945706970787</v>
          </cell>
          <cell r="I8">
            <v>512.92330564860617</v>
          </cell>
          <cell r="J8">
            <v>476.53297891364605</v>
          </cell>
          <cell r="K8">
            <v>408.8696623318595</v>
          </cell>
          <cell r="L8">
            <v>423.06013518215968</v>
          </cell>
          <cell r="M8">
            <v>438.47827678723405</v>
          </cell>
          <cell r="N8">
            <v>438.00948312880394</v>
          </cell>
          <cell r="O8">
            <v>439.04688135298278</v>
          </cell>
          <cell r="P8">
            <v>474.3282022564689</v>
          </cell>
          <cell r="Q8">
            <v>470.62805171809333</v>
          </cell>
          <cell r="R8">
            <v>528.47211404824156</v>
          </cell>
          <cell r="S8">
            <v>549.1639114984614</v>
          </cell>
          <cell r="T8">
            <v>577.22782990725375</v>
          </cell>
          <cell r="U8">
            <v>576.86913357685387</v>
          </cell>
          <cell r="V8">
            <v>150.71755051577895</v>
          </cell>
          <cell r="W8">
            <v>204.52316394970336</v>
          </cell>
        </row>
        <row r="9">
          <cell r="B9">
            <v>338.99486296922271</v>
          </cell>
          <cell r="C9">
            <v>344.31644233331292</v>
          </cell>
          <cell r="D9">
            <v>282.25673036201141</v>
          </cell>
          <cell r="E9">
            <v>288.07145477445107</v>
          </cell>
          <cell r="F9">
            <v>346.94348188312119</v>
          </cell>
          <cell r="G9">
            <v>366.38240975551702</v>
          </cell>
          <cell r="H9">
            <v>363.41177540027354</v>
          </cell>
          <cell r="I9">
            <v>366.47246276580881</v>
          </cell>
          <cell r="J9">
            <v>341.96557132281612</v>
          </cell>
          <cell r="K9">
            <v>317.51594979608387</v>
          </cell>
          <cell r="L9">
            <v>333.07062694233372</v>
          </cell>
          <cell r="M9">
            <v>341.82078043012325</v>
          </cell>
          <cell r="N9">
            <v>347.89195547538901</v>
          </cell>
          <cell r="O9">
            <v>346.34797591219279</v>
          </cell>
          <cell r="P9">
            <v>371.52789272576069</v>
          </cell>
          <cell r="Q9">
            <v>362.70334275888632</v>
          </cell>
          <cell r="R9">
            <v>380.55120372157756</v>
          </cell>
          <cell r="S9">
            <v>389.41226325032289</v>
          </cell>
          <cell r="T9">
            <v>417.67051092430506</v>
          </cell>
          <cell r="U9">
            <v>436.09179342169813</v>
          </cell>
          <cell r="V9">
            <v>152.42640747459606</v>
          </cell>
          <cell r="W9">
            <v>180.45170045111544</v>
          </cell>
        </row>
        <row r="11">
          <cell r="B11">
            <v>0.24966356135164591</v>
          </cell>
          <cell r="C11">
            <v>0.26436170150196214</v>
          </cell>
          <cell r="D11">
            <v>0.19345418391760336</v>
          </cell>
          <cell r="E11">
            <v>0.11140933266128164</v>
          </cell>
          <cell r="F11">
            <v>7.6704196650124179E-2</v>
          </cell>
          <cell r="G11">
            <v>9.7816388568565907E-2</v>
          </cell>
          <cell r="H11">
            <v>0.12072768006935068</v>
          </cell>
          <cell r="I11">
            <v>0.12773695038909577</v>
          </cell>
          <cell r="J11">
            <v>0.25514501901994752</v>
          </cell>
          <cell r="K11">
            <v>0.23356625983111692</v>
          </cell>
          <cell r="L11">
            <v>0.101211346406161</v>
          </cell>
          <cell r="M11">
            <v>5.6655681028634747E-2</v>
          </cell>
          <cell r="N11">
            <v>5.5622944963113263E-2</v>
          </cell>
          <cell r="O11">
            <v>5.7095022918738761E-2</v>
          </cell>
          <cell r="P11">
            <v>5.3196498255871957E-2</v>
          </cell>
          <cell r="Q11">
            <v>4.3715614397300998E-2</v>
          </cell>
          <cell r="R11">
            <v>1.0403097863274934E-2</v>
          </cell>
          <cell r="S11">
            <v>1.7123165307833105E-2</v>
          </cell>
          <cell r="T11">
            <v>2.163005606678119E-2</v>
          </cell>
          <cell r="U11">
            <v>1.8159367428811767E-2</v>
          </cell>
          <cell r="V11">
            <v>2.2611353730703474E-2</v>
          </cell>
          <cell r="W11">
            <v>3.8146669891982142E-2</v>
          </cell>
        </row>
        <row r="12">
          <cell r="B12">
            <v>6.8414114543649456</v>
          </cell>
          <cell r="C12">
            <v>7.0874821645859054</v>
          </cell>
          <cell r="D12">
            <v>6.4416363067228524</v>
          </cell>
          <cell r="E12">
            <v>4.8921433365473135</v>
          </cell>
          <cell r="F12">
            <v>5.6795200187307504</v>
          </cell>
          <cell r="G12">
            <v>7.0042210299989032</v>
          </cell>
          <cell r="H12">
            <v>8.8281281540045509</v>
          </cell>
          <cell r="I12">
            <v>8.4959428782666215</v>
          </cell>
          <cell r="J12">
            <v>17.63846816531035</v>
          </cell>
          <cell r="K12">
            <v>11.315934721266441</v>
          </cell>
          <cell r="L12">
            <v>7.6678594377559897</v>
          </cell>
          <cell r="M12">
            <v>7.4527124338619322</v>
          </cell>
          <cell r="N12">
            <v>6.6009079273362765</v>
          </cell>
          <cell r="O12">
            <v>5.4324125954521447</v>
          </cell>
          <cell r="P12">
            <v>9.04529982432447</v>
          </cell>
          <cell r="Q12">
            <v>8.8892946506736639</v>
          </cell>
          <cell r="R12">
            <v>7.2405867961278076</v>
          </cell>
          <cell r="S12">
            <v>8.9145579074591215</v>
          </cell>
          <cell r="T12">
            <v>9.0762230459739328</v>
          </cell>
          <cell r="U12">
            <v>10.500219155249365</v>
          </cell>
          <cell r="V12">
            <v>10.010536055282149</v>
          </cell>
          <cell r="W12">
            <v>14.589206152015743</v>
          </cell>
        </row>
        <row r="13">
          <cell r="B13">
            <v>0.7037944969947113</v>
          </cell>
          <cell r="C13">
            <v>0.74198527891917709</v>
          </cell>
          <cell r="D13">
            <v>0.83263580923914449</v>
          </cell>
          <cell r="E13">
            <v>0.96027643265755713</v>
          </cell>
          <cell r="F13">
            <v>1.0021133960771662</v>
          </cell>
          <cell r="G13">
            <v>0.69159617471261825</v>
          </cell>
          <cell r="H13">
            <v>0.34861873972859136</v>
          </cell>
          <cell r="I13">
            <v>0.43588973913268064</v>
          </cell>
          <cell r="J13">
            <v>51.15163164121978</v>
          </cell>
          <cell r="K13">
            <v>37.377300958184684</v>
          </cell>
          <cell r="L13">
            <v>43.488566743855287</v>
          </cell>
          <cell r="M13">
            <v>41.353991311807313</v>
          </cell>
          <cell r="N13">
            <v>44.915280295641786</v>
          </cell>
          <cell r="O13">
            <v>38.278491102398945</v>
          </cell>
          <cell r="P13">
            <v>42.777023078226549</v>
          </cell>
          <cell r="Q13">
            <v>37.487651371057147</v>
          </cell>
          <cell r="R13">
            <v>29.503851238008245</v>
          </cell>
          <cell r="S13">
            <v>28.460256165768339</v>
          </cell>
          <cell r="T13">
            <v>18.749253835279223</v>
          </cell>
          <cell r="U13">
            <v>22.04435685565646</v>
          </cell>
          <cell r="V13">
            <v>19.576632351591318</v>
          </cell>
          <cell r="W13">
            <v>27.800503823777589</v>
          </cell>
        </row>
      </sheetData>
      <sheetData sheetId="12">
        <row r="7">
          <cell r="B7">
            <v>139.87010369897237</v>
          </cell>
          <cell r="C7">
            <v>142.95345333416441</v>
          </cell>
          <cell r="D7">
            <v>118.14577432375066</v>
          </cell>
          <cell r="E7">
            <v>115.26459907478927</v>
          </cell>
          <cell r="F7">
            <v>96.60334512611486</v>
          </cell>
          <cell r="G7">
            <v>102.79499678263707</v>
          </cell>
          <cell r="H7">
            <v>108.98149070195034</v>
          </cell>
          <cell r="I7">
            <v>127.72623720387037</v>
          </cell>
          <cell r="J7">
            <v>133.59853710169531</v>
          </cell>
          <cell r="K7">
            <v>133.66341547465481</v>
          </cell>
          <cell r="L7">
            <v>140.37827296116072</v>
          </cell>
          <cell r="M7">
            <v>134.25693840286388</v>
          </cell>
          <cell r="N7">
            <v>115.49416213068984</v>
          </cell>
          <cell r="O7">
            <v>112.36217361914836</v>
          </cell>
          <cell r="P7">
            <v>109.246081531909</v>
          </cell>
          <cell r="Q7">
            <v>101.48017216667321</v>
          </cell>
          <cell r="R7">
            <v>105.44834310810397</v>
          </cell>
          <cell r="S7">
            <v>100.65881833197425</v>
          </cell>
          <cell r="T7">
            <v>95.218146977011926</v>
          </cell>
          <cell r="U7">
            <v>95.544012742005549</v>
          </cell>
          <cell r="V7">
            <v>51.215409454179579</v>
          </cell>
          <cell r="W7">
            <v>54.860247032209166</v>
          </cell>
        </row>
        <row r="8">
          <cell r="B8">
            <v>1318.1830786397368</v>
          </cell>
          <cell r="C8">
            <v>1338.8395643364747</v>
          </cell>
          <cell r="D8">
            <v>1211.4104014479728</v>
          </cell>
          <cell r="E8">
            <v>1276.4043200815872</v>
          </cell>
          <cell r="F8">
            <v>1412.5521463962191</v>
          </cell>
          <cell r="G8">
            <v>1476.0881195881611</v>
          </cell>
          <cell r="H8">
            <v>1489.9810072439468</v>
          </cell>
          <cell r="I8">
            <v>1544.0577458884109</v>
          </cell>
          <cell r="J8">
            <v>1434.5116105271547</v>
          </cell>
          <cell r="K8">
            <v>1230.8241061184904</v>
          </cell>
          <cell r="L8">
            <v>1273.5418170920991</v>
          </cell>
          <cell r="M8">
            <v>1319.9551906127574</v>
          </cell>
          <cell r="N8">
            <v>1318.5439767498835</v>
          </cell>
          <cell r="O8">
            <v>1321.6668661681927</v>
          </cell>
          <cell r="P8">
            <v>1427.8745510721094</v>
          </cell>
          <cell r="Q8">
            <v>1416.7285551935774</v>
          </cell>
          <cell r="R8">
            <v>1590.8637674320532</v>
          </cell>
          <cell r="S8">
            <v>1653.153175091805</v>
          </cell>
          <cell r="T8">
            <v>1737.6342468658413</v>
          </cell>
          <cell r="U8">
            <v>1736.5544600024325</v>
          </cell>
          <cell r="V8">
            <v>453.70642891911416</v>
          </cell>
          <cell r="W8">
            <v>615.67796205090053</v>
          </cell>
        </row>
        <row r="9">
          <cell r="B9">
            <v>1020.4793547489905</v>
          </cell>
          <cell r="C9">
            <v>1036.4989540672414</v>
          </cell>
          <cell r="D9">
            <v>849.64608542769099</v>
          </cell>
          <cell r="E9">
            <v>867.18415056491403</v>
          </cell>
          <cell r="F9">
            <v>1044.3720670944133</v>
          </cell>
          <cell r="G9">
            <v>1102.8890659803023</v>
          </cell>
          <cell r="H9">
            <v>1093.9818108757772</v>
          </cell>
          <cell r="I9">
            <v>1103.1954262105719</v>
          </cell>
          <cell r="J9">
            <v>1029.4221054363293</v>
          </cell>
          <cell r="K9">
            <v>955.82118481788962</v>
          </cell>
          <cell r="L9">
            <v>1002.6455725342753</v>
          </cell>
          <cell r="M9">
            <v>1028.98624007998</v>
          </cell>
          <cell r="N9">
            <v>1047.2623541735541</v>
          </cell>
          <cell r="O9">
            <v>1042.6144982898522</v>
          </cell>
          <cell r="P9">
            <v>1118.4138335289706</v>
          </cell>
          <cell r="Q9">
            <v>1091.8435075741638</v>
          </cell>
          <cell r="R9">
            <v>1145.5762859760798</v>
          </cell>
          <cell r="S9">
            <v>1172.2513186552694</v>
          </cell>
          <cell r="T9">
            <v>1257.317381604136</v>
          </cell>
          <cell r="U9">
            <v>1312.7711377818378</v>
          </cell>
          <cell r="V9">
            <v>458.85061674372537</v>
          </cell>
          <cell r="W9">
            <v>543.21541402363721</v>
          </cell>
        </row>
        <row r="11">
          <cell r="B11">
            <v>0.75067602102761866</v>
          </cell>
          <cell r="C11">
            <v>0.79489010583559294</v>
          </cell>
          <cell r="D11">
            <v>0.58154167624936859</v>
          </cell>
          <cell r="E11">
            <v>0.33489436521074889</v>
          </cell>
          <cell r="F11">
            <v>0.23050715388512583</v>
          </cell>
          <cell r="G11">
            <v>0.29398293736298831</v>
          </cell>
          <cell r="H11">
            <v>0.36287529804967178</v>
          </cell>
          <cell r="I11">
            <v>0.38402879612967217</v>
          </cell>
          <cell r="J11">
            <v>0.76711517830467335</v>
          </cell>
          <cell r="K11">
            <v>0.70223680534517929</v>
          </cell>
          <cell r="L11">
            <v>0.30449731883931513</v>
          </cell>
          <cell r="M11">
            <v>0.17044559713610641</v>
          </cell>
          <cell r="N11">
            <v>0.16732186931017046</v>
          </cell>
          <cell r="O11">
            <v>0.17174666085165688</v>
          </cell>
          <cell r="P11">
            <v>0.16001618809102525</v>
          </cell>
          <cell r="Q11">
            <v>0.13148347332682619</v>
          </cell>
          <cell r="R11">
            <v>3.1290051896026246E-2</v>
          </cell>
          <cell r="S11">
            <v>5.1515748025756862E-2</v>
          </cell>
          <cell r="T11">
            <v>6.5049222988094138E-2</v>
          </cell>
          <cell r="U11">
            <v>5.4621217994469611E-2</v>
          </cell>
          <cell r="V11">
            <v>6.7953865820419568E-2</v>
          </cell>
          <cell r="W11">
            <v>0.11472836779084654</v>
          </cell>
        </row>
        <row r="12">
          <cell r="B12">
            <v>20.594763842060178</v>
          </cell>
          <cell r="C12">
            <v>21.335512764888865</v>
          </cell>
          <cell r="D12">
            <v>19.390542307835716</v>
          </cell>
          <cell r="E12">
            <v>14.726864093727073</v>
          </cell>
          <cell r="F12">
            <v>17.096536962940146</v>
          </cell>
          <cell r="G12">
            <v>21.084196686325114</v>
          </cell>
          <cell r="H12">
            <v>26.57539540077892</v>
          </cell>
          <cell r="I12">
            <v>25.575415009120498</v>
          </cell>
          <cell r="J12">
            <v>53.09724299194086</v>
          </cell>
          <cell r="K12">
            <v>34.064462398027807</v>
          </cell>
          <cell r="L12">
            <v>23.082627809783695</v>
          </cell>
          <cell r="M12">
            <v>22.434968804608967</v>
          </cell>
          <cell r="N12">
            <v>19.870773862013326</v>
          </cell>
          <cell r="O12">
            <v>16.353241614285469</v>
          </cell>
          <cell r="P12">
            <v>27.229149277922335</v>
          </cell>
          <cell r="Q12">
            <v>26.75938572119485</v>
          </cell>
          <cell r="R12">
            <v>21.796395462893191</v>
          </cell>
          <cell r="S12">
            <v>26.835575682756946</v>
          </cell>
          <cell r="T12">
            <v>27.322237736547354</v>
          </cell>
          <cell r="U12">
            <v>31.608906325063408</v>
          </cell>
          <cell r="V12">
            <v>30.134808784147562</v>
          </cell>
          <cell r="W12">
            <v>43.918021500109603</v>
          </cell>
        </row>
        <row r="13">
          <cell r="B13">
            <v>2.1186390492125522</v>
          </cell>
          <cell r="C13">
            <v>2.2336051113949651</v>
          </cell>
          <cell r="D13">
            <v>2.5063910965014533</v>
          </cell>
          <cell r="E13">
            <v>2.8907289797722249</v>
          </cell>
          <cell r="F13">
            <v>3.0165698264269039</v>
          </cell>
          <cell r="G13">
            <v>2.0818517452115861</v>
          </cell>
          <cell r="H13">
            <v>1.0494501994973842</v>
          </cell>
          <cell r="I13">
            <v>1.3121628918967088</v>
          </cell>
          <cell r="J13">
            <v>153.98222732457498</v>
          </cell>
          <cell r="K13">
            <v>112.51723294559218</v>
          </cell>
          <cell r="L13">
            <v>130.91403256384166</v>
          </cell>
          <cell r="M13">
            <v>124.48830050265362</v>
          </cell>
          <cell r="N13">
            <v>135.20888149454922</v>
          </cell>
          <cell r="O13">
            <v>115.23009392766969</v>
          </cell>
          <cell r="P13">
            <v>128.77206612099772</v>
          </cell>
          <cell r="Q13">
            <v>112.84883247106394</v>
          </cell>
          <cell r="R13">
            <v>88.815675768973577</v>
          </cell>
          <cell r="S13">
            <v>85.674170970169186</v>
          </cell>
          <cell r="T13">
            <v>56.441051313476336</v>
          </cell>
          <cell r="U13">
            <v>66.360330250665726</v>
          </cell>
          <cell r="V13">
            <v>58.93171647301299</v>
          </cell>
          <cell r="W13">
            <v>83.688112425352884</v>
          </cell>
        </row>
      </sheetData>
      <sheetData sheetId="13"/>
      <sheetData sheetId="14">
        <row r="4">
          <cell r="A4" t="str">
            <v>Domestic coastal shipping</v>
          </cell>
          <cell r="B4">
            <v>1533.1780000000001</v>
          </cell>
          <cell r="C4">
            <v>1880.845</v>
          </cell>
          <cell r="D4">
            <v>1666.383</v>
          </cell>
          <cell r="E4">
            <v>1908.069</v>
          </cell>
          <cell r="F4">
            <v>1803.4780000000001</v>
          </cell>
          <cell r="G4">
            <v>2029.19</v>
          </cell>
          <cell r="H4">
            <v>2309.768</v>
          </cell>
          <cell r="I4">
            <v>2467.0030000000002</v>
          </cell>
          <cell r="J4">
            <v>2350.4659999999999</v>
          </cell>
          <cell r="K4">
            <v>1833.8969999999999</v>
          </cell>
          <cell r="L4">
            <v>2060.0259999999998</v>
          </cell>
          <cell r="M4">
            <v>2104.4740000000002</v>
          </cell>
          <cell r="N4">
            <v>2158.645</v>
          </cell>
          <cell r="O4">
            <v>1711.8040000000001</v>
          </cell>
          <cell r="P4">
            <v>1730.8330000000001</v>
          </cell>
          <cell r="Q4">
            <v>1838.3420000000001</v>
          </cell>
          <cell r="R4">
            <v>1892.2349999999999</v>
          </cell>
          <cell r="S4">
            <v>1736.6669999999999</v>
          </cell>
          <cell r="T4">
            <v>1611.518</v>
          </cell>
          <cell r="U4">
            <v>1637.075</v>
          </cell>
          <cell r="V4">
            <v>1469.423</v>
          </cell>
          <cell r="W4">
            <v>1515.1210000000001</v>
          </cell>
        </row>
        <row r="5">
          <cell r="A5" t="str">
            <v>Inland waterways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</row>
      </sheetData>
      <sheetData sheetId="15">
        <row r="4">
          <cell r="B4">
            <v>163.40765262252793</v>
          </cell>
          <cell r="C4">
            <v>169.526913155632</v>
          </cell>
          <cell r="D4">
            <v>189.23877901977642</v>
          </cell>
          <cell r="E4">
            <v>187.49286328460869</v>
          </cell>
          <cell r="F4">
            <v>165.25150472914871</v>
          </cell>
          <cell r="G4">
            <v>192.11092003439381</v>
          </cell>
          <cell r="H4">
            <v>173.85116079105759</v>
          </cell>
          <cell r="I4">
            <v>151.65881341358551</v>
          </cell>
          <cell r="J4">
            <v>194.22226999140156</v>
          </cell>
          <cell r="K4">
            <v>180.10894239036972</v>
          </cell>
          <cell r="L4">
            <v>155.90670679277724</v>
          </cell>
          <cell r="M4">
            <v>151.99200343938091</v>
          </cell>
          <cell r="N4">
            <v>148.07730008598455</v>
          </cell>
          <cell r="O4">
            <v>149.89724849527084</v>
          </cell>
          <cell r="P4">
            <v>119.63078245915736</v>
          </cell>
          <cell r="Q4">
            <v>134.69656061908853</v>
          </cell>
          <cell r="R4">
            <v>117.00163370593292</v>
          </cell>
          <cell r="S4">
            <v>112.5928632846088</v>
          </cell>
          <cell r="T4">
            <v>116.81779879621666</v>
          </cell>
          <cell r="U4">
            <v>121.48993981083403</v>
          </cell>
          <cell r="V4">
            <v>117.32166809974208</v>
          </cell>
          <cell r="W4">
            <v>137.59733447979366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</row>
      </sheetData>
      <sheetData sheetId="16">
        <row r="4">
          <cell r="B4">
            <v>511.92234252000003</v>
          </cell>
          <cell r="C4">
            <v>530.90685144000008</v>
          </cell>
          <cell r="D4">
            <v>593.93934072000002</v>
          </cell>
          <cell r="E4">
            <v>587.71790891999979</v>
          </cell>
          <cell r="F4">
            <v>518.17931603999989</v>
          </cell>
          <cell r="G4">
            <v>600.56946396000001</v>
          </cell>
          <cell r="H4">
            <v>543.65174567999998</v>
          </cell>
          <cell r="I4">
            <v>474.13106891999985</v>
          </cell>
          <cell r="J4">
            <v>606.42509652000012</v>
          </cell>
          <cell r="K4">
            <v>562.23969155999998</v>
          </cell>
          <cell r="L4">
            <v>486.48762215999983</v>
          </cell>
          <cell r="M4">
            <v>473.94260892</v>
          </cell>
          <cell r="N4">
            <v>461.39759568000011</v>
          </cell>
          <cell r="O4">
            <v>467.57711916000011</v>
          </cell>
          <cell r="P4">
            <v>372.87794988000007</v>
          </cell>
          <cell r="Q4">
            <v>418.01365979999991</v>
          </cell>
          <cell r="R4">
            <v>362.99580191999996</v>
          </cell>
          <cell r="S4">
            <v>349.31021580000009</v>
          </cell>
          <cell r="T4">
            <v>362.43276335999991</v>
          </cell>
          <cell r="U4">
            <v>377.58661380000001</v>
          </cell>
          <cell r="V4">
            <v>365.40127404000015</v>
          </cell>
          <cell r="W4">
            <v>429.65277552000009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</row>
      </sheetData>
      <sheetData sheetId="17">
        <row r="4">
          <cell r="B4">
            <v>21870.693569999999</v>
          </cell>
          <cell r="C4">
            <v>21927.959705000001</v>
          </cell>
          <cell r="D4">
            <v>22405.536512999999</v>
          </cell>
          <cell r="E4">
            <v>23368.593140000001</v>
          </cell>
          <cell r="F4">
            <v>24548.212125999999</v>
          </cell>
          <cell r="G4">
            <v>24152.365811</v>
          </cell>
          <cell r="H4">
            <v>22890.939374999998</v>
          </cell>
          <cell r="I4">
            <v>22088.239190999997</v>
          </cell>
          <cell r="J4">
            <v>22084.949102999999</v>
          </cell>
          <cell r="K4">
            <v>19341.717707</v>
          </cell>
          <cell r="L4">
            <v>19327.646912</v>
          </cell>
          <cell r="M4">
            <v>18595.806786000001</v>
          </cell>
          <cell r="N4">
            <v>18788.972609</v>
          </cell>
          <cell r="O4">
            <v>22947.239063999998</v>
          </cell>
          <cell r="P4">
            <v>20381.48486</v>
          </cell>
          <cell r="Q4">
            <v>21944.357226</v>
          </cell>
          <cell r="R4">
            <v>22296.179255000003</v>
          </cell>
          <cell r="S4">
            <v>21842.378266</v>
          </cell>
          <cell r="T4">
            <v>20966.236641</v>
          </cell>
          <cell r="U4">
            <v>22800.910378</v>
          </cell>
          <cell r="V4">
            <v>22236.496229</v>
          </cell>
          <cell r="W4">
            <v>22073.122051999999</v>
          </cell>
        </row>
        <row r="5">
          <cell r="B5">
            <v>59410.656904000003</v>
          </cell>
          <cell r="C5">
            <v>61372.406139999999</v>
          </cell>
          <cell r="D5">
            <v>57985.462852000004</v>
          </cell>
          <cell r="E5">
            <v>73567.954469999997</v>
          </cell>
          <cell r="F5">
            <v>59849.677259999997</v>
          </cell>
          <cell r="G5">
            <v>56392.246023</v>
          </cell>
          <cell r="H5">
            <v>73273.525811999993</v>
          </cell>
          <cell r="I5">
            <v>65382.898561000002</v>
          </cell>
          <cell r="J5">
            <v>64519.227415000001</v>
          </cell>
          <cell r="K5">
            <v>55781.306655</v>
          </cell>
          <cell r="L5">
            <v>47317.016508000001</v>
          </cell>
          <cell r="M5">
            <v>60108.395415999999</v>
          </cell>
          <cell r="N5">
            <v>43488.089476999994</v>
          </cell>
          <cell r="O5">
            <v>44393.392045000001</v>
          </cell>
          <cell r="P5">
            <v>48019.638733</v>
          </cell>
          <cell r="Q5">
            <v>67723.681836999996</v>
          </cell>
          <cell r="R5">
            <v>67659.897807000001</v>
          </cell>
          <cell r="S5">
            <v>64538.470138999997</v>
          </cell>
          <cell r="T5">
            <v>67376.786597999991</v>
          </cell>
          <cell r="U5">
            <v>76667.917335999999</v>
          </cell>
          <cell r="V5">
            <v>77644.241037</v>
          </cell>
          <cell r="W5">
            <v>81512.482640999995</v>
          </cell>
        </row>
      </sheetData>
      <sheetData sheetId="18">
        <row r="4">
          <cell r="B4">
            <v>555.44662747090285</v>
          </cell>
          <cell r="C4">
            <v>461.8613886534896</v>
          </cell>
          <cell r="D4">
            <v>388.95499884919633</v>
          </cell>
          <cell r="E4">
            <v>389.45358411968101</v>
          </cell>
          <cell r="F4">
            <v>339.57197949155193</v>
          </cell>
          <cell r="G4">
            <v>350.31005626880835</v>
          </cell>
          <cell r="H4">
            <v>415.60442731919244</v>
          </cell>
          <cell r="I4">
            <v>447.2547095845992</v>
          </cell>
          <cell r="J4">
            <v>389.56577137980833</v>
          </cell>
          <cell r="K4">
            <v>220.47502854757224</v>
          </cell>
          <cell r="L4">
            <v>312.30524643988582</v>
          </cell>
          <cell r="M4">
            <v>287.23382984679279</v>
          </cell>
          <cell r="N4">
            <v>236.83039084110521</v>
          </cell>
          <cell r="O4">
            <v>303.71836258693696</v>
          </cell>
          <cell r="P4">
            <v>338.03227821441754</v>
          </cell>
          <cell r="Q4">
            <v>331.73590741977296</v>
          </cell>
          <cell r="R4">
            <v>288.23677776345932</v>
          </cell>
          <cell r="S4">
            <v>231.7767869965281</v>
          </cell>
          <cell r="T4">
            <v>252.52008576454233</v>
          </cell>
          <cell r="U4">
            <v>310.24048452268119</v>
          </cell>
          <cell r="V4">
            <v>209.1841930866521</v>
          </cell>
          <cell r="W4">
            <v>174.90838170365132</v>
          </cell>
        </row>
        <row r="10">
          <cell r="B10">
            <v>739.53522979478907</v>
          </cell>
          <cell r="C10">
            <v>615.42433791572796</v>
          </cell>
          <cell r="D10">
            <v>499.56133821013287</v>
          </cell>
          <cell r="E10">
            <v>543.53936514945042</v>
          </cell>
          <cell r="F10">
            <v>418.71357510861992</v>
          </cell>
          <cell r="G10">
            <v>421.34729540788993</v>
          </cell>
          <cell r="H10">
            <v>599.87037921563137</v>
          </cell>
          <cell r="I10">
            <v>614.7771906733542</v>
          </cell>
          <cell r="J10">
            <v>525.24024753678646</v>
          </cell>
          <cell r="K10">
            <v>293.8032173681629</v>
          </cell>
          <cell r="L10">
            <v>378.96500291523023</v>
          </cell>
          <cell r="M10">
            <v>412.31234384194317</v>
          </cell>
          <cell r="N10">
            <v>281.30761431796606</v>
          </cell>
          <cell r="O10">
            <v>327.39608281289105</v>
          </cell>
          <cell r="P10">
            <v>402.16789375462798</v>
          </cell>
          <cell r="Q10">
            <v>437.21559730937571</v>
          </cell>
          <cell r="R10">
            <v>382.92495912390081</v>
          </cell>
          <cell r="S10">
            <v>302.96611928034201</v>
          </cell>
          <cell r="T10">
            <v>341.63382653124421</v>
          </cell>
          <cell r="U10">
            <v>429.95126096313118</v>
          </cell>
          <cell r="V10">
            <v>347.34289203802547</v>
          </cell>
          <cell r="W10">
            <v>300.76212560503302</v>
          </cell>
        </row>
      </sheetData>
      <sheetData sheetId="19">
        <row r="4">
          <cell r="B4">
            <v>1744.3630709975846</v>
          </cell>
          <cell r="C4">
            <v>1445.8565305220143</v>
          </cell>
          <cell r="D4">
            <v>1209.6438668512246</v>
          </cell>
          <cell r="E4">
            <v>1212.7953672769199</v>
          </cell>
          <cell r="F4">
            <v>1061.3541740042217</v>
          </cell>
          <cell r="G4">
            <v>1103.360765971529</v>
          </cell>
          <cell r="H4">
            <v>1318.1216390453769</v>
          </cell>
          <cell r="I4">
            <v>1424.9329672358438</v>
          </cell>
          <cell r="J4">
            <v>1232.2732062485213</v>
          </cell>
          <cell r="K4">
            <v>686.63849329090976</v>
          </cell>
          <cell r="L4">
            <v>980.60650463093896</v>
          </cell>
          <cell r="M4">
            <v>903.27529081436705</v>
          </cell>
          <cell r="N4">
            <v>738.85801885415435</v>
          </cell>
          <cell r="O4">
            <v>952.84317605821002</v>
          </cell>
          <cell r="P4">
            <v>1060.2967444995263</v>
          </cell>
          <cell r="Q4">
            <v>1029.6730658722463</v>
          </cell>
          <cell r="R4">
            <v>894.23119818477824</v>
          </cell>
          <cell r="S4">
            <v>719.06866138162434</v>
          </cell>
          <cell r="T4">
            <v>783.42306145352859</v>
          </cell>
          <cell r="U4">
            <v>965.23066441031403</v>
          </cell>
          <cell r="V4">
            <v>648.97697329485959</v>
          </cell>
          <cell r="W4">
            <v>542.63905167498388</v>
          </cell>
        </row>
        <row r="5">
          <cell r="B5">
            <v>2382.5412273624156</v>
          </cell>
          <cell r="C5">
            <v>1981.7853853179863</v>
          </cell>
          <cell r="D5">
            <v>1604.7560003887752</v>
          </cell>
          <cell r="E5">
            <v>1749.1473892030801</v>
          </cell>
          <cell r="F5">
            <v>1348.243915715778</v>
          </cell>
          <cell r="G5">
            <v>1358.5879833884712</v>
          </cell>
          <cell r="H5">
            <v>1936.3024467546234</v>
          </cell>
          <cell r="I5">
            <v>1986.1714406841563</v>
          </cell>
          <cell r="J5">
            <v>1694.8288992714793</v>
          </cell>
          <cell r="K5">
            <v>945.19732858909026</v>
          </cell>
          <cell r="L5">
            <v>1221.2638774890613</v>
          </cell>
          <cell r="M5">
            <v>1328.9366653056327</v>
          </cell>
          <cell r="N5">
            <v>905.48567398584578</v>
          </cell>
          <cell r="O5">
            <v>1054.9327823417902</v>
          </cell>
          <cell r="P5">
            <v>1295.9078267804737</v>
          </cell>
          <cell r="Q5">
            <v>1400.4534928477538</v>
          </cell>
          <cell r="R5">
            <v>1222.3684952952219</v>
          </cell>
          <cell r="S5">
            <v>958.49390005837586</v>
          </cell>
          <cell r="T5">
            <v>1089.3981842264709</v>
          </cell>
          <cell r="U5">
            <v>1381.6023447496859</v>
          </cell>
          <cell r="V5">
            <v>1106.5001415451409</v>
          </cell>
          <cell r="W5">
            <v>947.88509648501565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84DE0-BC3A-451C-8336-54B32D4F02DF}">
  <dimension ref="A1:X55"/>
  <sheetViews>
    <sheetView tabSelected="1" workbookViewId="0">
      <selection activeCell="Q42" sqref="Q42"/>
    </sheetView>
  </sheetViews>
  <sheetFormatPr defaultRowHeight="14.5" x14ac:dyDescent="0.35"/>
  <cols>
    <col min="1" max="1" width="39.90625" bestFit="1" customWidth="1"/>
  </cols>
  <sheetData>
    <row r="1" spans="1:24" x14ac:dyDescent="0.35">
      <c r="A1" t="s">
        <v>260</v>
      </c>
      <c r="B1" t="s">
        <v>259</v>
      </c>
      <c r="C1">
        <v>2000</v>
      </c>
      <c r="D1">
        <v>2001</v>
      </c>
      <c r="E1">
        <v>2002</v>
      </c>
      <c r="F1">
        <v>2003</v>
      </c>
      <c r="G1">
        <v>2004</v>
      </c>
      <c r="H1">
        <v>2005</v>
      </c>
      <c r="I1">
        <v>2006</v>
      </c>
      <c r="J1">
        <v>2007</v>
      </c>
      <c r="K1">
        <v>2008</v>
      </c>
      <c r="L1">
        <v>2009</v>
      </c>
      <c r="M1">
        <v>2010</v>
      </c>
      <c r="N1">
        <v>2011</v>
      </c>
      <c r="O1">
        <v>2012</v>
      </c>
      <c r="P1">
        <v>2013</v>
      </c>
      <c r="Q1">
        <v>2014</v>
      </c>
      <c r="R1">
        <v>2015</v>
      </c>
      <c r="S1">
        <v>2016</v>
      </c>
      <c r="T1">
        <v>2017</v>
      </c>
      <c r="U1">
        <v>2018</v>
      </c>
      <c r="V1">
        <v>2019</v>
      </c>
      <c r="W1">
        <v>2020</v>
      </c>
      <c r="X1">
        <v>2021</v>
      </c>
    </row>
    <row r="2" spans="1:24" x14ac:dyDescent="0.35">
      <c r="A2" t="s">
        <v>297</v>
      </c>
      <c r="B2" t="s">
        <v>255</v>
      </c>
      <c r="C2">
        <f>JR_IDEES_Industry!B4</f>
        <v>698.88536327394036</v>
      </c>
      <c r="D2">
        <f>JR_IDEES_Industry!C4</f>
        <v>633.64162002672708</v>
      </c>
      <c r="E2">
        <f>JR_IDEES_Industry!D4</f>
        <v>534.35508424284649</v>
      </c>
      <c r="F2">
        <f>JR_IDEES_Industry!E4</f>
        <v>452.6409344845099</v>
      </c>
      <c r="G2">
        <f>JR_IDEES_Industry!F4</f>
        <v>464.8825696951651</v>
      </c>
      <c r="H2">
        <f>JR_IDEES_Industry!G4</f>
        <v>425.55508500211749</v>
      </c>
      <c r="I2">
        <f>JR_IDEES_Industry!H4</f>
        <v>486.99757984150341</v>
      </c>
      <c r="J2">
        <f>JR_IDEES_Industry!I4</f>
        <v>555.29281487548019</v>
      </c>
      <c r="K2">
        <f>JR_IDEES_Industry!J4</f>
        <v>497.03476708040301</v>
      </c>
      <c r="L2">
        <f>JR_IDEES_Industry!K4</f>
        <v>272.16097566315972</v>
      </c>
      <c r="M2">
        <f>JR_IDEES_Industry!L4</f>
        <v>249.7377594592017</v>
      </c>
      <c r="N2">
        <f>JR_IDEES_Industry!M4</f>
        <v>308.41328646971277</v>
      </c>
      <c r="O2">
        <f>JR_IDEES_Industry!N4</f>
        <v>301.32388972389788</v>
      </c>
      <c r="P2">
        <f>JR_IDEES_Industry!O4</f>
        <v>308.06895848209729</v>
      </c>
      <c r="Q2">
        <f>JR_IDEES_Industry!P4</f>
        <v>329.13658212827579</v>
      </c>
      <c r="R2">
        <f>JR_IDEES_Industry!Q4</f>
        <v>403.39999999999992</v>
      </c>
      <c r="S2">
        <f>JR_IDEES_Industry!R4</f>
        <v>398.68663250584552</v>
      </c>
      <c r="T2">
        <f>JR_IDEES_Industry!S4</f>
        <v>401.98735320686552</v>
      </c>
      <c r="U2">
        <f>JR_IDEES_Industry!T4</f>
        <v>379.38104071072928</v>
      </c>
      <c r="V2">
        <f>JR_IDEES_Industry!U4</f>
        <v>439.7565375080784</v>
      </c>
      <c r="W2">
        <f>JR_IDEES_Industry!V4</f>
        <v>343.6878518808997</v>
      </c>
      <c r="X2">
        <f>JR_IDEES_Industry!W4</f>
        <v>346.93739741942562</v>
      </c>
    </row>
    <row r="3" spans="1:24" x14ac:dyDescent="0.35">
      <c r="A3" t="s">
        <v>4</v>
      </c>
      <c r="B3" t="s">
        <v>255</v>
      </c>
      <c r="C3">
        <f>JR_IDEES_Industry!B6</f>
        <v>0</v>
      </c>
      <c r="D3">
        <f>JR_IDEES_Industry!C6</f>
        <v>0</v>
      </c>
      <c r="E3">
        <f>JR_IDEES_Industry!D6</f>
        <v>0</v>
      </c>
      <c r="F3">
        <f>JR_IDEES_Industry!E6</f>
        <v>0</v>
      </c>
      <c r="G3">
        <f>JR_IDEES_Industry!F6</f>
        <v>0</v>
      </c>
      <c r="H3">
        <f>JR_IDEES_Industry!G6</f>
        <v>0</v>
      </c>
      <c r="I3">
        <f>JR_IDEES_Industry!H6</f>
        <v>0</v>
      </c>
      <c r="J3">
        <f>JR_IDEES_Industry!I6</f>
        <v>0</v>
      </c>
      <c r="K3">
        <f>JR_IDEES_Industry!J6</f>
        <v>0</v>
      </c>
      <c r="L3">
        <f>JR_IDEES_Industry!K6</f>
        <v>0</v>
      </c>
      <c r="M3">
        <f>JR_IDEES_Industry!L6</f>
        <v>0</v>
      </c>
      <c r="N3">
        <f>JR_IDEES_Industry!M6</f>
        <v>0</v>
      </c>
      <c r="O3">
        <f>JR_IDEES_Industry!N6</f>
        <v>0</v>
      </c>
      <c r="P3">
        <f>JR_IDEES_Industry!O6</f>
        <v>0</v>
      </c>
      <c r="Q3">
        <f>JR_IDEES_Industry!P6</f>
        <v>0</v>
      </c>
      <c r="R3">
        <f>JR_IDEES_Industry!Q6</f>
        <v>0</v>
      </c>
      <c r="S3">
        <f>JR_IDEES_Industry!R6</f>
        <v>0</v>
      </c>
      <c r="T3">
        <f>JR_IDEES_Industry!S6</f>
        <v>0</v>
      </c>
      <c r="U3">
        <f>JR_IDEES_Industry!T6</f>
        <v>0</v>
      </c>
      <c r="V3">
        <f>JR_IDEES_Industry!U6</f>
        <v>0</v>
      </c>
      <c r="W3">
        <f>JR_IDEES_Industry!V6</f>
        <v>0</v>
      </c>
      <c r="X3">
        <f>JR_IDEES_Industry!W6</f>
        <v>0</v>
      </c>
    </row>
    <row r="4" spans="1:24" x14ac:dyDescent="0.35">
      <c r="A4" t="s">
        <v>5</v>
      </c>
      <c r="B4" t="s">
        <v>255</v>
      </c>
      <c r="C4">
        <f>JR_IDEES_Industry!B7</f>
        <v>0</v>
      </c>
      <c r="D4">
        <f>JR_IDEES_Industry!C7</f>
        <v>0</v>
      </c>
      <c r="E4">
        <f>JR_IDEES_Industry!D7</f>
        <v>0</v>
      </c>
      <c r="F4">
        <f>JR_IDEES_Industry!E7</f>
        <v>0</v>
      </c>
      <c r="G4">
        <f>JR_IDEES_Industry!F7</f>
        <v>0</v>
      </c>
      <c r="H4">
        <f>JR_IDEES_Industry!G7</f>
        <v>0</v>
      </c>
      <c r="I4">
        <f>JR_IDEES_Industry!H7</f>
        <v>0</v>
      </c>
      <c r="J4">
        <f>JR_IDEES_Industry!I7</f>
        <v>0</v>
      </c>
      <c r="K4">
        <f>JR_IDEES_Industry!J7</f>
        <v>0</v>
      </c>
      <c r="L4">
        <f>JR_IDEES_Industry!K7</f>
        <v>0</v>
      </c>
      <c r="M4">
        <f>JR_IDEES_Industry!L7</f>
        <v>0</v>
      </c>
      <c r="N4">
        <f>JR_IDEES_Industry!M7</f>
        <v>0</v>
      </c>
      <c r="O4">
        <f>JR_IDEES_Industry!N7</f>
        <v>0</v>
      </c>
      <c r="P4">
        <f>JR_IDEES_Industry!O7</f>
        <v>0</v>
      </c>
      <c r="Q4">
        <f>JR_IDEES_Industry!P7</f>
        <v>0</v>
      </c>
      <c r="R4">
        <f>JR_IDEES_Industry!Q7</f>
        <v>0</v>
      </c>
      <c r="S4">
        <f>JR_IDEES_Industry!R7</f>
        <v>0</v>
      </c>
      <c r="T4">
        <f>JR_IDEES_Industry!S7</f>
        <v>0</v>
      </c>
      <c r="U4">
        <f>JR_IDEES_Industry!T7</f>
        <v>0</v>
      </c>
      <c r="V4">
        <f>JR_IDEES_Industry!U7</f>
        <v>0</v>
      </c>
      <c r="W4">
        <f>JR_IDEES_Industry!V7</f>
        <v>0</v>
      </c>
      <c r="X4">
        <f>JR_IDEES_Industry!W7</f>
        <v>0</v>
      </c>
    </row>
    <row r="5" spans="1:24" x14ac:dyDescent="0.35">
      <c r="A5" t="s">
        <v>6</v>
      </c>
      <c r="B5" t="s">
        <v>255</v>
      </c>
      <c r="C5">
        <f>JR_IDEES_Industry!B8</f>
        <v>0</v>
      </c>
      <c r="D5">
        <f>JR_IDEES_Industry!C8</f>
        <v>0</v>
      </c>
      <c r="E5">
        <f>JR_IDEES_Industry!D8</f>
        <v>0</v>
      </c>
      <c r="F5">
        <f>JR_IDEES_Industry!E8</f>
        <v>0</v>
      </c>
      <c r="G5">
        <f>JR_IDEES_Industry!F8</f>
        <v>0</v>
      </c>
      <c r="H5">
        <f>JR_IDEES_Industry!G8</f>
        <v>0</v>
      </c>
      <c r="I5">
        <f>JR_IDEES_Industry!H8</f>
        <v>0</v>
      </c>
      <c r="J5">
        <f>JR_IDEES_Industry!I8</f>
        <v>0</v>
      </c>
      <c r="K5">
        <f>JR_IDEES_Industry!J8</f>
        <v>0</v>
      </c>
      <c r="L5">
        <f>JR_IDEES_Industry!K8</f>
        <v>0</v>
      </c>
      <c r="M5">
        <f>JR_IDEES_Industry!L8</f>
        <v>0</v>
      </c>
      <c r="N5">
        <f>JR_IDEES_Industry!M8</f>
        <v>0</v>
      </c>
      <c r="O5">
        <f>JR_IDEES_Industry!N8</f>
        <v>0</v>
      </c>
      <c r="P5">
        <f>JR_IDEES_Industry!O8</f>
        <v>0</v>
      </c>
      <c r="Q5">
        <f>JR_IDEES_Industry!P8</f>
        <v>0</v>
      </c>
      <c r="R5">
        <f>JR_IDEES_Industry!Q8</f>
        <v>0</v>
      </c>
      <c r="S5">
        <f>JR_IDEES_Industry!R8</f>
        <v>0</v>
      </c>
      <c r="T5">
        <f>JR_IDEES_Industry!S8</f>
        <v>0</v>
      </c>
      <c r="U5">
        <f>JR_IDEES_Industry!T8</f>
        <v>0</v>
      </c>
      <c r="V5">
        <f>JR_IDEES_Industry!U8</f>
        <v>0</v>
      </c>
      <c r="W5">
        <f>JR_IDEES_Industry!V8</f>
        <v>0</v>
      </c>
      <c r="X5">
        <f>JR_IDEES_Industry!W8</f>
        <v>0</v>
      </c>
    </row>
    <row r="6" spans="1:24" x14ac:dyDescent="0.35">
      <c r="A6" t="s">
        <v>57</v>
      </c>
      <c r="B6" t="s">
        <v>255</v>
      </c>
      <c r="C6">
        <f>JR_IDEES_Industry!B10</f>
        <v>0</v>
      </c>
      <c r="D6">
        <f>JR_IDEES_Industry!C10</f>
        <v>0</v>
      </c>
      <c r="E6">
        <f>JR_IDEES_Industry!D10</f>
        <v>0</v>
      </c>
      <c r="F6">
        <f>JR_IDEES_Industry!E10</f>
        <v>0</v>
      </c>
      <c r="G6">
        <f>JR_IDEES_Industry!F10</f>
        <v>0</v>
      </c>
      <c r="H6">
        <f>JR_IDEES_Industry!G10</f>
        <v>0</v>
      </c>
      <c r="I6">
        <f>JR_IDEES_Industry!H10</f>
        <v>0</v>
      </c>
      <c r="J6">
        <f>JR_IDEES_Industry!I10</f>
        <v>0</v>
      </c>
      <c r="K6">
        <f>JR_IDEES_Industry!J10</f>
        <v>0</v>
      </c>
      <c r="L6">
        <f>JR_IDEES_Industry!K10</f>
        <v>0</v>
      </c>
      <c r="M6">
        <f>JR_IDEES_Industry!L10</f>
        <v>0</v>
      </c>
      <c r="N6">
        <f>JR_IDEES_Industry!M10</f>
        <v>0</v>
      </c>
      <c r="O6">
        <f>JR_IDEES_Industry!N10</f>
        <v>0</v>
      </c>
      <c r="P6">
        <f>JR_IDEES_Industry!O10</f>
        <v>0</v>
      </c>
      <c r="Q6">
        <f>JR_IDEES_Industry!P10</f>
        <v>0</v>
      </c>
      <c r="R6">
        <f>JR_IDEES_Industry!Q10</f>
        <v>0</v>
      </c>
      <c r="S6">
        <f>JR_IDEES_Industry!R10</f>
        <v>0</v>
      </c>
      <c r="T6">
        <f>JR_IDEES_Industry!S10</f>
        <v>0</v>
      </c>
      <c r="U6">
        <f>JR_IDEES_Industry!T10</f>
        <v>0</v>
      </c>
      <c r="V6">
        <f>JR_IDEES_Industry!U10</f>
        <v>0</v>
      </c>
      <c r="W6">
        <f>JR_IDEES_Industry!V10</f>
        <v>0</v>
      </c>
      <c r="X6">
        <f>JR_IDEES_Industry!W10</f>
        <v>0</v>
      </c>
    </row>
    <row r="7" spans="1:24" x14ac:dyDescent="0.35">
      <c r="A7" t="s">
        <v>9</v>
      </c>
      <c r="B7" t="s">
        <v>255</v>
      </c>
      <c r="C7">
        <f>JR_IDEES_Industry!B11</f>
        <v>1679.0063189867931</v>
      </c>
      <c r="D7">
        <f>JR_IDEES_Industry!C11</f>
        <v>1666.468198838302</v>
      </c>
      <c r="E7">
        <f>JR_IDEES_Industry!D11</f>
        <v>1511.2108780349361</v>
      </c>
      <c r="F7">
        <f>JR_IDEES_Industry!E11</f>
        <v>1554.21533773489</v>
      </c>
      <c r="G7">
        <f>JR_IDEES_Industry!F11</f>
        <v>1507.673602064491</v>
      </c>
      <c r="H7">
        <f>JR_IDEES_Industry!G11</f>
        <v>1539.1130739911671</v>
      </c>
      <c r="I7">
        <f>JR_IDEES_Industry!H11</f>
        <v>1482.465714421297</v>
      </c>
      <c r="J7">
        <f>JR_IDEES_Industry!I11</f>
        <v>1394.1148650986811</v>
      </c>
      <c r="K7">
        <f>JR_IDEES_Industry!J11</f>
        <v>1518.22130117507</v>
      </c>
      <c r="L7">
        <f>JR_IDEES_Industry!K11</f>
        <v>1624.7550441741571</v>
      </c>
      <c r="M7">
        <f>JR_IDEES_Industry!L11</f>
        <v>1712.986999226523</v>
      </c>
      <c r="N7">
        <f>JR_IDEES_Industry!M11</f>
        <v>1655.32018196595</v>
      </c>
      <c r="O7">
        <f>JR_IDEES_Industry!N11</f>
        <v>1997.776359406206</v>
      </c>
      <c r="P7">
        <f>JR_IDEES_Industry!O11</f>
        <v>1921.248597368153</v>
      </c>
      <c r="Q7">
        <f>JR_IDEES_Industry!P11</f>
        <v>2116.2084431125681</v>
      </c>
      <c r="R7">
        <f>JR_IDEES_Industry!Q11</f>
        <v>2416.1999999999998</v>
      </c>
      <c r="S7">
        <f>JR_IDEES_Industry!R11</f>
        <v>2534.6997661807868</v>
      </c>
      <c r="T7">
        <f>JR_IDEES_Industry!S11</f>
        <v>2627.7443933859631</v>
      </c>
      <c r="U7">
        <f>JR_IDEES_Industry!T11</f>
        <v>2630.0888411598162</v>
      </c>
      <c r="V7">
        <f>JR_IDEES_Industry!U11</f>
        <v>2744.7405735451571</v>
      </c>
      <c r="W7">
        <f>JR_IDEES_Industry!V11</f>
        <v>2701.1381567276362</v>
      </c>
      <c r="X7">
        <f>JR_IDEES_Industry!W11</f>
        <v>2877.5320176593568</v>
      </c>
    </row>
    <row r="8" spans="1:24" x14ac:dyDescent="0.35">
      <c r="A8" t="s">
        <v>235</v>
      </c>
      <c r="B8" t="s">
        <v>255</v>
      </c>
      <c r="C8">
        <f>JR_IDEES_Industry!B12</f>
        <v>3130.2036720635701</v>
      </c>
      <c r="D8">
        <f>JR_IDEES_Industry!C12</f>
        <v>3505.6034083541731</v>
      </c>
      <c r="E8">
        <f>JR_IDEES_Industry!D12</f>
        <v>3107.954692055629</v>
      </c>
      <c r="F8">
        <f>JR_IDEES_Industry!E12</f>
        <v>3576.180802437786</v>
      </c>
      <c r="G8">
        <f>JR_IDEES_Industry!F12</f>
        <v>3494.745722757782</v>
      </c>
      <c r="H8">
        <f>JR_IDEES_Industry!G12</f>
        <v>3609.1717587270859</v>
      </c>
      <c r="I8">
        <f>JR_IDEES_Industry!H12</f>
        <v>3419.185687847008</v>
      </c>
      <c r="J8">
        <f>JR_IDEES_Industry!I12</f>
        <v>3165.999561671646</v>
      </c>
      <c r="K8">
        <f>JR_IDEES_Industry!J12</f>
        <v>3398.4435282964791</v>
      </c>
      <c r="L8">
        <f>JR_IDEES_Industry!K12</f>
        <v>3782.336905947911</v>
      </c>
      <c r="M8">
        <f>JR_IDEES_Industry!L12</f>
        <v>4870.7869335339428</v>
      </c>
      <c r="N8">
        <f>JR_IDEES_Industry!M12</f>
        <v>5203.8673041807842</v>
      </c>
      <c r="O8">
        <f>JR_IDEES_Industry!N12</f>
        <v>6171.9409499886751</v>
      </c>
      <c r="P8">
        <f>JR_IDEES_Industry!O12</f>
        <v>6665.8165867591551</v>
      </c>
      <c r="Q8">
        <f>JR_IDEES_Industry!P12</f>
        <v>6968.6852637718484</v>
      </c>
      <c r="R8">
        <f>JR_IDEES_Industry!Q12</f>
        <v>8075.5</v>
      </c>
      <c r="S8">
        <f>JR_IDEES_Industry!R12</f>
        <v>8895.5773344609734</v>
      </c>
      <c r="T8">
        <f>JR_IDEES_Industry!S12</f>
        <v>9687.4631789796167</v>
      </c>
      <c r="U8">
        <f>JR_IDEES_Industry!T12</f>
        <v>11070.58478961242</v>
      </c>
      <c r="V8">
        <f>JR_IDEES_Industry!U12</f>
        <v>11050.631324092559</v>
      </c>
      <c r="W8">
        <f>JR_IDEES_Industry!V12</f>
        <v>11307.33966368823</v>
      </c>
      <c r="X8">
        <f>JR_IDEES_Industry!W12</f>
        <v>12713.284141362399</v>
      </c>
    </row>
    <row r="9" spans="1:24" x14ac:dyDescent="0.35">
      <c r="A9" t="s">
        <v>12</v>
      </c>
      <c r="B9" t="s">
        <v>255</v>
      </c>
      <c r="C9">
        <f>JR_IDEES_Industry!B14</f>
        <v>598.04024875741197</v>
      </c>
      <c r="D9">
        <f>JR_IDEES_Industry!C14</f>
        <v>565.4905280232532</v>
      </c>
      <c r="E9">
        <f>JR_IDEES_Industry!D14</f>
        <v>587.50360601473733</v>
      </c>
      <c r="F9">
        <f>JR_IDEES_Industry!E14</f>
        <v>525.98838132151889</v>
      </c>
      <c r="G9">
        <f>JR_IDEES_Industry!F14</f>
        <v>535.36590025874807</v>
      </c>
      <c r="H9">
        <f>JR_IDEES_Industry!G14</f>
        <v>518.52305302822447</v>
      </c>
      <c r="I9">
        <f>JR_IDEES_Industry!H14</f>
        <v>718.01213499355902</v>
      </c>
      <c r="J9">
        <f>JR_IDEES_Industry!I14</f>
        <v>694.02837489693809</v>
      </c>
      <c r="K9">
        <f>JR_IDEES_Industry!J14</f>
        <v>761.32426814967585</v>
      </c>
      <c r="L9">
        <f>JR_IDEES_Industry!K14</f>
        <v>506.08601396262247</v>
      </c>
      <c r="M9">
        <f>JR_IDEES_Industry!L14</f>
        <v>396.99926823458088</v>
      </c>
      <c r="N9">
        <f>JR_IDEES_Industry!M14</f>
        <v>499.52798596009762</v>
      </c>
      <c r="O9">
        <f>JR_IDEES_Industry!N14</f>
        <v>512.52609592186627</v>
      </c>
      <c r="P9">
        <f>JR_IDEES_Industry!O14</f>
        <v>497.43687980790128</v>
      </c>
      <c r="Q9">
        <f>JR_IDEES_Industry!P14</f>
        <v>541.15644451467745</v>
      </c>
      <c r="R9">
        <f>JR_IDEES_Industry!Q14</f>
        <v>591.69578892643142</v>
      </c>
      <c r="S9">
        <f>JR_IDEES_Industry!R14</f>
        <v>701.60448339927791</v>
      </c>
      <c r="T9">
        <f>JR_IDEES_Industry!S14</f>
        <v>779.37259030356745</v>
      </c>
      <c r="U9">
        <f>JR_IDEES_Industry!T14</f>
        <v>820.90226150268336</v>
      </c>
      <c r="V9">
        <f>JR_IDEES_Industry!U14</f>
        <v>864.29984535631638</v>
      </c>
      <c r="W9">
        <f>JR_IDEES_Industry!V14</f>
        <v>854.68344301182651</v>
      </c>
      <c r="X9">
        <f>JR_IDEES_Industry!W14</f>
        <v>902.71983084155215</v>
      </c>
    </row>
    <row r="10" spans="1:24" x14ac:dyDescent="0.35">
      <c r="A10" t="s">
        <v>236</v>
      </c>
      <c r="B10" t="s">
        <v>255</v>
      </c>
      <c r="C10">
        <f>JR_IDEES_Industry!B15</f>
        <v>864.49620417171673</v>
      </c>
      <c r="D10">
        <f>JR_IDEES_Industry!C15</f>
        <v>649.26975060035375</v>
      </c>
      <c r="E10">
        <f>JR_IDEES_Industry!D15</f>
        <v>674.99400669757222</v>
      </c>
      <c r="F10">
        <f>JR_IDEES_Industry!E15</f>
        <v>676.17904659321414</v>
      </c>
      <c r="G10">
        <f>JR_IDEES_Industry!F15</f>
        <v>637.86045117558797</v>
      </c>
      <c r="H10">
        <f>JR_IDEES_Industry!G15</f>
        <v>713.1581161000048</v>
      </c>
      <c r="I10">
        <f>JR_IDEES_Industry!H15</f>
        <v>586.38310472689795</v>
      </c>
      <c r="J10">
        <f>JR_IDEES_Industry!I15</f>
        <v>684.93443927800809</v>
      </c>
      <c r="K10">
        <f>JR_IDEES_Industry!J15</f>
        <v>472.24150489377371</v>
      </c>
      <c r="L10">
        <f>JR_IDEES_Industry!K15</f>
        <v>408.13501399599909</v>
      </c>
      <c r="M10">
        <f>JR_IDEES_Industry!L15</f>
        <v>336.69217400547387</v>
      </c>
      <c r="N10">
        <f>JR_IDEES_Industry!M15</f>
        <v>408.14364254360868</v>
      </c>
      <c r="O10">
        <f>JR_IDEES_Industry!N15</f>
        <v>368.86346842241198</v>
      </c>
      <c r="P10">
        <f>JR_IDEES_Industry!O15</f>
        <v>363.11605118852339</v>
      </c>
      <c r="Q10">
        <f>JR_IDEES_Industry!P15</f>
        <v>387.80536532519392</v>
      </c>
      <c r="R10">
        <f>JR_IDEES_Industry!Q15</f>
        <v>384.37797448783027</v>
      </c>
      <c r="S10">
        <f>JR_IDEES_Industry!R15</f>
        <v>436.26665673627201</v>
      </c>
      <c r="T10">
        <f>JR_IDEES_Industry!S15</f>
        <v>444.02607550071411</v>
      </c>
      <c r="U10">
        <f>JR_IDEES_Industry!T15</f>
        <v>443.10834766405901</v>
      </c>
      <c r="V10">
        <f>JR_IDEES_Industry!U15</f>
        <v>448.22757663135138</v>
      </c>
      <c r="W10">
        <f>JR_IDEES_Industry!V15</f>
        <v>460.12245952307768</v>
      </c>
      <c r="X10">
        <f>JR_IDEES_Industry!W15</f>
        <v>509.95181079082988</v>
      </c>
    </row>
    <row r="11" spans="1:24" x14ac:dyDescent="0.35">
      <c r="A11" t="s">
        <v>237</v>
      </c>
      <c r="B11" t="s">
        <v>255</v>
      </c>
      <c r="C11">
        <f>JR_IDEES_Industry!B16</f>
        <v>145.6863659356232</v>
      </c>
      <c r="D11">
        <f>JR_IDEES_Industry!C16</f>
        <v>138.7903108258437</v>
      </c>
      <c r="E11">
        <f>JR_IDEES_Industry!D16</f>
        <v>139.313672990919</v>
      </c>
      <c r="F11">
        <f>JR_IDEES_Industry!E16</f>
        <v>124.013374523053</v>
      </c>
      <c r="G11">
        <f>JR_IDEES_Industry!F16</f>
        <v>117.3283563236326</v>
      </c>
      <c r="H11">
        <f>JR_IDEES_Industry!G16</f>
        <v>110.32379184944659</v>
      </c>
      <c r="I11">
        <f>JR_IDEES_Industry!H16</f>
        <v>149.59802179902309</v>
      </c>
      <c r="J11">
        <f>JR_IDEES_Industry!I16</f>
        <v>163.49159390875141</v>
      </c>
      <c r="K11">
        <f>JR_IDEES_Industry!J16</f>
        <v>185.0060649600334</v>
      </c>
      <c r="L11">
        <f>JR_IDEES_Industry!K16</f>
        <v>135.66785241535331</v>
      </c>
      <c r="M11">
        <f>JR_IDEES_Industry!L16</f>
        <v>116.28577726852239</v>
      </c>
      <c r="N11">
        <f>JR_IDEES_Industry!M16</f>
        <v>124.8057049140661</v>
      </c>
      <c r="O11">
        <f>JR_IDEES_Industry!N16</f>
        <v>112.7630844646328</v>
      </c>
      <c r="P11">
        <f>JR_IDEES_Industry!O16</f>
        <v>121.90141971254199</v>
      </c>
      <c r="Q11">
        <f>JR_IDEES_Industry!P16</f>
        <v>136.68449654978309</v>
      </c>
      <c r="R11">
        <f>JR_IDEES_Industry!Q16</f>
        <v>114.0262365857384</v>
      </c>
      <c r="S11">
        <f>JR_IDEES_Industry!R16</f>
        <v>121.0712010415061</v>
      </c>
      <c r="T11">
        <f>JR_IDEES_Industry!S16</f>
        <v>120.2249153590663</v>
      </c>
      <c r="U11">
        <f>JR_IDEES_Industry!T16</f>
        <v>119.1779098218353</v>
      </c>
      <c r="V11">
        <f>JR_IDEES_Industry!U16</f>
        <v>101.1755421971091</v>
      </c>
      <c r="W11">
        <f>JR_IDEES_Industry!V16</f>
        <v>97.946307954064508</v>
      </c>
      <c r="X11">
        <f>JR_IDEES_Industry!W16</f>
        <v>103.42061307566649</v>
      </c>
    </row>
    <row r="12" spans="1:24" x14ac:dyDescent="0.35">
      <c r="A12" t="s">
        <v>238</v>
      </c>
      <c r="B12" t="s">
        <v>255</v>
      </c>
      <c r="C12">
        <f>JR_IDEES_Industry!B18</f>
        <v>0</v>
      </c>
      <c r="D12">
        <f>JR_IDEES_Industry!C18</f>
        <v>0</v>
      </c>
      <c r="E12">
        <f>JR_IDEES_Industry!D18</f>
        <v>0</v>
      </c>
      <c r="F12">
        <f>JR_IDEES_Industry!E18</f>
        <v>0</v>
      </c>
      <c r="G12">
        <f>JR_IDEES_Industry!F18</f>
        <v>0</v>
      </c>
      <c r="H12">
        <f>JR_IDEES_Industry!G18</f>
        <v>0</v>
      </c>
      <c r="I12">
        <f>JR_IDEES_Industry!H18</f>
        <v>0</v>
      </c>
      <c r="J12">
        <f>JR_IDEES_Industry!I18</f>
        <v>0</v>
      </c>
      <c r="K12">
        <f>JR_IDEES_Industry!J18</f>
        <v>1.012955669484972</v>
      </c>
      <c r="L12">
        <f>JR_IDEES_Industry!K18</f>
        <v>0.96200438944454436</v>
      </c>
      <c r="M12">
        <f>JR_IDEES_Industry!L18</f>
        <v>1.1785080556659879</v>
      </c>
      <c r="N12">
        <f>JR_IDEES_Industry!M18</f>
        <v>0.88204296757267442</v>
      </c>
      <c r="O12">
        <f>JR_IDEES_Industry!N18</f>
        <v>1.4990283620491449</v>
      </c>
      <c r="P12">
        <f>JR_IDEES_Industry!O18</f>
        <v>0.8395069239086328</v>
      </c>
      <c r="Q12">
        <f>JR_IDEES_Industry!P18</f>
        <v>0.82700029190441848</v>
      </c>
      <c r="R12">
        <f>JR_IDEES_Industry!Q18</f>
        <v>0.92428832992357113</v>
      </c>
      <c r="S12">
        <f>JR_IDEES_Industry!R18</f>
        <v>1.0788460479796831</v>
      </c>
      <c r="T12">
        <f>JR_IDEES_Industry!S18</f>
        <v>1.198922311178523</v>
      </c>
      <c r="U12">
        <f>JR_IDEES_Industry!T18</f>
        <v>1.0768872166592489</v>
      </c>
      <c r="V12">
        <f>JR_IDEES_Industry!U18</f>
        <v>1.2042019889700659</v>
      </c>
      <c r="W12">
        <f>JR_IDEES_Industry!V18</f>
        <v>1.29834788568293</v>
      </c>
      <c r="X12">
        <f>JR_IDEES_Industry!W18</f>
        <v>1.442675860321649</v>
      </c>
    </row>
    <row r="13" spans="1:24" x14ac:dyDescent="0.35">
      <c r="A13" t="s">
        <v>239</v>
      </c>
      <c r="B13" t="s">
        <v>255</v>
      </c>
      <c r="C13">
        <f>JR_IDEES_Industry!B19</f>
        <v>757.46481165080149</v>
      </c>
      <c r="D13">
        <f>JR_IDEES_Industry!C19</f>
        <v>746.23903465248293</v>
      </c>
      <c r="E13">
        <f>JR_IDEES_Industry!D19</f>
        <v>740.51139149056951</v>
      </c>
      <c r="F13">
        <f>JR_IDEES_Industry!E19</f>
        <v>706.83087861858814</v>
      </c>
      <c r="G13">
        <f>JR_IDEES_Industry!F19</f>
        <v>632.37428816019656</v>
      </c>
      <c r="H13">
        <f>JR_IDEES_Industry!G19</f>
        <v>550.30552362514368</v>
      </c>
      <c r="I13">
        <f>JR_IDEES_Industry!H19</f>
        <v>539.19707682816875</v>
      </c>
      <c r="J13">
        <f>JR_IDEES_Industry!I19</f>
        <v>519.4190995812811</v>
      </c>
      <c r="K13">
        <f>JR_IDEES_Industry!J19</f>
        <v>469.23550659820171</v>
      </c>
      <c r="L13">
        <f>JR_IDEES_Industry!K19</f>
        <v>446.69134616834322</v>
      </c>
      <c r="M13">
        <f>JR_IDEES_Industry!L19</f>
        <v>406.85717784903738</v>
      </c>
      <c r="N13">
        <f>JR_IDEES_Industry!M19</f>
        <v>427.64565828740132</v>
      </c>
      <c r="O13">
        <f>JR_IDEES_Industry!N19</f>
        <v>389.07932408498488</v>
      </c>
      <c r="P13">
        <f>JR_IDEES_Industry!O19</f>
        <v>371.18946379933942</v>
      </c>
      <c r="Q13">
        <f>JR_IDEES_Industry!P19</f>
        <v>396.69115099226133</v>
      </c>
      <c r="R13">
        <f>JR_IDEES_Industry!Q19</f>
        <v>408.67571167007651</v>
      </c>
      <c r="S13">
        <f>JR_IDEES_Industry!R19</f>
        <v>358.70424932040987</v>
      </c>
      <c r="T13">
        <f>JR_IDEES_Industry!S19</f>
        <v>398.62826436648538</v>
      </c>
      <c r="U13">
        <f>JR_IDEES_Industry!T19</f>
        <v>370.10343104947373</v>
      </c>
      <c r="V13">
        <f>JR_IDEES_Industry!U19</f>
        <v>413.85883396129572</v>
      </c>
      <c r="W13">
        <f>JR_IDEES_Industry!V19</f>
        <v>446.21479366964229</v>
      </c>
      <c r="X13">
        <f>JR_IDEES_Industry!W19</f>
        <v>495.81727551163232</v>
      </c>
    </row>
    <row r="14" spans="1:24" x14ac:dyDescent="0.35">
      <c r="A14" t="s">
        <v>240</v>
      </c>
      <c r="B14" t="s">
        <v>255</v>
      </c>
      <c r="C14">
        <f>JR_IDEES_Industry!B20</f>
        <v>1244.4064762834601</v>
      </c>
      <c r="D14">
        <f>JR_IDEES_Industry!C20</f>
        <v>1081.517352703793</v>
      </c>
      <c r="E14">
        <f>JR_IDEES_Industry!D20</f>
        <v>1026.782258688753</v>
      </c>
      <c r="F14">
        <f>JR_IDEES_Industry!E20</f>
        <v>981.97054342305717</v>
      </c>
      <c r="G14">
        <f>JR_IDEES_Industry!F20</f>
        <v>943.41261274674025</v>
      </c>
      <c r="H14">
        <f>JR_IDEES_Industry!G20</f>
        <v>864.17811119849966</v>
      </c>
      <c r="I14">
        <f>JR_IDEES_Industry!H20</f>
        <v>849.54681345797917</v>
      </c>
      <c r="J14">
        <f>JR_IDEES_Industry!I20</f>
        <v>786.68404600140718</v>
      </c>
      <c r="K14">
        <f>JR_IDEES_Industry!J20</f>
        <v>833.13124187041194</v>
      </c>
      <c r="L14">
        <f>JR_IDEES_Industry!K20</f>
        <v>671.5347645687134</v>
      </c>
      <c r="M14">
        <f>JR_IDEES_Industry!L20</f>
        <v>556.26781381451383</v>
      </c>
      <c r="N14">
        <f>JR_IDEES_Industry!M20</f>
        <v>546.8477882270987</v>
      </c>
      <c r="O14">
        <f>JR_IDEES_Industry!N20</f>
        <v>460.89069159340318</v>
      </c>
      <c r="P14">
        <f>JR_IDEES_Industry!O20</f>
        <v>446.59798021013978</v>
      </c>
      <c r="Q14">
        <f>JR_IDEES_Industry!P20</f>
        <v>474.84966110898802</v>
      </c>
      <c r="R14">
        <f>JR_IDEES_Industry!Q20</f>
        <v>400.59999999999991</v>
      </c>
      <c r="S14">
        <f>JR_IDEES_Industry!R20</f>
        <v>390.82632704840552</v>
      </c>
      <c r="T14">
        <f>JR_IDEES_Industry!S20</f>
        <v>422.41074584658878</v>
      </c>
      <c r="U14">
        <f>JR_IDEES_Industry!T20</f>
        <v>386.11734843307607</v>
      </c>
      <c r="V14">
        <f>JR_IDEES_Industry!U20</f>
        <v>367.31583567246389</v>
      </c>
      <c r="W14">
        <f>JR_IDEES_Industry!V20</f>
        <v>305.31357665051399</v>
      </c>
      <c r="X14">
        <f>JR_IDEES_Industry!W20</f>
        <v>297.87302226266769</v>
      </c>
    </row>
    <row r="15" spans="1:24" x14ac:dyDescent="0.35">
      <c r="A15" t="s">
        <v>241</v>
      </c>
      <c r="B15" t="s">
        <v>255</v>
      </c>
      <c r="C15">
        <f>JR_IDEES_Industry!B21</f>
        <v>5540.910693461341</v>
      </c>
      <c r="D15">
        <f>JR_IDEES_Industry!C21</f>
        <v>5724.2091057039661</v>
      </c>
      <c r="E15">
        <f>JR_IDEES_Industry!D21</f>
        <v>6077.2247593983029</v>
      </c>
      <c r="F15">
        <f>JR_IDEES_Industry!E21</f>
        <v>5789.23311325546</v>
      </c>
      <c r="G15">
        <f>JR_IDEES_Industry!F21</f>
        <v>5712.0879393555924</v>
      </c>
      <c r="H15">
        <f>JR_IDEES_Industry!G21</f>
        <v>5528.5861213624548</v>
      </c>
      <c r="I15">
        <f>JR_IDEES_Industry!H21</f>
        <v>5032.3874151758164</v>
      </c>
      <c r="J15">
        <f>JR_IDEES_Industry!I21</f>
        <v>4812.8453277657936</v>
      </c>
      <c r="K15">
        <f>JR_IDEES_Industry!J21</f>
        <v>4538.790537710267</v>
      </c>
      <c r="L15">
        <f>JR_IDEES_Industry!K21</f>
        <v>4541.5631192319051</v>
      </c>
      <c r="M15">
        <f>JR_IDEES_Industry!L21</f>
        <v>4184.8292522701022</v>
      </c>
      <c r="N15">
        <f>JR_IDEES_Industry!M21</f>
        <v>3923.983829939943</v>
      </c>
      <c r="O15">
        <f>JR_IDEES_Industry!N21</f>
        <v>3666.330375342297</v>
      </c>
      <c r="P15">
        <f>JR_IDEES_Industry!O21</f>
        <v>3801.999387942466</v>
      </c>
      <c r="Q15">
        <f>JR_IDEES_Industry!P21</f>
        <v>3788.1378089740761</v>
      </c>
      <c r="R15">
        <f>JR_IDEES_Industry!Q21</f>
        <v>4031.4</v>
      </c>
      <c r="S15">
        <f>JR_IDEES_Industry!R21</f>
        <v>4240.7840405949964</v>
      </c>
      <c r="T15">
        <f>JR_IDEES_Industry!S21</f>
        <v>3859.1375044185229</v>
      </c>
      <c r="U15">
        <f>JR_IDEES_Industry!T21</f>
        <v>3972.8595138143119</v>
      </c>
      <c r="V15">
        <f>JR_IDEES_Industry!U21</f>
        <v>4116.5803358702042</v>
      </c>
      <c r="W15">
        <f>JR_IDEES_Industry!V21</f>
        <v>4012.959487596052</v>
      </c>
      <c r="X15">
        <f>JR_IDEES_Industry!W21</f>
        <v>4243.9699722549794</v>
      </c>
    </row>
    <row r="16" spans="1:24" x14ac:dyDescent="0.35">
      <c r="A16" t="s">
        <v>242</v>
      </c>
      <c r="B16" t="s">
        <v>255</v>
      </c>
      <c r="C16">
        <f>JR_IDEES_Industry!B22</f>
        <v>927.64353320858083</v>
      </c>
      <c r="D16">
        <f>JR_IDEES_Industry!C22</f>
        <v>912.55507482237135</v>
      </c>
      <c r="E16">
        <f>JR_IDEES_Industry!D22</f>
        <v>866.42412983461054</v>
      </c>
      <c r="F16">
        <f>JR_IDEES_Industry!E22</f>
        <v>867.44540375825284</v>
      </c>
      <c r="G16">
        <f>JR_IDEES_Industry!F22</f>
        <v>715.74794357390113</v>
      </c>
      <c r="H16">
        <f>JR_IDEES_Industry!G22</f>
        <v>777.42150160324286</v>
      </c>
      <c r="I16">
        <f>JR_IDEES_Industry!H22</f>
        <v>792.95781331561716</v>
      </c>
      <c r="J16">
        <f>JR_IDEES_Industry!I22</f>
        <v>687.25271936603872</v>
      </c>
      <c r="K16">
        <f>JR_IDEES_Industry!J22</f>
        <v>760.48854692563771</v>
      </c>
      <c r="L16">
        <f>JR_IDEES_Industry!K22</f>
        <v>499.98357838039038</v>
      </c>
      <c r="M16">
        <f>JR_IDEES_Industry!L22</f>
        <v>591.55108657646292</v>
      </c>
      <c r="N16">
        <f>JR_IDEES_Industry!M22</f>
        <v>665.6956186736752</v>
      </c>
      <c r="O16">
        <f>JR_IDEES_Industry!N22</f>
        <v>528.21758734995569</v>
      </c>
      <c r="P16">
        <f>JR_IDEES_Industry!O22</f>
        <v>461.0833418341324</v>
      </c>
      <c r="Q16">
        <f>JR_IDEES_Industry!P22</f>
        <v>455.84360732889519</v>
      </c>
      <c r="R16">
        <f>JR_IDEES_Industry!Q22</f>
        <v>547.70000000000005</v>
      </c>
      <c r="S16">
        <f>JR_IDEES_Industry!R22</f>
        <v>607.83045619620918</v>
      </c>
      <c r="T16">
        <f>JR_IDEES_Industry!S22</f>
        <v>610.7379914378854</v>
      </c>
      <c r="U16">
        <f>JR_IDEES_Industry!T22</f>
        <v>553.54876501025092</v>
      </c>
      <c r="V16">
        <f>JR_IDEES_Industry!U22</f>
        <v>568.81866674383389</v>
      </c>
      <c r="W16">
        <f>JR_IDEES_Industry!V22</f>
        <v>495.78443180863292</v>
      </c>
      <c r="X16">
        <f>JR_IDEES_Industry!W22</f>
        <v>483.57833533208992</v>
      </c>
    </row>
    <row r="17" spans="1:24" x14ac:dyDescent="0.35">
      <c r="A17" t="s">
        <v>243</v>
      </c>
      <c r="B17" t="s">
        <v>255</v>
      </c>
      <c r="C17">
        <f>JR_IDEES_Industry!B23</f>
        <v>11744.90819841076</v>
      </c>
      <c r="D17">
        <f>JR_IDEES_Industry!C23</f>
        <v>11919.58083594649</v>
      </c>
      <c r="E17">
        <f>JR_IDEES_Industry!D23</f>
        <v>12347.57592176897</v>
      </c>
      <c r="F17">
        <f>JR_IDEES_Industry!E23</f>
        <v>11078.974098527169</v>
      </c>
      <c r="G17">
        <f>JR_IDEES_Industry!F23</f>
        <v>11072.81547375343</v>
      </c>
      <c r="H17">
        <f>JR_IDEES_Industry!G23</f>
        <v>10354.044406800171</v>
      </c>
      <c r="I17">
        <f>JR_IDEES_Industry!H23</f>
        <v>11796.255872443409</v>
      </c>
      <c r="J17">
        <f>JR_IDEES_Industry!I23</f>
        <v>12497.89487040476</v>
      </c>
      <c r="K17">
        <f>JR_IDEES_Industry!J23</f>
        <v>12135.849555766221</v>
      </c>
      <c r="L17">
        <f>JR_IDEES_Industry!K23</f>
        <v>10344.087669553221</v>
      </c>
      <c r="M17">
        <f>JR_IDEES_Industry!L23</f>
        <v>9969.1668697485657</v>
      </c>
      <c r="N17">
        <f>JR_IDEES_Industry!M23</f>
        <v>10469.269497482661</v>
      </c>
      <c r="O17">
        <f>JR_IDEES_Industry!N23</f>
        <v>10324.79565154728</v>
      </c>
      <c r="P17">
        <f>JR_IDEES_Industry!O23</f>
        <v>11139.855146383759</v>
      </c>
      <c r="Q17">
        <f>JR_IDEES_Industry!P23</f>
        <v>10908.2681362</v>
      </c>
      <c r="R17">
        <f>JR_IDEES_Industry!Q23</f>
        <v>10441.200000000001</v>
      </c>
      <c r="S17">
        <f>JR_IDEES_Industry!R23</f>
        <v>11549.077160340281</v>
      </c>
      <c r="T17">
        <f>JR_IDEES_Industry!S23</f>
        <v>12417.128156788811</v>
      </c>
      <c r="U17">
        <f>JR_IDEES_Industry!T23</f>
        <v>12189.300009762759</v>
      </c>
      <c r="V17">
        <f>JR_IDEES_Industry!U23</f>
        <v>13100.384871371931</v>
      </c>
      <c r="W17">
        <f>JR_IDEES_Industry!V23</f>
        <v>10900.16152675462</v>
      </c>
      <c r="X17">
        <f>JR_IDEES_Industry!W23</f>
        <v>10698.520173097801</v>
      </c>
    </row>
    <row r="18" spans="1:24" x14ac:dyDescent="0.35">
      <c r="A18" t="s">
        <v>244</v>
      </c>
      <c r="B18" t="s">
        <v>255</v>
      </c>
      <c r="C18">
        <f>JR_IDEES_Industry!B24</f>
        <v>927.37233205868802</v>
      </c>
      <c r="D18">
        <f>JR_IDEES_Industry!C24</f>
        <v>813.85040818216703</v>
      </c>
      <c r="E18">
        <f>JR_IDEES_Industry!D24</f>
        <v>755.47643006424653</v>
      </c>
      <c r="F18">
        <f>JR_IDEES_Industry!E24</f>
        <v>697.18131030980192</v>
      </c>
      <c r="G18">
        <f>JR_IDEES_Industry!F24</f>
        <v>632.37428816019656</v>
      </c>
      <c r="H18">
        <f>JR_IDEES_Industry!G24</f>
        <v>521.50765321556059</v>
      </c>
      <c r="I18">
        <f>JR_IDEES_Industry!H24</f>
        <v>542.63749822047168</v>
      </c>
      <c r="J18">
        <f>JR_IDEES_Industry!I24</f>
        <v>510.76788206660291</v>
      </c>
      <c r="K18">
        <f>JR_IDEES_Industry!J24</f>
        <v>464.84710862232407</v>
      </c>
      <c r="L18">
        <f>JR_IDEES_Industry!K24</f>
        <v>384.15642140065472</v>
      </c>
      <c r="M18">
        <f>JR_IDEES_Industry!L24</f>
        <v>340.64781360260218</v>
      </c>
      <c r="N18">
        <f>JR_IDEES_Industry!M24</f>
        <v>349.78837486674479</v>
      </c>
      <c r="O18">
        <f>JR_IDEES_Industry!N24</f>
        <v>308.221293417612</v>
      </c>
      <c r="P18">
        <f>JR_IDEES_Industry!O24</f>
        <v>364.88829950015298</v>
      </c>
      <c r="Q18">
        <f>JR_IDEES_Industry!P24</f>
        <v>372.47842963737662</v>
      </c>
      <c r="R18">
        <f>JR_IDEES_Industry!Q24</f>
        <v>399.5</v>
      </c>
      <c r="S18">
        <f>JR_IDEES_Industry!R24</f>
        <v>385.65245510173622</v>
      </c>
      <c r="T18">
        <f>JR_IDEES_Industry!S24</f>
        <v>409.15517850830679</v>
      </c>
      <c r="U18">
        <f>JR_IDEES_Industry!T24</f>
        <v>470.76051937908812</v>
      </c>
      <c r="V18">
        <f>JR_IDEES_Industry!U24</f>
        <v>454.41830405802972</v>
      </c>
      <c r="W18">
        <f>JR_IDEES_Industry!V24</f>
        <v>420.34303427541721</v>
      </c>
      <c r="X18">
        <f>JR_IDEES_Industry!W24</f>
        <v>434.13869155674053</v>
      </c>
    </row>
    <row r="19" spans="1:24" x14ac:dyDescent="0.35">
      <c r="A19" t="s">
        <v>245</v>
      </c>
      <c r="B19" t="s">
        <v>255</v>
      </c>
      <c r="C19">
        <f>JR_IDEES_Industry!B25</f>
        <v>977.68014536381645</v>
      </c>
      <c r="D19">
        <f>JR_IDEES_Industry!C25</f>
        <v>917.18599081755519</v>
      </c>
      <c r="E19">
        <f>JR_IDEES_Industry!D25</f>
        <v>864.74701344273296</v>
      </c>
      <c r="F19">
        <f>JR_IDEES_Industry!E25</f>
        <v>890.17267648552559</v>
      </c>
      <c r="G19">
        <f>JR_IDEES_Industry!F25</f>
        <v>908.79765759730026</v>
      </c>
      <c r="H19">
        <f>JR_IDEES_Industry!G25</f>
        <v>916.44987597555814</v>
      </c>
      <c r="I19">
        <f>JR_IDEES_Industry!H25</f>
        <v>917.16888909979593</v>
      </c>
      <c r="J19">
        <f>JR_IDEES_Industry!I25</f>
        <v>918.64395049196594</v>
      </c>
      <c r="K19">
        <f>JR_IDEES_Industry!J25</f>
        <v>784.73952247624504</v>
      </c>
      <c r="L19">
        <f>JR_IDEES_Industry!K25</f>
        <v>566.43639906725195</v>
      </c>
      <c r="M19">
        <f>JR_IDEES_Industry!L25</f>
        <v>554.57252142955531</v>
      </c>
      <c r="N19">
        <f>JR_IDEES_Industry!M25</f>
        <v>563.94667679934128</v>
      </c>
      <c r="O19">
        <f>JR_IDEES_Industry!N25</f>
        <v>552.40997343984839</v>
      </c>
      <c r="P19">
        <f>JR_IDEES_Industry!O25</f>
        <v>529.63378557584417</v>
      </c>
      <c r="Q19">
        <f>JR_IDEES_Industry!P25</f>
        <v>558.31539993161857</v>
      </c>
      <c r="R19">
        <f>JR_IDEES_Industry!Q25</f>
        <v>579.1</v>
      </c>
      <c r="S19">
        <f>JR_IDEES_Industry!R25</f>
        <v>554.10178598079699</v>
      </c>
      <c r="T19">
        <f>JR_IDEES_Industry!S25</f>
        <v>577.45178901064378</v>
      </c>
      <c r="U19">
        <f>JR_IDEES_Industry!T25</f>
        <v>566.43561456604516</v>
      </c>
      <c r="V19">
        <f>JR_IDEES_Industry!U25</f>
        <v>593.02987334934539</v>
      </c>
      <c r="W19">
        <f>JR_IDEES_Industry!V25</f>
        <v>573.84013519695998</v>
      </c>
      <c r="X19">
        <f>JR_IDEES_Industry!W25</f>
        <v>604.05977588470716</v>
      </c>
    </row>
    <row r="20" spans="1:24" x14ac:dyDescent="0.35">
      <c r="A20" t="s">
        <v>58</v>
      </c>
      <c r="B20" t="s">
        <v>255</v>
      </c>
      <c r="C20">
        <f>JR_IDEES_Industry!B26</f>
        <v>21733.517750115261</v>
      </c>
      <c r="D20">
        <f>JR_IDEES_Industry!C26</f>
        <v>20079.387131346011</v>
      </c>
      <c r="E20">
        <f>JR_IDEES_Industry!D26</f>
        <v>19934.205433857111</v>
      </c>
      <c r="F20">
        <f>JR_IDEES_Industry!E26</f>
        <v>20145.378364652111</v>
      </c>
      <c r="G20">
        <f>JR_IDEES_Industry!F26</f>
        <v>21736.827086512571</v>
      </c>
      <c r="H20">
        <f>JR_IDEES_Industry!G26</f>
        <v>24189.606146772341</v>
      </c>
      <c r="I20">
        <f>JR_IDEES_Industry!H26</f>
        <v>26603.82954491529</v>
      </c>
      <c r="J20">
        <f>JR_IDEES_Industry!I26</f>
        <v>26052.73782196948</v>
      </c>
      <c r="K20">
        <f>JR_IDEES_Industry!J26</f>
        <v>26922.551202627921</v>
      </c>
      <c r="L20">
        <f>JR_IDEES_Industry!K26</f>
        <v>20485.53255312394</v>
      </c>
      <c r="M20">
        <f>JR_IDEES_Industry!L26</f>
        <v>19926.890515898671</v>
      </c>
      <c r="N20">
        <f>JR_IDEES_Industry!M26</f>
        <v>21629.566300412698</v>
      </c>
      <c r="O20">
        <f>JR_IDEES_Industry!N26</f>
        <v>21440.32201610081</v>
      </c>
      <c r="P20">
        <f>JR_IDEES_Industry!O26</f>
        <v>20172.906253187801</v>
      </c>
      <c r="Q20">
        <f>JR_IDEES_Industry!P26</f>
        <v>19652.259608616081</v>
      </c>
      <c r="R20">
        <f>JR_IDEES_Industry!Q26</f>
        <v>18630.099999999999</v>
      </c>
      <c r="S20">
        <f>JR_IDEES_Industry!R26</f>
        <v>19983.980896472811</v>
      </c>
      <c r="T20">
        <f>JR_IDEES_Industry!S26</f>
        <v>20599.348022465729</v>
      </c>
      <c r="U20">
        <f>JR_IDEES_Industry!T26</f>
        <v>21293.46871033877</v>
      </c>
      <c r="V20">
        <f>JR_IDEES_Industry!U26</f>
        <v>20286.86903762865</v>
      </c>
      <c r="W20">
        <f>JR_IDEES_Industry!V26</f>
        <v>18823.74910133236</v>
      </c>
      <c r="X20">
        <f>JR_IDEES_Industry!W26</f>
        <v>19787.17047620684</v>
      </c>
    </row>
    <row r="21" spans="1:24" x14ac:dyDescent="0.35">
      <c r="A21" t="s">
        <v>246</v>
      </c>
      <c r="B21" t="s">
        <v>253</v>
      </c>
      <c r="C21">
        <f>JR_IDEES_Transport!B6</f>
        <v>618.06270654561922</v>
      </c>
      <c r="D21">
        <f>JR_IDEES_Transport!C6</f>
        <v>586.67393876571521</v>
      </c>
      <c r="E21">
        <f>JR_IDEES_Transport!D6</f>
        <v>609.87843956196923</v>
      </c>
      <c r="F21">
        <f>JR_IDEES_Transport!E6</f>
        <v>616.21646683060271</v>
      </c>
      <c r="G21">
        <f>JR_IDEES_Transport!F6</f>
        <v>615.64630201562716</v>
      </c>
      <c r="H21">
        <f>JR_IDEES_Transport!G6</f>
        <v>631.84951342392662</v>
      </c>
      <c r="I21">
        <f>JR_IDEES_Transport!H6</f>
        <v>665.74426072888741</v>
      </c>
      <c r="J21">
        <f>JR_IDEES_Transport!I6</f>
        <v>712.09003479639296</v>
      </c>
      <c r="K21">
        <f>JR_IDEES_Transport!J6</f>
        <v>712.46479061656851</v>
      </c>
      <c r="L21">
        <f>JR_IDEES_Transport!K6</f>
        <v>686.37760614342062</v>
      </c>
      <c r="M21">
        <f>JR_IDEES_Transport!L6</f>
        <v>686.81199575097514</v>
      </c>
      <c r="N21">
        <f>JR_IDEES_Transport!M6</f>
        <v>681.66932110322557</v>
      </c>
      <c r="O21">
        <f>JR_IDEES_Transport!N6</f>
        <v>682.95354835054661</v>
      </c>
      <c r="P21">
        <f>JR_IDEES_Transport!O6</f>
        <v>691.82369853973353</v>
      </c>
      <c r="Q21">
        <f>JR_IDEES_Transport!P6</f>
        <v>706.58775015468939</v>
      </c>
      <c r="R21">
        <f>JR_IDEES_Transport!Q6</f>
        <v>713.81021490519925</v>
      </c>
      <c r="S21">
        <f>JR_IDEES_Transport!R6</f>
        <v>711.70731530665489</v>
      </c>
      <c r="T21">
        <f>JR_IDEES_Transport!S6</f>
        <v>668.26693266766108</v>
      </c>
      <c r="U21">
        <f>JR_IDEES_Transport!T6</f>
        <v>634.48253072571617</v>
      </c>
      <c r="V21">
        <f>JR_IDEES_Transport!U6</f>
        <v>665.30790686102102</v>
      </c>
      <c r="W21">
        <f>JR_IDEES_Transport!V6</f>
        <v>593.12828382677617</v>
      </c>
      <c r="X21">
        <f>JR_IDEES_Transport!W6</f>
        <v>613.24874250755204</v>
      </c>
    </row>
    <row r="22" spans="1:24" x14ac:dyDescent="0.35">
      <c r="A22" t="s">
        <v>247</v>
      </c>
      <c r="B22" t="s">
        <v>253</v>
      </c>
      <c r="C22">
        <f>JR_IDEES_Transport!B7</f>
        <v>50615</v>
      </c>
      <c r="D22">
        <f>JR_IDEES_Transport!C7</f>
        <v>49620</v>
      </c>
      <c r="E22">
        <f>JR_IDEES_Transport!D7</f>
        <v>49454</v>
      </c>
      <c r="F22">
        <f>JR_IDEES_Transport!E7</f>
        <v>49695</v>
      </c>
      <c r="G22">
        <f>JR_IDEES_Transport!F7</f>
        <v>50557</v>
      </c>
      <c r="H22">
        <f>JR_IDEES_Transport!G7</f>
        <v>49758</v>
      </c>
      <c r="I22">
        <f>JR_IDEES_Transport!H7</f>
        <v>49648</v>
      </c>
      <c r="J22">
        <f>JR_IDEES_Transport!I7</f>
        <v>50733</v>
      </c>
      <c r="K22">
        <f>JR_IDEES_Transport!J7</f>
        <v>51459</v>
      </c>
      <c r="L22">
        <f>JR_IDEES_Transport!K7</f>
        <v>51884</v>
      </c>
      <c r="M22">
        <f>JR_IDEES_Transport!L7</f>
        <v>51691</v>
      </c>
      <c r="N22">
        <f>JR_IDEES_Transport!M7</f>
        <v>52957</v>
      </c>
      <c r="O22">
        <f>JR_IDEES_Transport!N7</f>
        <v>52664.999999999993</v>
      </c>
      <c r="P22">
        <f>JR_IDEES_Transport!O7</f>
        <v>52903.999999999993</v>
      </c>
      <c r="Q22">
        <f>JR_IDEES_Transport!P7</f>
        <v>54402.000000000007</v>
      </c>
      <c r="R22">
        <f>JR_IDEES_Transport!Q7</f>
        <v>56844.000000000007</v>
      </c>
      <c r="S22">
        <f>JR_IDEES_Transport!R7</f>
        <v>59041</v>
      </c>
      <c r="T22">
        <f>JR_IDEES_Transport!S7</f>
        <v>60046</v>
      </c>
      <c r="U22">
        <f>JR_IDEES_Transport!T7</f>
        <v>61213</v>
      </c>
      <c r="V22">
        <f>JR_IDEES_Transport!U7</f>
        <v>62513</v>
      </c>
      <c r="W22">
        <f>JR_IDEES_Transport!V7</f>
        <v>58479</v>
      </c>
      <c r="X22">
        <f>JR_IDEES_Transport!W7</f>
        <v>58910</v>
      </c>
    </row>
    <row r="23" spans="1:24" x14ac:dyDescent="0.35">
      <c r="A23" t="s">
        <v>248</v>
      </c>
      <c r="B23" t="s">
        <v>253</v>
      </c>
      <c r="C23">
        <f>JR_IDEES_Transport!B8</f>
        <v>7418</v>
      </c>
      <c r="D23">
        <f>JR_IDEES_Transport!C8</f>
        <v>7332</v>
      </c>
      <c r="E23">
        <f>JR_IDEES_Transport!D8</f>
        <v>7295</v>
      </c>
      <c r="F23">
        <f>JR_IDEES_Transport!E8</f>
        <v>7272</v>
      </c>
      <c r="G23">
        <f>JR_IDEES_Transport!F8</f>
        <v>7300</v>
      </c>
      <c r="H23">
        <f>JR_IDEES_Transport!G8</f>
        <v>7169</v>
      </c>
      <c r="I23">
        <f>JR_IDEES_Transport!H8</f>
        <v>7054</v>
      </c>
      <c r="J23">
        <f>JR_IDEES_Transport!I8</f>
        <v>6845</v>
      </c>
      <c r="K23">
        <f>JR_IDEES_Transport!J8</f>
        <v>6739</v>
      </c>
      <c r="L23">
        <f>JR_IDEES_Transport!K8</f>
        <v>6746.0000000000009</v>
      </c>
      <c r="M23">
        <f>JR_IDEES_Transport!L8</f>
        <v>6821</v>
      </c>
      <c r="N23">
        <f>JR_IDEES_Transport!M8</f>
        <v>6673</v>
      </c>
      <c r="O23">
        <f>JR_IDEES_Transport!N8</f>
        <v>6466</v>
      </c>
      <c r="P23">
        <f>JR_IDEES_Transport!O8</f>
        <v>6466</v>
      </c>
      <c r="Q23">
        <f>JR_IDEES_Transport!P8</f>
        <v>6558</v>
      </c>
      <c r="R23">
        <f>JR_IDEES_Transport!Q8</f>
        <v>6854.9999999999991</v>
      </c>
      <c r="S23">
        <f>JR_IDEES_Transport!R8</f>
        <v>7069</v>
      </c>
      <c r="T23">
        <f>JR_IDEES_Transport!S8</f>
        <v>7300</v>
      </c>
      <c r="U23">
        <f>JR_IDEES_Transport!T8</f>
        <v>7107.9999999999991</v>
      </c>
      <c r="V23">
        <f>JR_IDEES_Transport!U8</f>
        <v>6929</v>
      </c>
      <c r="W23">
        <f>JR_IDEES_Transport!V8</f>
        <v>4547</v>
      </c>
      <c r="X23">
        <f>JR_IDEES_Transport!W8</f>
        <v>4834</v>
      </c>
    </row>
    <row r="24" spans="1:24" x14ac:dyDescent="0.35">
      <c r="A24" t="s">
        <v>249</v>
      </c>
      <c r="B24" t="s">
        <v>253</v>
      </c>
      <c r="C24">
        <f>JR_IDEES_Transport!B10</f>
        <v>0</v>
      </c>
      <c r="D24">
        <f>JR_IDEES_Transport!C10</f>
        <v>0</v>
      </c>
      <c r="E24">
        <f>JR_IDEES_Transport!D10</f>
        <v>9</v>
      </c>
      <c r="F24">
        <f>JR_IDEES_Transport!E10</f>
        <v>67</v>
      </c>
      <c r="G24">
        <f>JR_IDEES_Transport!F10</f>
        <v>128</v>
      </c>
      <c r="H24">
        <f>JR_IDEES_Transport!G10</f>
        <v>162</v>
      </c>
      <c r="I24">
        <f>JR_IDEES_Transport!H10</f>
        <v>164</v>
      </c>
      <c r="J24">
        <f>JR_IDEES_Transport!I10</f>
        <v>177</v>
      </c>
      <c r="K24">
        <f>JR_IDEES_Transport!J10</f>
        <v>195</v>
      </c>
      <c r="L24">
        <f>JR_IDEES_Transport!K10</f>
        <v>215</v>
      </c>
      <c r="M24">
        <f>JR_IDEES_Transport!L10</f>
        <v>239</v>
      </c>
      <c r="N24">
        <f>JR_IDEES_Transport!M10</f>
        <v>278</v>
      </c>
      <c r="O24">
        <f>JR_IDEES_Transport!N10</f>
        <v>274</v>
      </c>
      <c r="P24">
        <f>JR_IDEES_Transport!O10</f>
        <v>284</v>
      </c>
      <c r="Q24">
        <f>JR_IDEES_Transport!P10</f>
        <v>295</v>
      </c>
      <c r="R24">
        <f>JR_IDEES_Transport!Q10</f>
        <v>302</v>
      </c>
      <c r="S24">
        <f>JR_IDEES_Transport!R10</f>
        <v>321</v>
      </c>
      <c r="T24">
        <f>JR_IDEES_Transport!S10</f>
        <v>341</v>
      </c>
      <c r="U24">
        <f>JR_IDEES_Transport!T10</f>
        <v>352</v>
      </c>
      <c r="V24">
        <f>JR_IDEES_Transport!U10</f>
        <v>400</v>
      </c>
      <c r="W24">
        <f>JR_IDEES_Transport!V10</f>
        <v>289</v>
      </c>
      <c r="X24">
        <f>JR_IDEES_Transport!W10</f>
        <v>331</v>
      </c>
    </row>
    <row r="25" spans="1:24" x14ac:dyDescent="0.35">
      <c r="A25" t="s">
        <v>250</v>
      </c>
      <c r="B25" t="s">
        <v>253</v>
      </c>
      <c r="C25">
        <f>JR_IDEES_Transport!B11</f>
        <v>5537</v>
      </c>
      <c r="D25">
        <f>JR_IDEES_Transport!C11</f>
        <v>5721</v>
      </c>
      <c r="E25">
        <f>JR_IDEES_Transport!D11</f>
        <v>5745</v>
      </c>
      <c r="F25">
        <f>JR_IDEES_Transport!E11</f>
        <v>5826</v>
      </c>
      <c r="G25">
        <f>JR_IDEES_Transport!F11</f>
        <v>5946</v>
      </c>
      <c r="H25">
        <f>JR_IDEES_Transport!G11</f>
        <v>5974</v>
      </c>
      <c r="I25">
        <f>JR_IDEES_Transport!H11</f>
        <v>6110</v>
      </c>
      <c r="J25">
        <f>JR_IDEES_Transport!I11</f>
        <v>6176</v>
      </c>
      <c r="K25">
        <f>JR_IDEES_Transport!J11</f>
        <v>6280</v>
      </c>
      <c r="L25">
        <f>JR_IDEES_Transport!K11</f>
        <v>6152</v>
      </c>
      <c r="M25">
        <f>JR_IDEES_Transport!L11</f>
        <v>6338</v>
      </c>
      <c r="N25">
        <f>JR_IDEES_Transport!M11</f>
        <v>6365</v>
      </c>
      <c r="O25">
        <f>JR_IDEES_Transport!N11</f>
        <v>6517</v>
      </c>
      <c r="P25">
        <f>JR_IDEES_Transport!O11</f>
        <v>6551</v>
      </c>
      <c r="Q25">
        <f>JR_IDEES_Transport!P11</f>
        <v>6513</v>
      </c>
      <c r="R25">
        <f>JR_IDEES_Transport!Q11</f>
        <v>6506</v>
      </c>
      <c r="S25">
        <f>JR_IDEES_Transport!R11</f>
        <v>6332</v>
      </c>
      <c r="T25">
        <f>JR_IDEES_Transport!S11</f>
        <v>6280</v>
      </c>
      <c r="U25">
        <f>JR_IDEES_Transport!T11</f>
        <v>6197</v>
      </c>
      <c r="V25">
        <f>JR_IDEES_Transport!U11</f>
        <v>6174</v>
      </c>
      <c r="W25">
        <f>JR_IDEES_Transport!V11</f>
        <v>3940</v>
      </c>
      <c r="X25">
        <f>JR_IDEES_Transport!W11</f>
        <v>4181</v>
      </c>
    </row>
    <row r="26" spans="1:24" x14ac:dyDescent="0.35">
      <c r="A26" t="s">
        <v>298</v>
      </c>
      <c r="B26" t="s">
        <v>253</v>
      </c>
      <c r="C26">
        <f>JR_IDEES_Transport!B12</f>
        <v>0</v>
      </c>
      <c r="D26">
        <f>JR_IDEES_Transport!C12</f>
        <v>0</v>
      </c>
      <c r="E26">
        <f>JR_IDEES_Transport!D12</f>
        <v>0</v>
      </c>
      <c r="F26">
        <f>JR_IDEES_Transport!E12</f>
        <v>0</v>
      </c>
      <c r="G26">
        <f>JR_IDEES_Transport!F12</f>
        <v>0</v>
      </c>
      <c r="H26">
        <f>JR_IDEES_Transport!G12</f>
        <v>0</v>
      </c>
      <c r="I26">
        <f>JR_IDEES_Transport!H12</f>
        <v>0</v>
      </c>
      <c r="J26">
        <f>JR_IDEES_Transport!I12</f>
        <v>0</v>
      </c>
      <c r="K26">
        <f>JR_IDEES_Transport!J12</f>
        <v>0</v>
      </c>
      <c r="L26">
        <f>JR_IDEES_Transport!K12</f>
        <v>0</v>
      </c>
      <c r="M26">
        <f>JR_IDEES_Transport!L12</f>
        <v>0</v>
      </c>
      <c r="N26">
        <f>JR_IDEES_Transport!M12</f>
        <v>0</v>
      </c>
      <c r="O26">
        <f>JR_IDEES_Transport!N12</f>
        <v>0</v>
      </c>
      <c r="P26">
        <f>JR_IDEES_Transport!O12</f>
        <v>0</v>
      </c>
      <c r="Q26">
        <f>JR_IDEES_Transport!P12</f>
        <v>0</v>
      </c>
      <c r="R26">
        <f>JR_IDEES_Transport!Q12</f>
        <v>0</v>
      </c>
      <c r="S26">
        <f>JR_IDEES_Transport!R12</f>
        <v>0</v>
      </c>
      <c r="T26">
        <f>JR_IDEES_Transport!S12</f>
        <v>0</v>
      </c>
      <c r="U26">
        <f>JR_IDEES_Transport!T12</f>
        <v>0</v>
      </c>
      <c r="V26">
        <f>JR_IDEES_Transport!U12</f>
        <v>0</v>
      </c>
      <c r="W26">
        <f>JR_IDEES_Transport!V12</f>
        <v>0</v>
      </c>
      <c r="X26">
        <f>JR_IDEES_Transport!W12</f>
        <v>0</v>
      </c>
    </row>
    <row r="27" spans="1:24" x14ac:dyDescent="0.35">
      <c r="A27" t="s">
        <v>261</v>
      </c>
      <c r="B27" t="s">
        <v>253</v>
      </c>
      <c r="C27">
        <f>JR_IDEES_Transport!B14</f>
        <v>291.40924396035859</v>
      </c>
      <c r="D27">
        <f>JR_IDEES_Transport!C14</f>
        <v>299.46483133744471</v>
      </c>
      <c r="E27">
        <f>JR_IDEES_Transport!D14</f>
        <v>270.63505047752295</v>
      </c>
      <c r="F27">
        <f>JR_IDEES_Transport!E14</f>
        <v>294.26581108181898</v>
      </c>
      <c r="G27">
        <f>JR_IDEES_Transport!F14</f>
        <v>369.96532619028915</v>
      </c>
      <c r="H27">
        <f>JR_IDEES_Transport!G14</f>
        <v>371.63024424271703</v>
      </c>
      <c r="I27">
        <f>JR_IDEES_Transport!H14</f>
        <v>403.57690740271437</v>
      </c>
      <c r="J27">
        <f>JR_IDEES_Transport!I14</f>
        <v>446.8763170177379</v>
      </c>
      <c r="K27">
        <f>JR_IDEES_Transport!J14</f>
        <v>458.44665437170937</v>
      </c>
      <c r="L27">
        <f>JR_IDEES_Transport!K14</f>
        <v>464.32366596496422</v>
      </c>
      <c r="M27">
        <f>JR_IDEES_Transport!L14</f>
        <v>563.06762945161995</v>
      </c>
      <c r="N27">
        <f>JR_IDEES_Transport!M14</f>
        <v>519.51037812927541</v>
      </c>
      <c r="O27">
        <f>JR_IDEES_Transport!N14</f>
        <v>405.46675317223634</v>
      </c>
      <c r="P27">
        <f>JR_IDEES_Transport!O14</f>
        <v>408.17099991910067</v>
      </c>
      <c r="Q27">
        <f>JR_IDEES_Transport!P14</f>
        <v>421.85946758049505</v>
      </c>
      <c r="R27">
        <f>JR_IDEES_Transport!Q14</f>
        <v>412.07747383764882</v>
      </c>
      <c r="S27">
        <f>JR_IDEES_Transport!R14</f>
        <v>437.606250558174</v>
      </c>
      <c r="T27">
        <f>JR_IDEES_Transport!S14</f>
        <v>422.72749352524494</v>
      </c>
      <c r="U27">
        <f>JR_IDEES_Transport!T14</f>
        <v>418.01654063879562</v>
      </c>
      <c r="V27">
        <f>JR_IDEES_Transport!U14</f>
        <v>393.61794485666769</v>
      </c>
      <c r="W27">
        <f>JR_IDEES_Transport!V14</f>
        <v>165.67190867400353</v>
      </c>
      <c r="X27">
        <f>JR_IDEES_Transport!W14</f>
        <v>231.30369073079234</v>
      </c>
    </row>
    <row r="28" spans="1:24" x14ac:dyDescent="0.35">
      <c r="A28" t="s">
        <v>263</v>
      </c>
      <c r="B28" t="s">
        <v>253</v>
      </c>
      <c r="C28">
        <f>JR_IDEES_Transport!B15</f>
        <v>10186.297917202788</v>
      </c>
      <c r="D28">
        <f>JR_IDEES_Transport!C15</f>
        <v>10566.784446657559</v>
      </c>
      <c r="E28">
        <f>JR_IDEES_Transport!D15</f>
        <v>10520.060983530002</v>
      </c>
      <c r="F28">
        <f>JR_IDEES_Transport!E15</f>
        <v>10218.513228038924</v>
      </c>
      <c r="G28">
        <f>JR_IDEES_Transport!F15</f>
        <v>10696.838536596297</v>
      </c>
      <c r="H28">
        <f>JR_IDEES_Transport!G15</f>
        <v>11149.757139233894</v>
      </c>
      <c r="I28">
        <f>JR_IDEES_Transport!H15</f>
        <v>11392.01850836867</v>
      </c>
      <c r="J28">
        <f>JR_IDEES_Transport!I15</f>
        <v>11336.021346299245</v>
      </c>
      <c r="K28">
        <f>JR_IDEES_Transport!J15</f>
        <v>10757.313683987757</v>
      </c>
      <c r="L28">
        <f>JR_IDEES_Transport!K15</f>
        <v>10035.434119026262</v>
      </c>
      <c r="M28">
        <f>JR_IDEES_Transport!L15</f>
        <v>10883.842524756506</v>
      </c>
      <c r="N28">
        <f>JR_IDEES_Transport!M15</f>
        <v>11526.969338168174</v>
      </c>
      <c r="O28">
        <f>JR_IDEES_Transport!N15</f>
        <v>11914.287257611903</v>
      </c>
      <c r="P28">
        <f>JR_IDEES_Transport!O15</f>
        <v>12547.638627097454</v>
      </c>
      <c r="Q28">
        <f>JR_IDEES_Transport!P15</f>
        <v>13032.859656212773</v>
      </c>
      <c r="R28">
        <f>JR_IDEES_Transport!Q15</f>
        <v>13353.18808062169</v>
      </c>
      <c r="S28">
        <f>JR_IDEES_Transport!R15</f>
        <v>15101.974100752148</v>
      </c>
      <c r="T28">
        <f>JR_IDEES_Transport!S15</f>
        <v>15751.286250439953</v>
      </c>
      <c r="U28">
        <f>JR_IDEES_Transport!T15</f>
        <v>16295.38997882581</v>
      </c>
      <c r="V28">
        <f>JR_IDEES_Transport!U15</f>
        <v>15686.817297998425</v>
      </c>
      <c r="W28">
        <f>JR_IDEES_Transport!V15</f>
        <v>3816.1926543588661</v>
      </c>
      <c r="X28">
        <f>JR_IDEES_Transport!W15</f>
        <v>5724.8426153984155</v>
      </c>
    </row>
    <row r="29" spans="1:24" x14ac:dyDescent="0.35">
      <c r="A29" t="s">
        <v>264</v>
      </c>
      <c r="B29" t="s">
        <v>253</v>
      </c>
      <c r="C29">
        <f>JR_IDEES_Transport!B16</f>
        <v>6253.811640126848</v>
      </c>
      <c r="D29">
        <f>JR_IDEES_Transport!C16</f>
        <v>6454.0407469830343</v>
      </c>
      <c r="E29">
        <f>JR_IDEES_Transport!D16</f>
        <v>6499.1536095377141</v>
      </c>
      <c r="F29">
        <f>JR_IDEES_Transport!E16</f>
        <v>6288.9755177094721</v>
      </c>
      <c r="G29">
        <f>JR_IDEES_Transport!F16</f>
        <v>7273.244797016876</v>
      </c>
      <c r="H29">
        <f>JR_IDEES_Transport!G16</f>
        <v>8228.1177882751672</v>
      </c>
      <c r="I29">
        <f>JR_IDEES_Transport!H16</f>
        <v>8578.7544386336103</v>
      </c>
      <c r="J29">
        <f>JR_IDEES_Transport!I16</f>
        <v>8577.0951220565712</v>
      </c>
      <c r="K29">
        <f>JR_IDEES_Transport!J16</f>
        <v>8614.7565795719402</v>
      </c>
      <c r="L29">
        <f>JR_IDEES_Transport!K16</f>
        <v>8216.4302782723425</v>
      </c>
      <c r="M29">
        <f>JR_IDEES_Transport!L16</f>
        <v>9204.542831222856</v>
      </c>
      <c r="N29">
        <f>JR_IDEES_Transport!M16</f>
        <v>9125.5467981545098</v>
      </c>
      <c r="O29">
        <f>JR_IDEES_Transport!N16</f>
        <v>10028.9991184749</v>
      </c>
      <c r="P29">
        <f>JR_IDEES_Transport!O16</f>
        <v>10427.429714918328</v>
      </c>
      <c r="Q29">
        <f>JR_IDEES_Transport!P16</f>
        <v>11445.717125756293</v>
      </c>
      <c r="R29">
        <f>JR_IDEES_Transport!Q16</f>
        <v>11619.493537248251</v>
      </c>
      <c r="S29">
        <f>JR_IDEES_Transport!R16</f>
        <v>11996.836057121571</v>
      </c>
      <c r="T29">
        <f>JR_IDEES_Transport!S16</f>
        <v>12345.309445970895</v>
      </c>
      <c r="U29">
        <f>JR_IDEES_Transport!T16</f>
        <v>13535.060771733841</v>
      </c>
      <c r="V29">
        <f>JR_IDEES_Transport!U16</f>
        <v>13939.646285209907</v>
      </c>
      <c r="W29">
        <f>JR_IDEES_Transport!V16</f>
        <v>3209.2765338470399</v>
      </c>
      <c r="X29">
        <f>JR_IDEES_Transport!W16</f>
        <v>3019.5166768824793</v>
      </c>
    </row>
    <row r="30" spans="1:24" x14ac:dyDescent="0.35">
      <c r="A30" t="s">
        <v>251</v>
      </c>
      <c r="B30" t="s">
        <v>254</v>
      </c>
      <c r="C30">
        <f>JR_IDEES_Transport!B19</f>
        <v>967.69161960842871</v>
      </c>
      <c r="D30">
        <f>JR_IDEES_Transport!C19</f>
        <v>1039.2803571428108</v>
      </c>
      <c r="E30">
        <f>JR_IDEES_Transport!D19</f>
        <v>1081.8775655784996</v>
      </c>
      <c r="F30">
        <f>JR_IDEES_Transport!E19</f>
        <v>1145.365920751447</v>
      </c>
      <c r="G30">
        <f>JR_IDEES_Transport!F19</f>
        <v>1259.0690910860051</v>
      </c>
      <c r="H30">
        <f>JR_IDEES_Transport!G19</f>
        <v>1357.8092139001092</v>
      </c>
      <c r="I30">
        <f>JR_IDEES_Transport!H19</f>
        <v>1498.9049667236454</v>
      </c>
      <c r="J30">
        <f>JR_IDEES_Transport!I19</f>
        <v>1642.3372972945608</v>
      </c>
      <c r="K30">
        <f>JR_IDEES_Transport!J19</f>
        <v>1642.100932238998</v>
      </c>
      <c r="L30">
        <f>JR_IDEES_Transport!K19</f>
        <v>1556.3443418001732</v>
      </c>
      <c r="M30">
        <f>JR_IDEES_Transport!L19</f>
        <v>1514.7237158435612</v>
      </c>
      <c r="N30">
        <f>JR_IDEES_Transport!M19</f>
        <v>1378.623661996241</v>
      </c>
      <c r="O30">
        <f>JR_IDEES_Transport!N19</f>
        <v>1278.0406604003247</v>
      </c>
      <c r="P30">
        <f>JR_IDEES_Transport!O19</f>
        <v>1211.6717668725753</v>
      </c>
      <c r="Q30">
        <f>JR_IDEES_Transport!P19</f>
        <v>1170.7877713172372</v>
      </c>
      <c r="R30">
        <f>JR_IDEES_Transport!Q19</f>
        <v>1189.4401413442174</v>
      </c>
      <c r="S30">
        <f>JR_IDEES_Transport!R19</f>
        <v>1198.2699444678321</v>
      </c>
      <c r="T30">
        <f>JR_IDEES_Transport!S19</f>
        <v>1227.2141511383193</v>
      </c>
      <c r="U30">
        <f>JR_IDEES_Transport!T19</f>
        <v>1252.5889217238089</v>
      </c>
      <c r="V30">
        <f>JR_IDEES_Transport!U19</f>
        <v>1218.1573220182254</v>
      </c>
      <c r="W30">
        <f>JR_IDEES_Transport!V19</f>
        <v>1145.084442872298</v>
      </c>
      <c r="X30">
        <f>JR_IDEES_Transport!W19</f>
        <v>1167.879284988391</v>
      </c>
    </row>
    <row r="31" spans="1:24" x14ac:dyDescent="0.35">
      <c r="A31" t="s">
        <v>252</v>
      </c>
      <c r="B31" t="s">
        <v>254</v>
      </c>
      <c r="C31">
        <f>JR_IDEES_Transport!B20</f>
        <v>15135.134184086188</v>
      </c>
      <c r="D31">
        <f>JR_IDEES_Transport!C20</f>
        <v>15316.426795903024</v>
      </c>
      <c r="E31">
        <f>JR_IDEES_Transport!D20</f>
        <v>15747.50063622354</v>
      </c>
      <c r="F31">
        <f>JR_IDEES_Transport!E20</f>
        <v>15777.978798603068</v>
      </c>
      <c r="G31">
        <f>JR_IDEES_Transport!F20</f>
        <v>16069.630331978449</v>
      </c>
      <c r="H31">
        <f>JR_IDEES_Transport!G20</f>
        <v>16786.513223591253</v>
      </c>
      <c r="I31">
        <f>JR_IDEES_Transport!H20</f>
        <v>17692.258729141256</v>
      </c>
      <c r="J31">
        <f>JR_IDEES_Transport!I20</f>
        <v>18387.594020981316</v>
      </c>
      <c r="K31">
        <f>JR_IDEES_Transport!J20</f>
        <v>18914.41807897732</v>
      </c>
      <c r="L31">
        <f>JR_IDEES_Transport!K20</f>
        <v>16915.748243820388</v>
      </c>
      <c r="M31">
        <f>JR_IDEES_Transport!L20</f>
        <v>17243.749269546621</v>
      </c>
      <c r="N31">
        <f>JR_IDEES_Transport!M20</f>
        <v>18438.395166590464</v>
      </c>
      <c r="O31">
        <f>JR_IDEES_Transport!N20</f>
        <v>18571.037617626171</v>
      </c>
      <c r="P31">
        <f>JR_IDEES_Transport!O20</f>
        <v>19296.721203207024</v>
      </c>
      <c r="Q31">
        <f>JR_IDEES_Transport!P20</f>
        <v>19517.265790013018</v>
      </c>
      <c r="R31">
        <f>JR_IDEES_Transport!Q20</f>
        <v>19128.622625910946</v>
      </c>
      <c r="S31">
        <f>JR_IDEES_Transport!R20</f>
        <v>20598.863081338419</v>
      </c>
      <c r="T31">
        <f>JR_IDEES_Transport!S20</f>
        <v>20352.101420361727</v>
      </c>
      <c r="U31">
        <f>JR_IDEES_Transport!T20</f>
        <v>19306</v>
      </c>
      <c r="V31">
        <f>JR_IDEES_Transport!U20</f>
        <v>19461</v>
      </c>
      <c r="W31">
        <f>JR_IDEES_Transport!V20</f>
        <v>20209</v>
      </c>
      <c r="X31">
        <f>JR_IDEES_Transport!W20</f>
        <v>20819</v>
      </c>
    </row>
    <row r="32" spans="1:24" x14ac:dyDescent="0.35">
      <c r="A32" t="s">
        <v>93</v>
      </c>
      <c r="B32" t="s">
        <v>254</v>
      </c>
      <c r="C32">
        <f>JR_IDEES_Transport!B21</f>
        <v>2025</v>
      </c>
      <c r="D32">
        <f>JR_IDEES_Transport!C21</f>
        <v>2091</v>
      </c>
      <c r="E32">
        <f>JR_IDEES_Transport!D21</f>
        <v>1877</v>
      </c>
      <c r="F32">
        <f>JR_IDEES_Transport!E21</f>
        <v>1985</v>
      </c>
      <c r="G32">
        <f>JR_IDEES_Transport!F21</f>
        <v>2321</v>
      </c>
      <c r="H32">
        <f>JR_IDEES_Transport!G21</f>
        <v>1976</v>
      </c>
      <c r="I32">
        <f>JR_IDEES_Transport!H21</f>
        <v>1892</v>
      </c>
      <c r="J32">
        <f>JR_IDEES_Transport!I21</f>
        <v>1779</v>
      </c>
      <c r="K32">
        <f>JR_IDEES_Transport!J21</f>
        <v>1866</v>
      </c>
      <c r="L32">
        <f>JR_IDEES_Transport!K21</f>
        <v>1700</v>
      </c>
      <c r="M32">
        <f>JR_IDEES_Transport!L21</f>
        <v>2239</v>
      </c>
      <c r="N32">
        <f>JR_IDEES_Transport!M21</f>
        <v>2614</v>
      </c>
      <c r="O32">
        <f>JR_IDEES_Transport!N21</f>
        <v>2278</v>
      </c>
      <c r="P32">
        <f>JR_IDEES_Transport!O21</f>
        <v>2449</v>
      </c>
      <c r="Q32">
        <f>JR_IDEES_Transport!P21</f>
        <v>2453</v>
      </c>
      <c r="R32">
        <f>JR_IDEES_Transport!Q21</f>
        <v>2603</v>
      </c>
      <c r="S32">
        <f>JR_IDEES_Transport!R21</f>
        <v>2616</v>
      </c>
      <c r="T32">
        <f>JR_IDEES_Transport!S21</f>
        <v>2653</v>
      </c>
      <c r="U32">
        <f>JR_IDEES_Transport!T21</f>
        <v>2594</v>
      </c>
      <c r="V32">
        <f>JR_IDEES_Transport!U21</f>
        <v>2525</v>
      </c>
      <c r="W32">
        <f>JR_IDEES_Transport!V21</f>
        <v>2450</v>
      </c>
      <c r="X32">
        <f>JR_IDEES_Transport!W21</f>
        <v>1986</v>
      </c>
    </row>
    <row r="33" spans="1:24" x14ac:dyDescent="0.35">
      <c r="A33" t="s">
        <v>262</v>
      </c>
      <c r="B33" t="s">
        <v>254</v>
      </c>
      <c r="C33" cm="1">
        <f t="array" ref="C33:C35">JR_IDEES_Transport!B23:B25</f>
        <v>0.39172366016678484</v>
      </c>
      <c r="D33" cm="1">
        <f t="array" ref="D33:D35">JR_IDEES_Transport!C23:C25</f>
        <v>0.41211957488556195</v>
      </c>
      <c r="E33" cm="1">
        <f t="array" ref="E33:E35">JR_IDEES_Transport!D23:D25</f>
        <v>0.38472127495833575</v>
      </c>
      <c r="F33" cm="1">
        <f t="array" ref="F33:F35">JR_IDEES_Transport!E23:E25</f>
        <v>0.28773505338378291</v>
      </c>
      <c r="G33" cm="1">
        <f t="array" ref="G33:G35">JR_IDEES_Transport!F23:F25</f>
        <v>0.30105339581717916</v>
      </c>
      <c r="H33" cm="1">
        <f t="array" ref="H33:H35">JR_IDEES_Transport!G23:G25</f>
        <v>0.33328109776836573</v>
      </c>
      <c r="I33" cm="1">
        <f t="array" ref="I33:I35">JR_IDEES_Transport!H23:H25</f>
        <v>0.33346815466669566</v>
      </c>
      <c r="J33" cm="1">
        <f t="array" ref="J33:J35">JR_IDEES_Transport!I23:I25</f>
        <v>0.2698273485077764</v>
      </c>
      <c r="K33" cm="1">
        <f t="array" ref="K33:K35">JR_IDEES_Transport!J23:J25</f>
        <v>0.45761915652942836</v>
      </c>
      <c r="L33" cm="1">
        <f t="array" ref="L33:L35">JR_IDEES_Transport!K23:K25</f>
        <v>0.33392210029788355</v>
      </c>
      <c r="M33" cm="1">
        <f t="array" ref="M33:M35">JR_IDEES_Transport!L23:L25</f>
        <v>0.12517562277821262</v>
      </c>
      <c r="N33" cm="1">
        <f t="array" ref="N33:N35">JR_IDEES_Transport!M23:M25</f>
        <v>7.1719848184202628E-2</v>
      </c>
      <c r="O33" cm="1">
        <f t="array" ref="O33:O35">JR_IDEES_Transport!N23:N25</f>
        <v>5.7239893367400617E-2</v>
      </c>
      <c r="P33" cm="1">
        <f t="array" ref="P33:P35">JR_IDEES_Transport!O23:O25</f>
        <v>7.1353982102432559E-2</v>
      </c>
      <c r="Q33" cm="1">
        <f t="array" ref="Q33:Q35">JR_IDEES_Transport!P23:P25</f>
        <v>8.6212950052164408E-2</v>
      </c>
      <c r="R33" cm="1">
        <f t="array" ref="R33:R35">JR_IDEES_Transport!Q23:Q25</f>
        <v>8.4131859703813122E-2</v>
      </c>
      <c r="S33" cm="1">
        <f t="array" ref="S33:S35">JR_IDEES_Transport!R23:R25</f>
        <v>2.4660009783207825E-2</v>
      </c>
      <c r="T33" cm="1">
        <f t="array" ref="T33:T35">JR_IDEES_Transport!S23:S25</f>
        <v>4.0384429238605649E-2</v>
      </c>
      <c r="U33" cm="1">
        <f t="array" ref="U33:U35">JR_IDEES_Transport!T23:T25</f>
        <v>5.6031012439184319E-2</v>
      </c>
      <c r="V33" cm="1">
        <f t="array" ref="V33:V35">JR_IDEES_Transport!U23:U25</f>
        <v>6.3298350329026185E-2</v>
      </c>
      <c r="W33" cm="1">
        <f t="array" ref="W33:W35">JR_IDEES_Transport!V23:V25</f>
        <v>7.7001122219437279E-2</v>
      </c>
      <c r="X33" cm="1">
        <f t="array" ref="X33:X35">JR_IDEES_Transport!W23:W25</f>
        <v>0.13964973004104073</v>
      </c>
    </row>
    <row r="34" spans="1:24" x14ac:dyDescent="0.35">
      <c r="A34" t="s">
        <v>265</v>
      </c>
      <c r="B34" t="s">
        <v>254</v>
      </c>
      <c r="C34">
        <v>42.905083456148169</v>
      </c>
      <c r="D34">
        <v>46.931066716378098</v>
      </c>
      <c r="E34">
        <v>41.43212304203864</v>
      </c>
      <c r="F34">
        <v>30.287155976302785</v>
      </c>
      <c r="G34">
        <v>30.628589715144848</v>
      </c>
      <c r="H34">
        <v>35.80812073868649</v>
      </c>
      <c r="I34">
        <v>37.802768006542145</v>
      </c>
      <c r="J34">
        <v>34.545832813210581</v>
      </c>
      <c r="K34">
        <v>73.007463946440822</v>
      </c>
      <c r="L34">
        <v>51.799427558787741</v>
      </c>
      <c r="M34">
        <v>37.374545680705971</v>
      </c>
      <c r="N34">
        <v>37.565584873698235</v>
      </c>
      <c r="O34">
        <v>36.27117486315769</v>
      </c>
      <c r="P34">
        <v>30.523839864007151</v>
      </c>
      <c r="Q34">
        <v>50.036327319758321</v>
      </c>
      <c r="R34">
        <v>48.248824660922544</v>
      </c>
      <c r="S34">
        <v>42.029275036124417</v>
      </c>
      <c r="T34">
        <v>46.221980594383972</v>
      </c>
      <c r="U34">
        <v>46.669987420462135</v>
      </c>
      <c r="V34">
        <v>53.690768159436494</v>
      </c>
      <c r="W34">
        <v>51.588895265861069</v>
      </c>
      <c r="X34">
        <v>75.077321550225236</v>
      </c>
    </row>
    <row r="35" spans="1:24" x14ac:dyDescent="0.35">
      <c r="A35" t="s">
        <v>266</v>
      </c>
      <c r="B35" t="s">
        <v>254</v>
      </c>
      <c r="C35">
        <v>8.0154785904303658</v>
      </c>
      <c r="D35">
        <v>8.8632524525693519</v>
      </c>
      <c r="E35">
        <v>9.692331037457814</v>
      </c>
      <c r="F35">
        <v>9.6088750164835321</v>
      </c>
      <c r="G35">
        <v>9.3271537873730708</v>
      </c>
      <c r="H35">
        <v>6.2576858856908482</v>
      </c>
      <c r="I35">
        <v>3.1583090440325332</v>
      </c>
      <c r="J35">
        <v>3.553751432424245</v>
      </c>
      <c r="K35">
        <v>412.30371548016882</v>
      </c>
      <c r="L35">
        <v>343.45466408078465</v>
      </c>
      <c r="M35">
        <v>410.5199155368266</v>
      </c>
      <c r="N35">
        <v>413.41346485673722</v>
      </c>
      <c r="O35">
        <v>506.91094122109234</v>
      </c>
      <c r="P35">
        <v>441.86273207540222</v>
      </c>
      <c r="Q35">
        <v>565.00375930087409</v>
      </c>
      <c r="R35">
        <v>517.3414655162303</v>
      </c>
      <c r="S35">
        <v>464.34767376332707</v>
      </c>
      <c r="T35">
        <v>510.45428372055852</v>
      </c>
      <c r="U35">
        <v>406.78995412945966</v>
      </c>
      <c r="V35">
        <v>471.46869708442148</v>
      </c>
      <c r="W35">
        <v>249.30480623135767</v>
      </c>
      <c r="X35">
        <v>339.24578343368262</v>
      </c>
    </row>
    <row r="36" spans="1:24" x14ac:dyDescent="0.35">
      <c r="A36" t="s">
        <v>256</v>
      </c>
      <c r="B36" t="s">
        <v>254</v>
      </c>
      <c r="C36" cm="1">
        <f t="array" ref="C36:C37">JR_IDEES_Transport!B27:B28</f>
        <v>1533.1780000000001</v>
      </c>
      <c r="D36" cm="1">
        <f t="array" ref="D36:D37">JR_IDEES_Transport!C27:C28</f>
        <v>1880.845</v>
      </c>
      <c r="E36" cm="1">
        <f t="array" ref="E36:E37">JR_IDEES_Transport!D27:D28</f>
        <v>1666.383</v>
      </c>
      <c r="F36" cm="1">
        <f t="array" ref="F36:F37">JR_IDEES_Transport!E27:E28</f>
        <v>1908.069</v>
      </c>
      <c r="G36" cm="1">
        <f t="array" ref="G36:G37">JR_IDEES_Transport!F27:F28</f>
        <v>1803.4780000000001</v>
      </c>
      <c r="H36" cm="1">
        <f t="array" ref="H36:H37">JR_IDEES_Transport!G27:G28</f>
        <v>2029.19</v>
      </c>
      <c r="I36" cm="1">
        <f t="array" ref="I36:I37">JR_IDEES_Transport!H27:H28</f>
        <v>2309.768</v>
      </c>
      <c r="J36" cm="1">
        <f t="array" ref="J36:J37">JR_IDEES_Transport!I27:I28</f>
        <v>2467.0030000000002</v>
      </c>
      <c r="K36" cm="1">
        <f t="array" ref="K36:K37">JR_IDEES_Transport!J27:J28</f>
        <v>2350.4659999999999</v>
      </c>
      <c r="L36" cm="1">
        <f t="array" ref="L36:L37">JR_IDEES_Transport!K27:K28</f>
        <v>1833.8969999999999</v>
      </c>
      <c r="M36" cm="1">
        <f t="array" ref="M36:M37">JR_IDEES_Transport!L27:L28</f>
        <v>2060.0259999999998</v>
      </c>
      <c r="N36" cm="1">
        <f t="array" ref="N36:N37">JR_IDEES_Transport!M27:M28</f>
        <v>2104.4740000000002</v>
      </c>
      <c r="O36" cm="1">
        <f t="array" ref="O36:O37">JR_IDEES_Transport!N27:N28</f>
        <v>2158.645</v>
      </c>
      <c r="P36" cm="1">
        <f t="array" ref="P36:P37">JR_IDEES_Transport!O27:O28</f>
        <v>1711.8040000000001</v>
      </c>
      <c r="Q36" cm="1">
        <f t="array" ref="Q36:Q37">JR_IDEES_Transport!P27:P28</f>
        <v>1730.8330000000001</v>
      </c>
      <c r="R36" cm="1">
        <f t="array" ref="R36:R37">JR_IDEES_Transport!Q27:Q28</f>
        <v>1838.3420000000001</v>
      </c>
      <c r="S36" cm="1">
        <f t="array" ref="S36:S37">JR_IDEES_Transport!R27:R28</f>
        <v>1892.2349999999999</v>
      </c>
      <c r="T36" cm="1">
        <f t="array" ref="T36:T37">JR_IDEES_Transport!S27:S28</f>
        <v>1736.6669999999999</v>
      </c>
      <c r="U36" cm="1">
        <f t="array" ref="U36:U37">JR_IDEES_Transport!T27:T28</f>
        <v>1611.518</v>
      </c>
      <c r="V36" cm="1">
        <f t="array" ref="V36:V37">JR_IDEES_Transport!U27:U28</f>
        <v>1637.075</v>
      </c>
      <c r="W36" cm="1">
        <f t="array" ref="W36:W37">JR_IDEES_Transport!V27:V28</f>
        <v>1469.423</v>
      </c>
      <c r="X36" cm="1">
        <f t="array" ref="X36:X37">JR_IDEES_Transport!W27:W28</f>
        <v>1515.1210000000001</v>
      </c>
    </row>
    <row r="37" spans="1:24" x14ac:dyDescent="0.35">
      <c r="A37" t="s">
        <v>299</v>
      </c>
      <c r="B37" t="s">
        <v>254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35">
      <c r="A38" t="s">
        <v>300</v>
      </c>
      <c r="B38" t="s">
        <v>254</v>
      </c>
      <c r="C38" cm="1">
        <f t="array" ref="C38:C39">JR_IDEES_Transport!B30:B31</f>
        <v>21870.693569999999</v>
      </c>
      <c r="D38" cm="1">
        <f t="array" ref="D38:D39">JR_IDEES_Transport!C30:C31</f>
        <v>21927.959705000001</v>
      </c>
      <c r="E38" cm="1">
        <f t="array" ref="E38:E39">JR_IDEES_Transport!D30:D31</f>
        <v>22405.536512999999</v>
      </c>
      <c r="F38" cm="1">
        <f t="array" ref="F38:F39">JR_IDEES_Transport!E30:E31</f>
        <v>23368.593140000001</v>
      </c>
      <c r="G38" cm="1">
        <f t="array" ref="G38:G39">JR_IDEES_Transport!F30:F31</f>
        <v>24548.212125999999</v>
      </c>
      <c r="H38" cm="1">
        <f t="array" ref="H38:H39">JR_IDEES_Transport!G30:G31</f>
        <v>24152.365811</v>
      </c>
      <c r="I38" cm="1">
        <f t="array" ref="I38:I39">JR_IDEES_Transport!H30:H31</f>
        <v>22890.939374999998</v>
      </c>
      <c r="J38" cm="1">
        <f t="array" ref="J38:J39">JR_IDEES_Transport!I30:I31</f>
        <v>22088.239190999997</v>
      </c>
      <c r="K38" cm="1">
        <f t="array" ref="K38:K39">JR_IDEES_Transport!J30:J31</f>
        <v>22084.949102999999</v>
      </c>
      <c r="L38" cm="1">
        <f t="array" ref="L38:L39">JR_IDEES_Transport!K30:K31</f>
        <v>19341.717707</v>
      </c>
      <c r="M38" cm="1">
        <f t="array" ref="M38:M39">JR_IDEES_Transport!L30:L31</f>
        <v>19327.646912</v>
      </c>
      <c r="N38" cm="1">
        <f t="array" ref="N38:N39">JR_IDEES_Transport!M30:M31</f>
        <v>18595.806786000001</v>
      </c>
      <c r="O38" cm="1">
        <f t="array" ref="O38:O39">JR_IDEES_Transport!N30:N31</f>
        <v>18788.972609</v>
      </c>
      <c r="P38" cm="1">
        <f t="array" ref="P38:P39">JR_IDEES_Transport!O30:O31</f>
        <v>22947.239063999998</v>
      </c>
      <c r="Q38" cm="1">
        <f t="array" ref="Q38:Q39">JR_IDEES_Transport!P30:P31</f>
        <v>20381.48486</v>
      </c>
      <c r="R38" cm="1">
        <f t="array" ref="R38:R39">JR_IDEES_Transport!Q30:Q31</f>
        <v>21944.357226</v>
      </c>
      <c r="S38" cm="1">
        <f t="array" ref="S38:S39">JR_IDEES_Transport!R30:R31</f>
        <v>22296.179255000003</v>
      </c>
      <c r="T38" cm="1">
        <f t="array" ref="T38:T39">JR_IDEES_Transport!S30:S31</f>
        <v>21842.378266</v>
      </c>
      <c r="U38" cm="1">
        <f t="array" ref="U38:U39">JR_IDEES_Transport!T30:T31</f>
        <v>20966.236641</v>
      </c>
      <c r="V38" cm="1">
        <f t="array" ref="V38:V39">JR_IDEES_Transport!U30:U31</f>
        <v>22800.910378</v>
      </c>
      <c r="W38" cm="1">
        <f t="array" ref="W38:W39">JR_IDEES_Transport!V30:V31</f>
        <v>22236.496229</v>
      </c>
      <c r="X38" cm="1">
        <f t="array" ref="X38:X39">JR_IDEES_Transport!W30:W31</f>
        <v>22073.122051999999</v>
      </c>
    </row>
    <row r="39" spans="1:24" x14ac:dyDescent="0.35">
      <c r="A39" t="s">
        <v>301</v>
      </c>
      <c r="B39" t="s">
        <v>254</v>
      </c>
      <c r="C39">
        <v>59410.656904000003</v>
      </c>
      <c r="D39">
        <v>61372.406139999999</v>
      </c>
      <c r="E39">
        <v>57985.462852000004</v>
      </c>
      <c r="F39">
        <v>73567.954469999997</v>
      </c>
      <c r="G39">
        <v>59849.677259999997</v>
      </c>
      <c r="H39">
        <v>56392.246023</v>
      </c>
      <c r="I39">
        <v>73273.525811999993</v>
      </c>
      <c r="J39">
        <v>65382.898561000002</v>
      </c>
      <c r="K39">
        <v>64519.227415000001</v>
      </c>
      <c r="L39">
        <v>55781.306655</v>
      </c>
      <c r="M39">
        <v>47317.016508000001</v>
      </c>
      <c r="N39">
        <v>60108.395415999999</v>
      </c>
      <c r="O39">
        <v>43488.089476999994</v>
      </c>
      <c r="P39">
        <v>44393.392045000001</v>
      </c>
      <c r="Q39">
        <v>48019.638733</v>
      </c>
      <c r="R39">
        <v>67723.681836999996</v>
      </c>
      <c r="S39">
        <v>67659.897807000001</v>
      </c>
      <c r="T39">
        <v>64538.470138999997</v>
      </c>
      <c r="U39">
        <v>67376.786597999991</v>
      </c>
      <c r="V39">
        <v>76667.917335999999</v>
      </c>
      <c r="W39">
        <v>77644.241037</v>
      </c>
      <c r="X39">
        <v>81512.482640999995</v>
      </c>
    </row>
    <row r="40" spans="1:24" x14ac:dyDescent="0.35">
      <c r="A40" t="str" cm="1">
        <f t="array" ref="A40:A55">JR_IDEES_Industry!A183:A198</f>
        <v>Integrated steelworks (kt steel)</v>
      </c>
      <c r="B40" t="s">
        <v>302</v>
      </c>
      <c r="C40">
        <f>JR_IDEES_Industry!B183</f>
        <v>0</v>
      </c>
      <c r="D40">
        <f>JR_IDEES_Industry!C183</f>
        <v>0</v>
      </c>
      <c r="E40">
        <f>JR_IDEES_Industry!D183</f>
        <v>0</v>
      </c>
      <c r="F40">
        <f>JR_IDEES_Industry!E183</f>
        <v>0</v>
      </c>
      <c r="G40">
        <f>JR_IDEES_Industry!F183</f>
        <v>0</v>
      </c>
      <c r="H40">
        <f>JR_IDEES_Industry!G183</f>
        <v>0</v>
      </c>
      <c r="I40">
        <f>JR_IDEES_Industry!H183</f>
        <v>0</v>
      </c>
      <c r="J40">
        <f>JR_IDEES_Industry!I183</f>
        <v>0</v>
      </c>
      <c r="K40">
        <f>JR_IDEES_Industry!J183</f>
        <v>0</v>
      </c>
      <c r="L40">
        <f>JR_IDEES_Industry!K183</f>
        <v>0</v>
      </c>
      <c r="M40">
        <f>JR_IDEES_Industry!L183</f>
        <v>0</v>
      </c>
      <c r="N40">
        <f>JR_IDEES_Industry!M183</f>
        <v>0</v>
      </c>
      <c r="O40">
        <f>JR_IDEES_Industry!N183</f>
        <v>0</v>
      </c>
      <c r="P40">
        <f>JR_IDEES_Industry!O183</f>
        <v>0</v>
      </c>
      <c r="Q40">
        <f>JR_IDEES_Industry!P183</f>
        <v>0</v>
      </c>
      <c r="R40">
        <f>JR_IDEES_Industry!Q183</f>
        <v>0</v>
      </c>
      <c r="S40">
        <f>JR_IDEES_Industry!R183</f>
        <v>0</v>
      </c>
      <c r="T40">
        <f>JR_IDEES_Industry!S183</f>
        <v>0</v>
      </c>
      <c r="U40">
        <f>JR_IDEES_Industry!T183</f>
        <v>0</v>
      </c>
      <c r="V40">
        <f>JR_IDEES_Industry!U183</f>
        <v>0</v>
      </c>
      <c r="W40">
        <f>JR_IDEES_Industry!V183</f>
        <v>0</v>
      </c>
      <c r="X40">
        <f>JR_IDEES_Industry!W183</f>
        <v>0</v>
      </c>
    </row>
    <row r="41" spans="1:24" x14ac:dyDescent="0.35">
      <c r="A41" t="str">
        <v>Electric arc (kt steel)</v>
      </c>
      <c r="B41" t="s">
        <v>302</v>
      </c>
      <c r="C41">
        <f>JR_IDEES_Industry!B184</f>
        <v>801</v>
      </c>
      <c r="D41">
        <f>JR_IDEES_Industry!C184</f>
        <v>751</v>
      </c>
      <c r="E41">
        <f>JR_IDEES_Industry!D184</f>
        <v>392</v>
      </c>
      <c r="F41">
        <f>JR_IDEES_Industry!E184</f>
        <v>310</v>
      </c>
      <c r="G41">
        <f>JR_IDEES_Industry!F184</f>
        <v>310</v>
      </c>
      <c r="H41">
        <f>JR_IDEES_Industry!G184</f>
        <v>400</v>
      </c>
      <c r="I41">
        <f>JR_IDEES_Industry!H184</f>
        <v>405</v>
      </c>
      <c r="J41">
        <f>JR_IDEES_Industry!I184</f>
        <v>492.75841494567851</v>
      </c>
      <c r="K41">
        <f>JR_IDEES_Industry!J184</f>
        <v>473.15705922912628</v>
      </c>
      <c r="L41">
        <f>JR_IDEES_Industry!K184</f>
        <v>250.7032359780541</v>
      </c>
      <c r="M41">
        <f>JR_IDEES_Industry!L184</f>
        <v>316.07205726331762</v>
      </c>
      <c r="N41">
        <f>JR_IDEES_Industry!M184</f>
        <v>372.08278919615208</v>
      </c>
      <c r="O41">
        <f>JR_IDEES_Industry!N184</f>
        <v>368.05519279743481</v>
      </c>
      <c r="P41">
        <f>JR_IDEES_Industry!O184</f>
        <v>384.07359039657968</v>
      </c>
      <c r="Q41">
        <f>JR_IDEES_Industry!P184</f>
        <v>392.07512352984179</v>
      </c>
      <c r="R41">
        <f>JR_IDEES_Industry!Q184</f>
        <v>460.08815516256948</v>
      </c>
      <c r="S41">
        <f>JR_IDEES_Industry!R184</f>
        <v>492.09428769561782</v>
      </c>
      <c r="T41">
        <f>JR_IDEES_Industry!S184</f>
        <v>472.09045486246259</v>
      </c>
      <c r="U41">
        <f>JR_IDEES_Industry!T184</f>
        <v>524.10042022866605</v>
      </c>
      <c r="V41">
        <f>JR_IDEES_Industry!U184</f>
        <v>504.10042022866611</v>
      </c>
      <c r="W41">
        <f>JR_IDEES_Industry!V184</f>
        <v>484.10042022866611</v>
      </c>
      <c r="X41">
        <f>JR_IDEES_Industry!W184</f>
        <v>524.10042022866605</v>
      </c>
    </row>
    <row r="42" spans="1:24" x14ac:dyDescent="0.35">
      <c r="A42" t="str">
        <v>Alumina production (kt)</v>
      </c>
      <c r="B42" t="s">
        <v>303</v>
      </c>
      <c r="C42">
        <f>JR_IDEES_Industry!B185</f>
        <v>0</v>
      </c>
      <c r="D42">
        <f>JR_IDEES_Industry!C185</f>
        <v>0</v>
      </c>
      <c r="E42">
        <f>JR_IDEES_Industry!D185</f>
        <v>0</v>
      </c>
      <c r="F42">
        <f>JR_IDEES_Industry!E185</f>
        <v>0</v>
      </c>
      <c r="G42">
        <f>JR_IDEES_Industry!F185</f>
        <v>0</v>
      </c>
      <c r="H42">
        <f>JR_IDEES_Industry!G185</f>
        <v>0</v>
      </c>
      <c r="I42">
        <f>JR_IDEES_Industry!H185</f>
        <v>0</v>
      </c>
      <c r="J42">
        <f>JR_IDEES_Industry!I185</f>
        <v>0</v>
      </c>
      <c r="K42">
        <f>JR_IDEES_Industry!J185</f>
        <v>0</v>
      </c>
      <c r="L42">
        <f>JR_IDEES_Industry!K185</f>
        <v>0</v>
      </c>
      <c r="M42">
        <f>JR_IDEES_Industry!L185</f>
        <v>0</v>
      </c>
      <c r="N42">
        <f>JR_IDEES_Industry!M185</f>
        <v>0</v>
      </c>
      <c r="O42">
        <f>JR_IDEES_Industry!N185</f>
        <v>0</v>
      </c>
      <c r="P42">
        <f>JR_IDEES_Industry!O185</f>
        <v>0</v>
      </c>
      <c r="Q42">
        <f>JR_IDEES_Industry!P185</f>
        <v>0</v>
      </c>
      <c r="R42">
        <f>JR_IDEES_Industry!Q185</f>
        <v>0</v>
      </c>
      <c r="S42">
        <f>JR_IDEES_Industry!R185</f>
        <v>0</v>
      </c>
      <c r="T42">
        <f>JR_IDEES_Industry!S185</f>
        <v>0</v>
      </c>
      <c r="U42">
        <f>JR_IDEES_Industry!T185</f>
        <v>0</v>
      </c>
      <c r="V42">
        <f>JR_IDEES_Industry!U185</f>
        <v>0</v>
      </c>
      <c r="W42">
        <f>JR_IDEES_Industry!V185</f>
        <v>0</v>
      </c>
      <c r="X42">
        <f>JR_IDEES_Industry!W185</f>
        <v>0</v>
      </c>
    </row>
    <row r="43" spans="1:24" x14ac:dyDescent="0.35">
      <c r="A43" t="str">
        <v>Aluminium production (kt)</v>
      </c>
      <c r="B43" t="s">
        <v>304</v>
      </c>
      <c r="C43">
        <f>JR_IDEES_Industry!B186</f>
        <v>0</v>
      </c>
      <c r="D43">
        <f>JR_IDEES_Industry!C186</f>
        <v>0</v>
      </c>
      <c r="E43">
        <f>JR_IDEES_Industry!D186</f>
        <v>0</v>
      </c>
      <c r="F43">
        <f>JR_IDEES_Industry!E186</f>
        <v>0</v>
      </c>
      <c r="G43">
        <f>JR_IDEES_Industry!F186</f>
        <v>0</v>
      </c>
      <c r="H43">
        <f>JR_IDEES_Industry!G186</f>
        <v>0</v>
      </c>
      <c r="I43">
        <f>JR_IDEES_Industry!H186</f>
        <v>0</v>
      </c>
      <c r="J43">
        <f>JR_IDEES_Industry!I186</f>
        <v>0</v>
      </c>
      <c r="K43">
        <f>JR_IDEES_Industry!J186</f>
        <v>0</v>
      </c>
      <c r="L43">
        <f>JR_IDEES_Industry!K186</f>
        <v>0</v>
      </c>
      <c r="M43">
        <f>JR_IDEES_Industry!L186</f>
        <v>0</v>
      </c>
      <c r="N43">
        <f>JR_IDEES_Industry!M186</f>
        <v>0</v>
      </c>
      <c r="O43">
        <f>JR_IDEES_Industry!N186</f>
        <v>0</v>
      </c>
      <c r="P43">
        <f>JR_IDEES_Industry!O186</f>
        <v>0</v>
      </c>
      <c r="Q43">
        <f>JR_IDEES_Industry!P186</f>
        <v>0</v>
      </c>
      <c r="R43">
        <f>JR_IDEES_Industry!Q186</f>
        <v>0</v>
      </c>
      <c r="S43">
        <f>JR_IDEES_Industry!R186</f>
        <v>0</v>
      </c>
      <c r="T43">
        <f>JR_IDEES_Industry!S186</f>
        <v>0</v>
      </c>
      <c r="U43">
        <f>JR_IDEES_Industry!T186</f>
        <v>0</v>
      </c>
      <c r="V43">
        <f>JR_IDEES_Industry!U186</f>
        <v>0</v>
      </c>
      <c r="W43">
        <f>JR_IDEES_Industry!V186</f>
        <v>0</v>
      </c>
      <c r="X43">
        <f>JR_IDEES_Industry!W186</f>
        <v>0</v>
      </c>
    </row>
    <row r="44" spans="1:24" x14ac:dyDescent="0.35">
      <c r="A44" t="str">
        <v>Aluminium - primary production</v>
      </c>
      <c r="B44" t="s">
        <v>304</v>
      </c>
      <c r="C44">
        <f>JR_IDEES_Industry!B187</f>
        <v>0</v>
      </c>
      <c r="D44">
        <f>JR_IDEES_Industry!C187</f>
        <v>0</v>
      </c>
      <c r="E44">
        <f>JR_IDEES_Industry!D187</f>
        <v>0</v>
      </c>
      <c r="F44">
        <f>JR_IDEES_Industry!E187</f>
        <v>0</v>
      </c>
      <c r="G44">
        <f>JR_IDEES_Industry!F187</f>
        <v>0</v>
      </c>
      <c r="H44">
        <f>JR_IDEES_Industry!G187</f>
        <v>0</v>
      </c>
      <c r="I44">
        <f>JR_IDEES_Industry!H187</f>
        <v>0</v>
      </c>
      <c r="J44">
        <f>JR_IDEES_Industry!I187</f>
        <v>0</v>
      </c>
      <c r="K44">
        <f>JR_IDEES_Industry!J187</f>
        <v>0</v>
      </c>
      <c r="L44">
        <f>JR_IDEES_Industry!K187</f>
        <v>0</v>
      </c>
      <c r="M44">
        <f>JR_IDEES_Industry!L187</f>
        <v>0</v>
      </c>
      <c r="N44">
        <f>JR_IDEES_Industry!M187</f>
        <v>0</v>
      </c>
      <c r="O44">
        <f>JR_IDEES_Industry!N187</f>
        <v>0</v>
      </c>
      <c r="P44">
        <f>JR_IDEES_Industry!O187</f>
        <v>0</v>
      </c>
      <c r="Q44">
        <f>JR_IDEES_Industry!P187</f>
        <v>0</v>
      </c>
      <c r="R44">
        <f>JR_IDEES_Industry!Q187</f>
        <v>0</v>
      </c>
      <c r="S44">
        <f>JR_IDEES_Industry!R187</f>
        <v>0</v>
      </c>
      <c r="T44">
        <f>JR_IDEES_Industry!S187</f>
        <v>0</v>
      </c>
      <c r="U44">
        <f>JR_IDEES_Industry!T187</f>
        <v>0</v>
      </c>
      <c r="V44">
        <f>JR_IDEES_Industry!U187</f>
        <v>0</v>
      </c>
      <c r="W44">
        <f>JR_IDEES_Industry!V187</f>
        <v>0</v>
      </c>
      <c r="X44">
        <f>JR_IDEES_Industry!W187</f>
        <v>0</v>
      </c>
    </row>
    <row r="45" spans="1:24" x14ac:dyDescent="0.35">
      <c r="A45" t="str">
        <v>Aluminium - secondary production</v>
      </c>
      <c r="B45" t="s">
        <v>304</v>
      </c>
      <c r="C45">
        <f>JR_IDEES_Industry!B188</f>
        <v>0</v>
      </c>
      <c r="D45">
        <f>JR_IDEES_Industry!C188</f>
        <v>0</v>
      </c>
      <c r="E45">
        <f>JR_IDEES_Industry!D188</f>
        <v>0</v>
      </c>
      <c r="F45">
        <f>JR_IDEES_Industry!E188</f>
        <v>0</v>
      </c>
      <c r="G45">
        <f>JR_IDEES_Industry!F188</f>
        <v>0</v>
      </c>
      <c r="H45">
        <f>JR_IDEES_Industry!G188</f>
        <v>0</v>
      </c>
      <c r="I45">
        <f>JR_IDEES_Industry!H188</f>
        <v>0</v>
      </c>
      <c r="J45">
        <f>JR_IDEES_Industry!I188</f>
        <v>0</v>
      </c>
      <c r="K45">
        <f>JR_IDEES_Industry!J188</f>
        <v>0</v>
      </c>
      <c r="L45">
        <f>JR_IDEES_Industry!K188</f>
        <v>0</v>
      </c>
      <c r="M45">
        <f>JR_IDEES_Industry!L188</f>
        <v>0</v>
      </c>
      <c r="N45">
        <f>JR_IDEES_Industry!M188</f>
        <v>0</v>
      </c>
      <c r="O45">
        <f>JR_IDEES_Industry!N188</f>
        <v>0</v>
      </c>
      <c r="P45">
        <f>JR_IDEES_Industry!O188</f>
        <v>0</v>
      </c>
      <c r="Q45">
        <f>JR_IDEES_Industry!P188</f>
        <v>0</v>
      </c>
      <c r="R45">
        <f>JR_IDEES_Industry!Q188</f>
        <v>0</v>
      </c>
      <c r="S45">
        <f>JR_IDEES_Industry!R188</f>
        <v>0</v>
      </c>
      <c r="T45">
        <f>JR_IDEES_Industry!S188</f>
        <v>0</v>
      </c>
      <c r="U45">
        <f>JR_IDEES_Industry!T188</f>
        <v>0</v>
      </c>
      <c r="V45">
        <f>JR_IDEES_Industry!U188</f>
        <v>0</v>
      </c>
      <c r="W45">
        <f>JR_IDEES_Industry!V188</f>
        <v>0</v>
      </c>
      <c r="X45">
        <f>JR_IDEES_Industry!W188</f>
        <v>0</v>
      </c>
    </row>
    <row r="46" spans="1:24" x14ac:dyDescent="0.35">
      <c r="A46" t="str">
        <v>Other non-ferrous metals (kt lead eq.)</v>
      </c>
      <c r="B46" t="s">
        <v>305</v>
      </c>
      <c r="C46">
        <f>JR_IDEES_Industry!B189</f>
        <v>0</v>
      </c>
      <c r="D46">
        <f>JR_IDEES_Industry!C189</f>
        <v>0</v>
      </c>
      <c r="E46">
        <f>JR_IDEES_Industry!D189</f>
        <v>0</v>
      </c>
      <c r="F46">
        <f>JR_IDEES_Industry!E189</f>
        <v>0</v>
      </c>
      <c r="G46">
        <f>JR_IDEES_Industry!F189</f>
        <v>0</v>
      </c>
      <c r="H46">
        <f>JR_IDEES_Industry!G189</f>
        <v>0</v>
      </c>
      <c r="I46">
        <f>JR_IDEES_Industry!H189</f>
        <v>0</v>
      </c>
      <c r="J46">
        <f>JR_IDEES_Industry!I189</f>
        <v>0</v>
      </c>
      <c r="K46">
        <f>JR_IDEES_Industry!J189</f>
        <v>0</v>
      </c>
      <c r="L46">
        <f>JR_IDEES_Industry!K189</f>
        <v>0</v>
      </c>
      <c r="M46">
        <f>JR_IDEES_Industry!L189</f>
        <v>0</v>
      </c>
      <c r="N46">
        <f>JR_IDEES_Industry!M189</f>
        <v>0</v>
      </c>
      <c r="O46">
        <f>JR_IDEES_Industry!N189</f>
        <v>0</v>
      </c>
      <c r="P46">
        <f>JR_IDEES_Industry!O189</f>
        <v>0</v>
      </c>
      <c r="Q46">
        <f>JR_IDEES_Industry!P189</f>
        <v>0</v>
      </c>
      <c r="R46">
        <f>JR_IDEES_Industry!Q189</f>
        <v>0</v>
      </c>
      <c r="S46">
        <f>JR_IDEES_Industry!R189</f>
        <v>0</v>
      </c>
      <c r="T46">
        <f>JR_IDEES_Industry!S189</f>
        <v>0</v>
      </c>
      <c r="U46">
        <f>JR_IDEES_Industry!T189</f>
        <v>0</v>
      </c>
      <c r="V46">
        <f>JR_IDEES_Industry!U189</f>
        <v>0</v>
      </c>
      <c r="W46">
        <f>JR_IDEES_Industry!V189</f>
        <v>0</v>
      </c>
      <c r="X46">
        <f>JR_IDEES_Industry!W189</f>
        <v>0</v>
      </c>
    </row>
    <row r="47" spans="1:24" x14ac:dyDescent="0.35">
      <c r="A47" t="str">
        <v>Basic chemicals (kt ethylene eq.)</v>
      </c>
      <c r="B47" t="s">
        <v>306</v>
      </c>
      <c r="C47">
        <f>JR_IDEES_Industry!B190</f>
        <v>0</v>
      </c>
      <c r="D47">
        <f>JR_IDEES_Industry!C190</f>
        <v>0</v>
      </c>
      <c r="E47">
        <f>JR_IDEES_Industry!D190</f>
        <v>0</v>
      </c>
      <c r="F47">
        <f>JR_IDEES_Industry!E190</f>
        <v>0</v>
      </c>
      <c r="G47">
        <f>JR_IDEES_Industry!F190</f>
        <v>0</v>
      </c>
      <c r="H47">
        <f>JR_IDEES_Industry!G190</f>
        <v>0</v>
      </c>
      <c r="I47">
        <f>JR_IDEES_Industry!H190</f>
        <v>0</v>
      </c>
      <c r="J47">
        <f>JR_IDEES_Industry!I190</f>
        <v>0</v>
      </c>
      <c r="K47">
        <f>JR_IDEES_Industry!J190</f>
        <v>0</v>
      </c>
      <c r="L47">
        <f>JR_IDEES_Industry!K190</f>
        <v>0</v>
      </c>
      <c r="M47">
        <f>JR_IDEES_Industry!L190</f>
        <v>0</v>
      </c>
      <c r="N47">
        <f>JR_IDEES_Industry!M190</f>
        <v>0</v>
      </c>
      <c r="O47">
        <f>JR_IDEES_Industry!N190</f>
        <v>0</v>
      </c>
      <c r="P47">
        <f>JR_IDEES_Industry!O190</f>
        <v>0</v>
      </c>
      <c r="Q47">
        <f>JR_IDEES_Industry!P190</f>
        <v>0</v>
      </c>
      <c r="R47">
        <f>JR_IDEES_Industry!Q190</f>
        <v>0</v>
      </c>
      <c r="S47">
        <f>JR_IDEES_Industry!R190</f>
        <v>0</v>
      </c>
      <c r="T47">
        <f>JR_IDEES_Industry!S190</f>
        <v>0</v>
      </c>
      <c r="U47">
        <f>JR_IDEES_Industry!T190</f>
        <v>0</v>
      </c>
      <c r="V47">
        <f>JR_IDEES_Industry!U190</f>
        <v>0</v>
      </c>
      <c r="W47">
        <f>JR_IDEES_Industry!V190</f>
        <v>0</v>
      </c>
      <c r="X47">
        <f>JR_IDEES_Industry!W190</f>
        <v>0</v>
      </c>
    </row>
    <row r="48" spans="1:24" x14ac:dyDescent="0.35">
      <c r="A48" t="str">
        <v>Other chemicals (kt ethylene eq.)</v>
      </c>
      <c r="B48" t="s">
        <v>306</v>
      </c>
      <c r="C48">
        <f>JR_IDEES_Industry!B191</f>
        <v>408.8830505880718</v>
      </c>
      <c r="D48">
        <f>JR_IDEES_Industry!C191</f>
        <v>424.28763522168168</v>
      </c>
      <c r="E48">
        <f>JR_IDEES_Industry!D191</f>
        <v>413.71307576328871</v>
      </c>
      <c r="F48">
        <f>JR_IDEES_Industry!E191</f>
        <v>401.19071552860748</v>
      </c>
      <c r="G48">
        <f>JR_IDEES_Industry!F191</f>
        <v>387.39935215495319</v>
      </c>
      <c r="H48">
        <f>JR_IDEES_Industry!G191</f>
        <v>395.73299247482822</v>
      </c>
      <c r="I48">
        <f>JR_IDEES_Industry!H191</f>
        <v>383.05693863640698</v>
      </c>
      <c r="J48">
        <f>JR_IDEES_Industry!I191</f>
        <v>356.42601612316429</v>
      </c>
      <c r="K48">
        <f>JR_IDEES_Industry!J191</f>
        <v>401.82891698523798</v>
      </c>
      <c r="L48">
        <f>JR_IDEES_Industry!K191</f>
        <v>422.29010150532019</v>
      </c>
      <c r="M48">
        <f>JR_IDEES_Industry!L191</f>
        <v>456.12782152776481</v>
      </c>
      <c r="N48">
        <f>JR_IDEES_Industry!M191</f>
        <v>474.63387927008017</v>
      </c>
      <c r="O48">
        <f>JR_IDEES_Industry!N191</f>
        <v>496.17030926761839</v>
      </c>
      <c r="P48">
        <f>JR_IDEES_Industry!O191</f>
        <v>469.00970320619712</v>
      </c>
      <c r="Q48">
        <f>JR_IDEES_Industry!P191</f>
        <v>526.18682541679209</v>
      </c>
      <c r="R48">
        <f>JR_IDEES_Industry!Q191</f>
        <v>554.92817445053322</v>
      </c>
      <c r="S48">
        <f>JR_IDEES_Industry!R191</f>
        <v>565.8758103317499</v>
      </c>
      <c r="T48">
        <f>JR_IDEES_Industry!S191</f>
        <v>556.14668772577011</v>
      </c>
      <c r="U48">
        <f>JR_IDEES_Industry!T191</f>
        <v>514.81366324679402</v>
      </c>
      <c r="V48">
        <f>JR_IDEES_Industry!U191</f>
        <v>434.82400600542792</v>
      </c>
      <c r="W48">
        <f>JR_IDEES_Industry!V191</f>
        <v>553.65354070677188</v>
      </c>
      <c r="X48">
        <f>JR_IDEES_Industry!W191</f>
        <v>579.26097315570144</v>
      </c>
    </row>
    <row r="49" spans="1:24" x14ac:dyDescent="0.35">
      <c r="A49" t="str">
        <v>Pharmaceutical products etc. (kt ethylene eq.)</v>
      </c>
      <c r="B49" t="s">
        <v>306</v>
      </c>
      <c r="C49">
        <f>JR_IDEES_Industry!B192</f>
        <v>65.54336365858785</v>
      </c>
      <c r="D49">
        <f>JR_IDEES_Industry!C192</f>
        <v>76.908057909767223</v>
      </c>
      <c r="E49">
        <f>JR_IDEES_Industry!D192</f>
        <v>72.103413661946973</v>
      </c>
      <c r="F49">
        <f>JR_IDEES_Industry!E192</f>
        <v>80.562580466797485</v>
      </c>
      <c r="G49">
        <f>JR_IDEES_Industry!F192</f>
        <v>78.939815650125411</v>
      </c>
      <c r="H49">
        <f>JR_IDEES_Industry!G192</f>
        <v>81.754410881784651</v>
      </c>
      <c r="I49">
        <f>JR_IDEES_Industry!H192</f>
        <v>78.029799071645328</v>
      </c>
      <c r="J49">
        <f>JR_IDEES_Industry!I192</f>
        <v>71.869518216678117</v>
      </c>
      <c r="K49">
        <f>JR_IDEES_Industry!J192</f>
        <v>79.274162159159118</v>
      </c>
      <c r="L49">
        <f>JR_IDEES_Industry!K192</f>
        <v>90.795047096683732</v>
      </c>
      <c r="M49">
        <f>JR_IDEES_Industry!L192</f>
        <v>108.1559933405276</v>
      </c>
      <c r="N49">
        <f>JR_IDEES_Industry!M192</f>
        <v>126.26883435081361</v>
      </c>
      <c r="O49">
        <f>JR_IDEES_Industry!N192</f>
        <v>148.58874645353481</v>
      </c>
      <c r="P49">
        <f>JR_IDEES_Industry!O192</f>
        <v>170.9974322757609</v>
      </c>
      <c r="Q49">
        <f>JR_IDEES_Industry!P192</f>
        <v>171.3051520033946</v>
      </c>
      <c r="R49">
        <f>JR_IDEES_Industry!Q192</f>
        <v>192.2023271829589</v>
      </c>
      <c r="S49">
        <f>JR_IDEES_Industry!R192</f>
        <v>211.12393986385879</v>
      </c>
      <c r="T49">
        <f>JR_IDEES_Industry!S192</f>
        <v>227.76136033517909</v>
      </c>
      <c r="U49">
        <f>JR_IDEES_Industry!T192</f>
        <v>226.9527511139641</v>
      </c>
      <c r="V49">
        <f>JR_IDEES_Industry!U192</f>
        <v>265.89200406088258</v>
      </c>
      <c r="W49">
        <f>JR_IDEES_Industry!V192</f>
        <v>273.52837580365349</v>
      </c>
      <c r="X49">
        <f>JR_IDEES_Industry!W192</f>
        <v>310.20066088167027</v>
      </c>
    </row>
    <row r="50" spans="1:24" x14ac:dyDescent="0.35">
      <c r="A50" t="str">
        <v>Cement (kt)</v>
      </c>
      <c r="B50" t="s">
        <v>312</v>
      </c>
      <c r="C50">
        <f>JR_IDEES_Industry!B193</f>
        <v>2009</v>
      </c>
      <c r="D50">
        <f>JR_IDEES_Industry!C193</f>
        <v>2047</v>
      </c>
      <c r="E50">
        <f>JR_IDEES_Industry!D193</f>
        <v>2028</v>
      </c>
      <c r="F50">
        <f>JR_IDEES_Industry!E193</f>
        <v>1953</v>
      </c>
      <c r="G50">
        <f>JR_IDEES_Industry!F193</f>
        <v>2150</v>
      </c>
      <c r="H50">
        <f>JR_IDEES_Industry!G193</f>
        <v>2120</v>
      </c>
      <c r="I50">
        <f>JR_IDEES_Industry!H193</f>
        <v>2937</v>
      </c>
      <c r="J50">
        <f>JR_IDEES_Industry!I193</f>
        <v>2871</v>
      </c>
      <c r="K50">
        <f>JR_IDEES_Industry!J193</f>
        <v>2494</v>
      </c>
      <c r="L50">
        <f>JR_IDEES_Industry!K193</f>
        <v>1575</v>
      </c>
      <c r="M50">
        <f>JR_IDEES_Industry!L193</f>
        <v>1553</v>
      </c>
      <c r="N50">
        <f>JR_IDEES_Industry!M193</f>
        <v>1811</v>
      </c>
      <c r="O50">
        <f>JR_IDEES_Industry!N193</f>
        <v>1798</v>
      </c>
      <c r="P50">
        <f>JR_IDEES_Industry!O193</f>
        <v>1830</v>
      </c>
      <c r="Q50">
        <f>JR_IDEES_Industry!P193</f>
        <v>1876.095</v>
      </c>
      <c r="R50">
        <f>JR_IDEES_Industry!Q193</f>
        <v>2027.8430000000001</v>
      </c>
      <c r="S50">
        <f>JR_IDEES_Industry!R193</f>
        <v>2259.902</v>
      </c>
      <c r="T50">
        <f>JR_IDEES_Industry!S193</f>
        <v>2359.1309999999999</v>
      </c>
      <c r="U50">
        <f>JR_IDEES_Industry!T193</f>
        <v>2372.2460000000001</v>
      </c>
      <c r="V50">
        <f>JR_IDEES_Industry!U193</f>
        <v>2440.6</v>
      </c>
      <c r="W50">
        <f>JR_IDEES_Industry!V193</f>
        <v>2497.6799999999998</v>
      </c>
      <c r="X50">
        <f>JR_IDEES_Industry!W193</f>
        <v>2509.2269999999999</v>
      </c>
    </row>
    <row r="51" spans="1:24" x14ac:dyDescent="0.35">
      <c r="A51" t="str">
        <v>Ceramics &amp; other NMM (kt bricks eq.)</v>
      </c>
      <c r="B51" t="s">
        <v>307</v>
      </c>
      <c r="C51">
        <f>JR_IDEES_Industry!B194</f>
        <v>8505.582800000002</v>
      </c>
      <c r="D51">
        <f>JR_IDEES_Industry!C194</f>
        <v>6883.4972000000016</v>
      </c>
      <c r="E51">
        <f>JR_IDEES_Industry!D194</f>
        <v>6824.1536000000006</v>
      </c>
      <c r="F51">
        <f>JR_IDEES_Industry!E194</f>
        <v>7353.2488500000009</v>
      </c>
      <c r="G51">
        <f>JR_IDEES_Industry!F194</f>
        <v>7502.4808000000012</v>
      </c>
      <c r="H51">
        <f>JR_IDEES_Industry!G194</f>
        <v>8539.7485499999984</v>
      </c>
      <c r="I51">
        <f>JR_IDEES_Industry!H194</f>
        <v>7024.979699999999</v>
      </c>
      <c r="J51">
        <f>JR_IDEES_Industry!I194</f>
        <v>8298.4394999999986</v>
      </c>
      <c r="K51">
        <f>JR_IDEES_Industry!J194</f>
        <v>4530.8782500000007</v>
      </c>
      <c r="L51">
        <f>JR_IDEES_Industry!K194</f>
        <v>4487.0479999999998</v>
      </c>
      <c r="M51">
        <f>JR_IDEES_Industry!L194</f>
        <v>4601.6279999999997</v>
      </c>
      <c r="N51">
        <f>JR_IDEES_Industry!M194</f>
        <v>5237.1211499999999</v>
      </c>
      <c r="O51">
        <f>JR_IDEES_Industry!N194</f>
        <v>5105.7035000000014</v>
      </c>
      <c r="P51">
        <f>JR_IDEES_Industry!O194</f>
        <v>4499.5191999999997</v>
      </c>
      <c r="Q51">
        <f>JR_IDEES_Industry!P194</f>
        <v>4326.1753849999996</v>
      </c>
      <c r="R51">
        <f>JR_IDEES_Industry!Q194</f>
        <v>4468.1984000000002</v>
      </c>
      <c r="S51">
        <f>JR_IDEES_Industry!R194</f>
        <v>5345.6364000000003</v>
      </c>
      <c r="T51">
        <f>JR_IDEES_Industry!S194</f>
        <v>6481.7464</v>
      </c>
      <c r="U51">
        <f>JR_IDEES_Industry!T194</f>
        <v>7168.1588000000011</v>
      </c>
      <c r="V51">
        <f>JR_IDEES_Industry!U194</f>
        <v>7209.5368000000008</v>
      </c>
      <c r="W51">
        <f>JR_IDEES_Industry!V194</f>
        <v>8800.585500000001</v>
      </c>
      <c r="X51">
        <f>JR_IDEES_Industry!W194</f>
        <v>8938.5708316334385</v>
      </c>
    </row>
    <row r="52" spans="1:24" x14ac:dyDescent="0.35">
      <c r="A52" t="str">
        <v>Glass production  (kt)</v>
      </c>
      <c r="B52" t="s">
        <v>309</v>
      </c>
      <c r="C52">
        <f>JR_IDEES_Industry!B195</f>
        <v>222.989</v>
      </c>
      <c r="D52">
        <f>JR_IDEES_Industry!C195</f>
        <v>228.911</v>
      </c>
      <c r="E52">
        <f>JR_IDEES_Industry!D195</f>
        <v>219.11199999999999</v>
      </c>
      <c r="F52">
        <f>JR_IDEES_Industry!E195</f>
        <v>209.80199999999999</v>
      </c>
      <c r="G52">
        <f>JR_IDEES_Industry!F195</f>
        <v>214.68700000000001</v>
      </c>
      <c r="H52">
        <f>JR_IDEES_Industry!G195</f>
        <v>205.51900000000001</v>
      </c>
      <c r="I52">
        <f>JR_IDEES_Industry!H195</f>
        <v>278.81299999999999</v>
      </c>
      <c r="J52">
        <f>JR_IDEES_Industry!I195</f>
        <v>308.15300000000002</v>
      </c>
      <c r="K52">
        <f>JR_IDEES_Industry!J195</f>
        <v>276.13900000000001</v>
      </c>
      <c r="L52">
        <f>JR_IDEES_Industry!K195</f>
        <v>185.15299999999999</v>
      </c>
      <c r="M52">
        <f>JR_IDEES_Industry!L195</f>
        <v>197.839</v>
      </c>
      <c r="N52">
        <f>JR_IDEES_Industry!M195</f>
        <v>216.27</v>
      </c>
      <c r="O52">
        <f>JR_IDEES_Industry!N195</f>
        <v>236.31200000000001</v>
      </c>
      <c r="P52">
        <f>JR_IDEES_Industry!O195</f>
        <v>267.822</v>
      </c>
      <c r="Q52">
        <f>JR_IDEES_Industry!P195</f>
        <v>271.67899999999997</v>
      </c>
      <c r="R52">
        <f>JR_IDEES_Industry!Q195</f>
        <v>228.649</v>
      </c>
      <c r="S52">
        <f>JR_IDEES_Industry!R195</f>
        <v>232.65805</v>
      </c>
      <c r="T52">
        <f>JR_IDEES_Industry!S195</f>
        <v>222.78782000000001</v>
      </c>
      <c r="U52">
        <f>JR_IDEES_Industry!T195</f>
        <v>234.66200000000001</v>
      </c>
      <c r="V52">
        <f>JR_IDEES_Industry!U195</f>
        <v>202.61799999999999</v>
      </c>
      <c r="W52">
        <f>JR_IDEES_Industry!V195</f>
        <v>182.5</v>
      </c>
      <c r="X52">
        <f>JR_IDEES_Industry!W195</f>
        <v>182.40794857730111</v>
      </c>
    </row>
    <row r="53" spans="1:24" x14ac:dyDescent="0.35">
      <c r="A53" t="str">
        <v>Pulp production (kt)</v>
      </c>
      <c r="B53" t="s">
        <v>310</v>
      </c>
      <c r="C53">
        <f>JR_IDEES_Industry!B196</f>
        <v>0</v>
      </c>
      <c r="D53">
        <f>JR_IDEES_Industry!C196</f>
        <v>0</v>
      </c>
      <c r="E53">
        <f>JR_IDEES_Industry!D196</f>
        <v>0</v>
      </c>
      <c r="F53">
        <f>JR_IDEES_Industry!E196</f>
        <v>0</v>
      </c>
      <c r="G53">
        <f>JR_IDEES_Industry!F196</f>
        <v>0</v>
      </c>
      <c r="H53">
        <f>JR_IDEES_Industry!G196</f>
        <v>0</v>
      </c>
      <c r="I53">
        <f>JR_IDEES_Industry!H196</f>
        <v>0</v>
      </c>
      <c r="J53">
        <f>JR_IDEES_Industry!I196</f>
        <v>0</v>
      </c>
      <c r="K53">
        <f>JR_IDEES_Industry!J196</f>
        <v>5</v>
      </c>
      <c r="L53">
        <f>JR_IDEES_Industry!K196</f>
        <v>5</v>
      </c>
      <c r="M53">
        <f>JR_IDEES_Industry!L196</f>
        <v>7</v>
      </c>
      <c r="N53">
        <f>JR_IDEES_Industry!M196</f>
        <v>4.83</v>
      </c>
      <c r="O53">
        <f>JR_IDEES_Industry!N196</f>
        <v>7.2554293461886106</v>
      </c>
      <c r="P53">
        <f>JR_IDEES_Industry!O196</f>
        <v>4.83</v>
      </c>
      <c r="Q53">
        <f>JR_IDEES_Industry!P196</f>
        <v>4.83</v>
      </c>
      <c r="R53">
        <f>JR_IDEES_Industry!Q196</f>
        <v>4.83</v>
      </c>
      <c r="S53">
        <f>JR_IDEES_Industry!R196</f>
        <v>4.83</v>
      </c>
      <c r="T53">
        <f>JR_IDEES_Industry!S196</f>
        <v>4.83</v>
      </c>
      <c r="U53">
        <f>JR_IDEES_Industry!T196</f>
        <v>4.83</v>
      </c>
      <c r="V53">
        <f>JR_IDEES_Industry!U196</f>
        <v>4.83</v>
      </c>
      <c r="W53">
        <f>JR_IDEES_Industry!V196</f>
        <v>4.83</v>
      </c>
      <c r="X53">
        <f>JR_IDEES_Industry!W196</f>
        <v>4.83</v>
      </c>
    </row>
    <row r="54" spans="1:24" x14ac:dyDescent="0.35">
      <c r="A54" t="str">
        <v>Paper production  (kt)</v>
      </c>
      <c r="B54" t="s">
        <v>311</v>
      </c>
      <c r="C54">
        <f>JR_IDEES_Industry!B197</f>
        <v>263</v>
      </c>
      <c r="D54">
        <f>JR_IDEES_Industry!C197</f>
        <v>389</v>
      </c>
      <c r="E54">
        <f>JR_IDEES_Industry!D197</f>
        <v>383.83</v>
      </c>
      <c r="F54">
        <f>JR_IDEES_Industry!E197</f>
        <v>388</v>
      </c>
      <c r="G54">
        <f>JR_IDEES_Industry!F197</f>
        <v>402</v>
      </c>
      <c r="H54">
        <f>JR_IDEES_Industry!G197</f>
        <v>423</v>
      </c>
      <c r="I54">
        <f>JR_IDEES_Industry!H197</f>
        <v>441.92</v>
      </c>
      <c r="J54">
        <f>JR_IDEES_Industry!I197</f>
        <v>416.94</v>
      </c>
      <c r="K54">
        <f>JR_IDEES_Industry!J197</f>
        <v>417.94</v>
      </c>
      <c r="L54">
        <f>JR_IDEES_Industry!K197</f>
        <v>418.94</v>
      </c>
      <c r="M54">
        <f>JR_IDEES_Industry!L197</f>
        <v>434.93</v>
      </c>
      <c r="N54">
        <f>JR_IDEES_Industry!M197</f>
        <v>422.7</v>
      </c>
      <c r="O54">
        <f>JR_IDEES_Industry!N197</f>
        <v>337.77894658302392</v>
      </c>
      <c r="P54">
        <f>JR_IDEES_Industry!O197</f>
        <v>385.21600000000001</v>
      </c>
      <c r="Q54">
        <f>JR_IDEES_Industry!P197</f>
        <v>418.16800000000012</v>
      </c>
      <c r="R54">
        <f>JR_IDEES_Industry!Q197</f>
        <v>385.21600000000001</v>
      </c>
      <c r="S54">
        <f>JR_IDEES_Industry!R197</f>
        <v>288.91199999999998</v>
      </c>
      <c r="T54">
        <f>JR_IDEES_Industry!S197</f>
        <v>288.91199999999998</v>
      </c>
      <c r="U54">
        <f>JR_IDEES_Industry!T197</f>
        <v>298.73893877551018</v>
      </c>
      <c r="V54">
        <f>JR_IDEES_Industry!U197</f>
        <v>298.73893877551018</v>
      </c>
      <c r="W54">
        <f>JR_IDEES_Industry!V197</f>
        <v>298.73893877551018</v>
      </c>
      <c r="X54">
        <f>JR_IDEES_Industry!W197</f>
        <v>298.73893877551018</v>
      </c>
    </row>
    <row r="55" spans="1:24" x14ac:dyDescent="0.35">
      <c r="A55" t="str">
        <v>Printing and media reproduction (kt paper eq.)</v>
      </c>
      <c r="B55" t="s">
        <v>308</v>
      </c>
      <c r="C55">
        <f>JR_IDEES_Industry!B198</f>
        <v>74.258823529411757</v>
      </c>
      <c r="D55">
        <f>JR_IDEES_Industry!C198</f>
        <v>73.705263157894734</v>
      </c>
      <c r="E55">
        <f>JR_IDEES_Industry!D198</f>
        <v>72.725684210526296</v>
      </c>
      <c r="F55">
        <f>JR_IDEES_Industry!E198</f>
        <v>73.515789473684194</v>
      </c>
      <c r="G55">
        <f>JR_IDEES_Industry!F198</f>
        <v>72.046753246753241</v>
      </c>
      <c r="H55">
        <f>JR_IDEES_Industry!G198</f>
        <v>71.584615384615375</v>
      </c>
      <c r="I55">
        <f>JR_IDEES_Industry!H198</f>
        <v>74.786461538461523</v>
      </c>
      <c r="J55">
        <f>JR_IDEES_Industry!I198</f>
        <v>70.559076923076915</v>
      </c>
      <c r="K55">
        <f>JR_IDEES_Industry!J198</f>
        <v>71.57446153846152</v>
      </c>
      <c r="L55">
        <f>JR_IDEES_Industry!K198</f>
        <v>71.743692307692285</v>
      </c>
      <c r="M55">
        <f>JR_IDEES_Industry!L198</f>
        <v>74.788153846153818</v>
      </c>
      <c r="N55">
        <f>JR_IDEES_Industry!M198</f>
        <v>81.005684210526312</v>
      </c>
      <c r="O55">
        <f>JR_IDEES_Industry!N198</f>
        <v>61.837329711988758</v>
      </c>
      <c r="P55">
        <f>JR_IDEES_Industry!O198</f>
        <v>51.371912195121972</v>
      </c>
      <c r="Q55">
        <f>JR_IDEES_Industry!P198</f>
        <v>51.982886746987973</v>
      </c>
      <c r="R55">
        <f>JR_IDEES_Industry!Q198</f>
        <v>51.371912195121972</v>
      </c>
      <c r="S55">
        <f>JR_IDEES_Industry!R198</f>
        <v>49.710184615384613</v>
      </c>
      <c r="T55">
        <f>JR_IDEES_Industry!S198</f>
        <v>44.061299999999981</v>
      </c>
      <c r="U55">
        <f>JR_IDEES_Industry!T198</f>
        <v>45.535340816326503</v>
      </c>
      <c r="V55">
        <f>JR_IDEES_Industry!U198</f>
        <v>42.72451730914586</v>
      </c>
      <c r="W55">
        <f>JR_IDEES_Industry!V198</f>
        <v>39.982250472872082</v>
      </c>
      <c r="X55">
        <f>JR_IDEES_Industry!W198</f>
        <v>39.982250472872089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D329B-C1B1-4E54-9600-BE73ED3BA379}">
  <dimension ref="A1:A35"/>
  <sheetViews>
    <sheetView zoomScale="160" zoomScaleNormal="160" workbookViewId="0">
      <selection activeCell="R26" sqref="R26"/>
    </sheetView>
  </sheetViews>
  <sheetFormatPr defaultColWidth="10.90625" defaultRowHeight="14.5" x14ac:dyDescent="0.35"/>
  <sheetData>
    <row r="1" spans="1:1" ht="21" x14ac:dyDescent="0.5">
      <c r="A1" s="87" t="s">
        <v>257</v>
      </c>
    </row>
    <row r="35" spans="1:1" ht="21" x14ac:dyDescent="0.5">
      <c r="A35" s="87" t="s">
        <v>258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E37EC-A88C-4C80-8325-B477CE61286E}">
  <dimension ref="A1:DA198"/>
  <sheetViews>
    <sheetView topLeftCell="A154" workbookViewId="0">
      <selection activeCell="A26" sqref="A26"/>
    </sheetView>
  </sheetViews>
  <sheetFormatPr defaultColWidth="10.90625" defaultRowHeight="14.5" x14ac:dyDescent="0.35"/>
  <cols>
    <col min="1" max="1" width="29.26953125" bestFit="1" customWidth="1"/>
  </cols>
  <sheetData>
    <row r="1" spans="1:23" x14ac:dyDescent="0.35">
      <c r="A1" s="2" t="s">
        <v>0</v>
      </c>
      <c r="B1" s="3">
        <v>2000</v>
      </c>
      <c r="C1" s="3">
        <v>2001</v>
      </c>
      <c r="D1" s="3">
        <v>2002</v>
      </c>
      <c r="E1" s="3">
        <v>2003</v>
      </c>
      <c r="F1" s="3">
        <v>2004</v>
      </c>
      <c r="G1" s="3">
        <v>2005</v>
      </c>
      <c r="H1" s="3">
        <v>2006</v>
      </c>
      <c r="I1" s="3">
        <v>2007</v>
      </c>
      <c r="J1" s="3">
        <v>2008</v>
      </c>
      <c r="K1" s="3">
        <v>2009</v>
      </c>
      <c r="L1" s="3">
        <v>2010</v>
      </c>
      <c r="M1" s="3">
        <v>2011</v>
      </c>
      <c r="N1" s="3">
        <v>2012</v>
      </c>
      <c r="O1" s="3">
        <v>2013</v>
      </c>
      <c r="P1" s="3">
        <v>2014</v>
      </c>
      <c r="Q1" s="3">
        <v>2015</v>
      </c>
      <c r="R1" s="3">
        <v>2016</v>
      </c>
      <c r="S1" s="3">
        <v>2017</v>
      </c>
      <c r="T1" s="3">
        <v>2018</v>
      </c>
      <c r="U1" s="3">
        <v>2019</v>
      </c>
      <c r="V1" s="3">
        <v>2020</v>
      </c>
      <c r="W1" s="3">
        <v>2021</v>
      </c>
    </row>
    <row r="3" spans="1:23" x14ac:dyDescent="0.35">
      <c r="A3" s="23" t="s">
        <v>1</v>
      </c>
      <c r="B3" s="25">
        <v>50970.222113741765</v>
      </c>
      <c r="C3" s="25">
        <v>49353.788750843487</v>
      </c>
      <c r="D3" s="25">
        <v>49168.279278581933</v>
      </c>
      <c r="E3" s="25">
        <v>48066.40426612494</v>
      </c>
      <c r="F3" s="25">
        <v>49112.293892135334</v>
      </c>
      <c r="G3" s="25">
        <v>50617.944219251018</v>
      </c>
      <c r="H3" s="25">
        <v>53916.62316708584</v>
      </c>
      <c r="I3" s="25">
        <v>53444.107367376841</v>
      </c>
      <c r="J3" s="25">
        <v>53742.917612822144</v>
      </c>
      <c r="K3" s="25">
        <v>44670.089662043072</v>
      </c>
      <c r="L3" s="25">
        <v>44215.450470973417</v>
      </c>
      <c r="M3" s="25">
        <v>46777.70389369136</v>
      </c>
      <c r="N3" s="25">
        <v>47136.959789165936</v>
      </c>
      <c r="O3" s="25">
        <v>47166.58165867591</v>
      </c>
      <c r="P3" s="25">
        <v>47087.347398483544</v>
      </c>
      <c r="Q3" s="25">
        <v>47424.4</v>
      </c>
      <c r="R3" s="25">
        <v>51159.942291428291</v>
      </c>
      <c r="S3" s="25">
        <v>53356.015081889942</v>
      </c>
      <c r="T3" s="25">
        <v>55266.913990041976</v>
      </c>
      <c r="U3" s="25">
        <v>55551.311359975298</v>
      </c>
      <c r="V3" s="25">
        <v>51744.582317955617</v>
      </c>
      <c r="W3" s="25">
        <v>54500.416209117022</v>
      </c>
    </row>
    <row r="4" spans="1:23" x14ac:dyDescent="0.35">
      <c r="A4" s="5" t="s">
        <v>2</v>
      </c>
      <c r="B4" s="26">
        <v>698.88536327394036</v>
      </c>
      <c r="C4" s="26">
        <v>633.64162002672708</v>
      </c>
      <c r="D4" s="26">
        <v>534.35508424284649</v>
      </c>
      <c r="E4" s="26">
        <v>452.6409344845099</v>
      </c>
      <c r="F4" s="26">
        <v>464.8825696951651</v>
      </c>
      <c r="G4" s="26">
        <v>425.55508500211749</v>
      </c>
      <c r="H4" s="26">
        <v>486.99757984150341</v>
      </c>
      <c r="I4" s="26">
        <v>555.29281487548019</v>
      </c>
      <c r="J4" s="26">
        <v>497.03476708040301</v>
      </c>
      <c r="K4" s="26">
        <v>272.16097566315972</v>
      </c>
      <c r="L4" s="26">
        <v>249.7377594592017</v>
      </c>
      <c r="M4" s="26">
        <v>308.41328646971277</v>
      </c>
      <c r="N4" s="26">
        <v>301.32388972389788</v>
      </c>
      <c r="O4" s="26">
        <v>308.06895848209729</v>
      </c>
      <c r="P4" s="26">
        <v>329.13658212827579</v>
      </c>
      <c r="Q4" s="26">
        <v>403.39999999999992</v>
      </c>
      <c r="R4" s="26">
        <v>398.68663250584552</v>
      </c>
      <c r="S4" s="26">
        <v>401.98735320686552</v>
      </c>
      <c r="T4" s="26">
        <v>379.38104071072928</v>
      </c>
      <c r="U4" s="26">
        <v>439.7565375080784</v>
      </c>
      <c r="V4" s="26">
        <v>343.6878518808997</v>
      </c>
      <c r="W4" s="26">
        <v>346.93739741942562</v>
      </c>
    </row>
    <row r="5" spans="1:23" x14ac:dyDescent="0.35">
      <c r="A5" s="6" t="s">
        <v>3</v>
      </c>
      <c r="B5" s="27">
        <v>0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</row>
    <row r="6" spans="1:23" x14ac:dyDescent="0.35">
      <c r="A6" s="7" t="s">
        <v>4</v>
      </c>
      <c r="B6" s="26">
        <v>0</v>
      </c>
      <c r="C6" s="26">
        <v>0</v>
      </c>
      <c r="D6" s="26">
        <v>0</v>
      </c>
      <c r="E6" s="26">
        <v>0</v>
      </c>
      <c r="F6" s="26">
        <v>0</v>
      </c>
      <c r="G6" s="26">
        <v>0</v>
      </c>
      <c r="H6" s="26">
        <v>0</v>
      </c>
      <c r="I6" s="26">
        <v>0</v>
      </c>
      <c r="J6" s="26">
        <v>0</v>
      </c>
      <c r="K6" s="26">
        <v>0</v>
      </c>
      <c r="L6" s="26">
        <v>0</v>
      </c>
      <c r="M6" s="26">
        <v>0</v>
      </c>
      <c r="N6" s="26">
        <v>0</v>
      </c>
      <c r="O6" s="26">
        <v>0</v>
      </c>
      <c r="P6" s="26">
        <v>0</v>
      </c>
      <c r="Q6" s="26">
        <v>0</v>
      </c>
      <c r="R6" s="26">
        <v>0</v>
      </c>
      <c r="S6" s="26">
        <v>0</v>
      </c>
      <c r="T6" s="26">
        <v>0</v>
      </c>
      <c r="U6" s="26">
        <v>0</v>
      </c>
      <c r="V6" s="26">
        <v>0</v>
      </c>
      <c r="W6" s="26">
        <v>0</v>
      </c>
    </row>
    <row r="7" spans="1:23" x14ac:dyDescent="0.35">
      <c r="A7" s="7" t="s">
        <v>5</v>
      </c>
      <c r="B7" s="26">
        <v>0</v>
      </c>
      <c r="C7" s="26">
        <v>0</v>
      </c>
      <c r="D7" s="26">
        <v>0</v>
      </c>
      <c r="E7" s="26">
        <v>0</v>
      </c>
      <c r="F7" s="26">
        <v>0</v>
      </c>
      <c r="G7" s="26">
        <v>0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0</v>
      </c>
      <c r="N7" s="26">
        <v>0</v>
      </c>
      <c r="O7" s="26">
        <v>0</v>
      </c>
      <c r="P7" s="26">
        <v>0</v>
      </c>
      <c r="Q7" s="26">
        <v>0</v>
      </c>
      <c r="R7" s="26">
        <v>0</v>
      </c>
      <c r="S7" s="26">
        <v>0</v>
      </c>
      <c r="T7" s="26">
        <v>0</v>
      </c>
      <c r="U7" s="26">
        <v>0</v>
      </c>
      <c r="V7" s="26">
        <v>0</v>
      </c>
      <c r="W7" s="26">
        <v>0</v>
      </c>
    </row>
    <row r="8" spans="1:23" x14ac:dyDescent="0.35">
      <c r="A8" s="7" t="s">
        <v>6</v>
      </c>
      <c r="B8" s="26">
        <v>0</v>
      </c>
      <c r="C8" s="26">
        <v>0</v>
      </c>
      <c r="D8" s="26">
        <v>0</v>
      </c>
      <c r="E8" s="26">
        <v>0</v>
      </c>
      <c r="F8" s="26">
        <v>0</v>
      </c>
      <c r="G8" s="26">
        <v>0</v>
      </c>
      <c r="H8" s="26">
        <v>0</v>
      </c>
      <c r="I8" s="26">
        <v>0</v>
      </c>
      <c r="J8" s="26">
        <v>0</v>
      </c>
      <c r="K8" s="26">
        <v>0</v>
      </c>
      <c r="L8" s="26">
        <v>0</v>
      </c>
      <c r="M8" s="26">
        <v>0</v>
      </c>
      <c r="N8" s="26">
        <v>0</v>
      </c>
      <c r="O8" s="26">
        <v>0</v>
      </c>
      <c r="P8" s="26">
        <v>0</v>
      </c>
      <c r="Q8" s="26">
        <v>0</v>
      </c>
      <c r="R8" s="26">
        <v>0</v>
      </c>
      <c r="S8" s="26">
        <v>0</v>
      </c>
      <c r="T8" s="26">
        <v>0</v>
      </c>
      <c r="U8" s="26">
        <v>0</v>
      </c>
      <c r="V8" s="26">
        <v>0</v>
      </c>
      <c r="W8" s="26">
        <v>0</v>
      </c>
    </row>
    <row r="9" spans="1:23" x14ac:dyDescent="0.35">
      <c r="A9" s="6" t="s">
        <v>7</v>
      </c>
      <c r="B9" s="27">
        <v>4809.209991050363</v>
      </c>
      <c r="C9" s="27">
        <v>5172.0716071924753</v>
      </c>
      <c r="D9" s="27">
        <v>4619.1655700905649</v>
      </c>
      <c r="E9" s="27">
        <v>5130.3961401726756</v>
      </c>
      <c r="F9" s="27">
        <v>5002.4193248222728</v>
      </c>
      <c r="G9" s="27">
        <v>5148.2848327182528</v>
      </c>
      <c r="H9" s="27">
        <v>4901.651402268305</v>
      </c>
      <c r="I9" s="27">
        <v>4560.1144267703276</v>
      </c>
      <c r="J9" s="27">
        <v>4916.6648294715487</v>
      </c>
      <c r="K9" s="27">
        <v>5407.0919501220678</v>
      </c>
      <c r="L9" s="27">
        <v>6583.7739327604659</v>
      </c>
      <c r="M9" s="27">
        <v>6859.187486146734</v>
      </c>
      <c r="N9" s="27">
        <v>8169.7173093948813</v>
      </c>
      <c r="O9" s="27">
        <v>8587.0651841273084</v>
      </c>
      <c r="P9" s="27">
        <v>9084.893706884417</v>
      </c>
      <c r="Q9" s="27">
        <v>10491.7</v>
      </c>
      <c r="R9" s="27">
        <v>11430.277100641761</v>
      </c>
      <c r="S9" s="27">
        <v>12315.20757236558</v>
      </c>
      <c r="T9" s="27">
        <v>13700.673630772235</v>
      </c>
      <c r="U9" s="27">
        <v>13795.371897637717</v>
      </c>
      <c r="V9" s="27">
        <v>14008.477820415867</v>
      </c>
      <c r="W9" s="27">
        <v>15590.816159021757</v>
      </c>
    </row>
    <row r="10" spans="1:23" x14ac:dyDescent="0.35">
      <c r="A10" s="7" t="s">
        <v>8</v>
      </c>
      <c r="B10" s="26">
        <v>0</v>
      </c>
      <c r="C10" s="26">
        <v>0</v>
      </c>
      <c r="D10" s="26">
        <v>0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P10" s="26">
        <v>0</v>
      </c>
      <c r="Q10" s="26">
        <v>0</v>
      </c>
      <c r="R10" s="26">
        <v>0</v>
      </c>
      <c r="S10" s="26">
        <v>0</v>
      </c>
      <c r="T10" s="26">
        <v>0</v>
      </c>
      <c r="U10" s="26">
        <v>0</v>
      </c>
      <c r="V10" s="26">
        <v>0</v>
      </c>
      <c r="W10" s="26">
        <v>0</v>
      </c>
    </row>
    <row r="11" spans="1:23" x14ac:dyDescent="0.35">
      <c r="A11" s="7" t="s">
        <v>9</v>
      </c>
      <c r="B11" s="26">
        <v>1679.0063189867931</v>
      </c>
      <c r="C11" s="26">
        <v>1666.468198838302</v>
      </c>
      <c r="D11" s="26">
        <v>1511.2108780349361</v>
      </c>
      <c r="E11" s="26">
        <v>1554.21533773489</v>
      </c>
      <c r="F11" s="26">
        <v>1507.673602064491</v>
      </c>
      <c r="G11" s="26">
        <v>1539.1130739911671</v>
      </c>
      <c r="H11" s="26">
        <v>1482.465714421297</v>
      </c>
      <c r="I11" s="26">
        <v>1394.1148650986811</v>
      </c>
      <c r="J11" s="26">
        <v>1518.22130117507</v>
      </c>
      <c r="K11" s="26">
        <v>1624.7550441741571</v>
      </c>
      <c r="L11" s="26">
        <v>1712.986999226523</v>
      </c>
      <c r="M11" s="26">
        <v>1655.32018196595</v>
      </c>
      <c r="N11" s="26">
        <v>1997.776359406206</v>
      </c>
      <c r="O11" s="26">
        <v>1921.248597368153</v>
      </c>
      <c r="P11" s="26">
        <v>2116.2084431125681</v>
      </c>
      <c r="Q11" s="26">
        <v>2416.1999999999998</v>
      </c>
      <c r="R11" s="26">
        <v>2534.6997661807868</v>
      </c>
      <c r="S11" s="26">
        <v>2627.7443933859631</v>
      </c>
      <c r="T11" s="26">
        <v>2630.0888411598162</v>
      </c>
      <c r="U11" s="26">
        <v>2744.7405735451571</v>
      </c>
      <c r="V11" s="26">
        <v>2701.1381567276362</v>
      </c>
      <c r="W11" s="26">
        <v>2877.5320176593568</v>
      </c>
    </row>
    <row r="12" spans="1:23" x14ac:dyDescent="0.35">
      <c r="A12" s="7" t="s">
        <v>10</v>
      </c>
      <c r="B12" s="26">
        <v>3130.2036720635701</v>
      </c>
      <c r="C12" s="26">
        <v>3505.6034083541731</v>
      </c>
      <c r="D12" s="26">
        <v>3107.954692055629</v>
      </c>
      <c r="E12" s="26">
        <v>3576.180802437786</v>
      </c>
      <c r="F12" s="26">
        <v>3494.745722757782</v>
      </c>
      <c r="G12" s="26">
        <v>3609.1717587270859</v>
      </c>
      <c r="H12" s="26">
        <v>3419.185687847008</v>
      </c>
      <c r="I12" s="26">
        <v>3165.999561671646</v>
      </c>
      <c r="J12" s="26">
        <v>3398.4435282964791</v>
      </c>
      <c r="K12" s="26">
        <v>3782.336905947911</v>
      </c>
      <c r="L12" s="26">
        <v>4870.7869335339428</v>
      </c>
      <c r="M12" s="26">
        <v>5203.8673041807842</v>
      </c>
      <c r="N12" s="26">
        <v>6171.9409499886751</v>
      </c>
      <c r="O12" s="26">
        <v>6665.8165867591551</v>
      </c>
      <c r="P12" s="26">
        <v>6968.6852637718484</v>
      </c>
      <c r="Q12" s="26">
        <v>8075.5</v>
      </c>
      <c r="R12" s="26">
        <v>8895.5773344609734</v>
      </c>
      <c r="S12" s="26">
        <v>9687.4631789796167</v>
      </c>
      <c r="T12" s="26">
        <v>11070.58478961242</v>
      </c>
      <c r="U12" s="26">
        <v>11050.631324092559</v>
      </c>
      <c r="V12" s="26">
        <v>11307.33966368823</v>
      </c>
      <c r="W12" s="26">
        <v>12713.284141362399</v>
      </c>
    </row>
    <row r="13" spans="1:23" x14ac:dyDescent="0.35">
      <c r="A13" s="6" t="s">
        <v>11</v>
      </c>
      <c r="B13" s="27">
        <v>1608.2228188647518</v>
      </c>
      <c r="C13" s="27">
        <v>1353.5505894494509</v>
      </c>
      <c r="D13" s="27">
        <v>1401.8112857032286</v>
      </c>
      <c r="E13" s="27">
        <v>1326.180802437786</v>
      </c>
      <c r="F13" s="27">
        <v>1290.5547077579686</v>
      </c>
      <c r="G13" s="27">
        <v>1342.0049609776756</v>
      </c>
      <c r="H13" s="27">
        <v>1453.9932615194803</v>
      </c>
      <c r="I13" s="27">
        <v>1542.4544080836977</v>
      </c>
      <c r="J13" s="27">
        <v>1418.571838003483</v>
      </c>
      <c r="K13" s="27">
        <v>1049.8888803739749</v>
      </c>
      <c r="L13" s="27">
        <v>849.97721950857726</v>
      </c>
      <c r="M13" s="27">
        <v>1032.4773334177723</v>
      </c>
      <c r="N13" s="27">
        <v>994.15264880891107</v>
      </c>
      <c r="O13" s="27">
        <v>982.45435070896667</v>
      </c>
      <c r="P13" s="27">
        <v>1065.6463063896545</v>
      </c>
      <c r="Q13" s="27">
        <v>1090.1000000000001</v>
      </c>
      <c r="R13" s="27">
        <v>1258.9423411770561</v>
      </c>
      <c r="S13" s="27">
        <v>1343.6235811633478</v>
      </c>
      <c r="T13" s="27">
        <v>1383.1885189885777</v>
      </c>
      <c r="U13" s="27">
        <v>1413.7029641847769</v>
      </c>
      <c r="V13" s="27">
        <v>1412.7522104889686</v>
      </c>
      <c r="W13" s="27">
        <v>1516.0922547080486</v>
      </c>
    </row>
    <row r="14" spans="1:23" x14ac:dyDescent="0.35">
      <c r="A14" s="7" t="s">
        <v>12</v>
      </c>
      <c r="B14" s="26">
        <v>598.04024875741197</v>
      </c>
      <c r="C14" s="26">
        <v>565.4905280232532</v>
      </c>
      <c r="D14" s="26">
        <v>587.50360601473733</v>
      </c>
      <c r="E14" s="26">
        <v>525.98838132151889</v>
      </c>
      <c r="F14" s="26">
        <v>535.36590025874807</v>
      </c>
      <c r="G14" s="26">
        <v>518.52305302822447</v>
      </c>
      <c r="H14" s="26">
        <v>718.01213499355902</v>
      </c>
      <c r="I14" s="26">
        <v>694.02837489693809</v>
      </c>
      <c r="J14" s="26">
        <v>761.32426814967585</v>
      </c>
      <c r="K14" s="26">
        <v>506.08601396262247</v>
      </c>
      <c r="L14" s="26">
        <v>396.99926823458088</v>
      </c>
      <c r="M14" s="26">
        <v>499.52798596009762</v>
      </c>
      <c r="N14" s="26">
        <v>512.52609592186627</v>
      </c>
      <c r="O14" s="26">
        <v>497.43687980790128</v>
      </c>
      <c r="P14" s="26">
        <v>541.15644451467745</v>
      </c>
      <c r="Q14" s="26">
        <v>591.69578892643142</v>
      </c>
      <c r="R14" s="26">
        <v>701.60448339927791</v>
      </c>
      <c r="S14" s="26">
        <v>779.37259030356745</v>
      </c>
      <c r="T14" s="26">
        <v>820.90226150268336</v>
      </c>
      <c r="U14" s="26">
        <v>864.29984535631638</v>
      </c>
      <c r="V14" s="26">
        <v>854.68344301182651</v>
      </c>
      <c r="W14" s="26">
        <v>902.71983084155215</v>
      </c>
    </row>
    <row r="15" spans="1:23" x14ac:dyDescent="0.35">
      <c r="A15" s="7" t="s">
        <v>13</v>
      </c>
      <c r="B15" s="26">
        <v>864.49620417171673</v>
      </c>
      <c r="C15" s="26">
        <v>649.26975060035375</v>
      </c>
      <c r="D15" s="26">
        <v>674.99400669757222</v>
      </c>
      <c r="E15" s="26">
        <v>676.17904659321414</v>
      </c>
      <c r="F15" s="26">
        <v>637.86045117558797</v>
      </c>
      <c r="G15" s="26">
        <v>713.1581161000048</v>
      </c>
      <c r="H15" s="26">
        <v>586.38310472689795</v>
      </c>
      <c r="I15" s="26">
        <v>684.93443927800809</v>
      </c>
      <c r="J15" s="26">
        <v>472.24150489377371</v>
      </c>
      <c r="K15" s="26">
        <v>408.13501399599909</v>
      </c>
      <c r="L15" s="26">
        <v>336.69217400547387</v>
      </c>
      <c r="M15" s="26">
        <v>408.14364254360868</v>
      </c>
      <c r="N15" s="26">
        <v>368.86346842241198</v>
      </c>
      <c r="O15" s="26">
        <v>363.11605118852339</v>
      </c>
      <c r="P15" s="26">
        <v>387.80536532519392</v>
      </c>
      <c r="Q15" s="26">
        <v>384.37797448783027</v>
      </c>
      <c r="R15" s="26">
        <v>436.26665673627201</v>
      </c>
      <c r="S15" s="26">
        <v>444.02607550071411</v>
      </c>
      <c r="T15" s="26">
        <v>443.10834766405901</v>
      </c>
      <c r="U15" s="26">
        <v>448.22757663135138</v>
      </c>
      <c r="V15" s="26">
        <v>460.12245952307768</v>
      </c>
      <c r="W15" s="26">
        <v>509.95181079082988</v>
      </c>
    </row>
    <row r="16" spans="1:23" x14ac:dyDescent="0.35">
      <c r="A16" s="7" t="s">
        <v>14</v>
      </c>
      <c r="B16" s="26">
        <v>145.6863659356232</v>
      </c>
      <c r="C16" s="26">
        <v>138.7903108258437</v>
      </c>
      <c r="D16" s="26">
        <v>139.313672990919</v>
      </c>
      <c r="E16" s="26">
        <v>124.013374523053</v>
      </c>
      <c r="F16" s="26">
        <v>117.3283563236326</v>
      </c>
      <c r="G16" s="26">
        <v>110.32379184944659</v>
      </c>
      <c r="H16" s="26">
        <v>149.59802179902309</v>
      </c>
      <c r="I16" s="26">
        <v>163.49159390875141</v>
      </c>
      <c r="J16" s="26">
        <v>185.0060649600334</v>
      </c>
      <c r="K16" s="26">
        <v>135.66785241535331</v>
      </c>
      <c r="L16" s="26">
        <v>116.28577726852239</v>
      </c>
      <c r="M16" s="26">
        <v>124.8057049140661</v>
      </c>
      <c r="N16" s="26">
        <v>112.7630844646328</v>
      </c>
      <c r="O16" s="26">
        <v>121.90141971254199</v>
      </c>
      <c r="P16" s="26">
        <v>136.68449654978309</v>
      </c>
      <c r="Q16" s="26">
        <v>114.0262365857384</v>
      </c>
      <c r="R16" s="26">
        <v>121.0712010415061</v>
      </c>
      <c r="S16" s="26">
        <v>120.2249153590663</v>
      </c>
      <c r="T16" s="26">
        <v>119.1779098218353</v>
      </c>
      <c r="U16" s="26">
        <v>101.1755421971091</v>
      </c>
      <c r="V16" s="26">
        <v>97.946307954064508</v>
      </c>
      <c r="W16" s="26">
        <v>103.42061307566649</v>
      </c>
    </row>
    <row r="17" spans="1:23" x14ac:dyDescent="0.35">
      <c r="A17" s="6" t="s">
        <v>15</v>
      </c>
      <c r="B17" s="27">
        <v>2001.8712879342615</v>
      </c>
      <c r="C17" s="27">
        <v>1827.7563873562758</v>
      </c>
      <c r="D17" s="27">
        <v>1767.2936501793224</v>
      </c>
      <c r="E17" s="27">
        <v>1688.8014220416453</v>
      </c>
      <c r="F17" s="27">
        <v>1575.7869009069368</v>
      </c>
      <c r="G17" s="27">
        <v>1414.4836348236433</v>
      </c>
      <c r="H17" s="27">
        <v>1388.7438902861479</v>
      </c>
      <c r="I17" s="27">
        <v>1306.1031455826883</v>
      </c>
      <c r="J17" s="27">
        <v>1303.3797041380985</v>
      </c>
      <c r="K17" s="27">
        <v>1119.1881151265011</v>
      </c>
      <c r="L17" s="27">
        <v>964.30349971921714</v>
      </c>
      <c r="M17" s="27">
        <v>975.37548948207268</v>
      </c>
      <c r="N17" s="27">
        <v>851.46904404043721</v>
      </c>
      <c r="O17" s="27">
        <v>818.62695093338789</v>
      </c>
      <c r="P17" s="27">
        <v>872.36781239315383</v>
      </c>
      <c r="Q17" s="27">
        <v>810.2</v>
      </c>
      <c r="R17" s="27">
        <v>750.60942241679504</v>
      </c>
      <c r="S17" s="27">
        <v>822.23793252425276</v>
      </c>
      <c r="T17" s="27">
        <v>757.297666699209</v>
      </c>
      <c r="U17" s="27">
        <v>782.37887162272966</v>
      </c>
      <c r="V17" s="27">
        <v>752.82671820583914</v>
      </c>
      <c r="W17" s="27">
        <v>795.13297363462164</v>
      </c>
    </row>
    <row r="18" spans="1:23" x14ac:dyDescent="0.35">
      <c r="A18" s="7" t="s">
        <v>16</v>
      </c>
      <c r="B18" s="26">
        <v>0</v>
      </c>
      <c r="C18" s="26">
        <v>0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1.012955669484972</v>
      </c>
      <c r="K18" s="26">
        <v>0.96200438944454436</v>
      </c>
      <c r="L18" s="26">
        <v>1.1785080556659879</v>
      </c>
      <c r="M18" s="26">
        <v>0.88204296757267442</v>
      </c>
      <c r="N18" s="26">
        <v>1.4990283620491449</v>
      </c>
      <c r="O18" s="26">
        <v>0.8395069239086328</v>
      </c>
      <c r="P18" s="26">
        <v>0.82700029190441848</v>
      </c>
      <c r="Q18" s="26">
        <v>0.92428832992357113</v>
      </c>
      <c r="R18" s="26">
        <v>1.0788460479796831</v>
      </c>
      <c r="S18" s="26">
        <v>1.198922311178523</v>
      </c>
      <c r="T18" s="26">
        <v>1.0768872166592489</v>
      </c>
      <c r="U18" s="26">
        <v>1.2042019889700659</v>
      </c>
      <c r="V18" s="26">
        <v>1.29834788568293</v>
      </c>
      <c r="W18" s="26">
        <v>1.442675860321649</v>
      </c>
    </row>
    <row r="19" spans="1:23" x14ac:dyDescent="0.35">
      <c r="A19" s="7" t="s">
        <v>17</v>
      </c>
      <c r="B19" s="26">
        <v>757.46481165080149</v>
      </c>
      <c r="C19" s="26">
        <v>746.23903465248293</v>
      </c>
      <c r="D19" s="26">
        <v>740.51139149056951</v>
      </c>
      <c r="E19" s="26">
        <v>706.83087861858814</v>
      </c>
      <c r="F19" s="26">
        <v>632.37428816019656</v>
      </c>
      <c r="G19" s="26">
        <v>550.30552362514368</v>
      </c>
      <c r="H19" s="26">
        <v>539.19707682816875</v>
      </c>
      <c r="I19" s="26">
        <v>519.4190995812811</v>
      </c>
      <c r="J19" s="26">
        <v>469.23550659820171</v>
      </c>
      <c r="K19" s="26">
        <v>446.69134616834322</v>
      </c>
      <c r="L19" s="26">
        <v>406.85717784903738</v>
      </c>
      <c r="M19" s="26">
        <v>427.64565828740132</v>
      </c>
      <c r="N19" s="26">
        <v>389.07932408498488</v>
      </c>
      <c r="O19" s="26">
        <v>371.18946379933942</v>
      </c>
      <c r="P19" s="26">
        <v>396.69115099226133</v>
      </c>
      <c r="Q19" s="26">
        <v>408.67571167007651</v>
      </c>
      <c r="R19" s="26">
        <v>358.70424932040987</v>
      </c>
      <c r="S19" s="26">
        <v>398.62826436648538</v>
      </c>
      <c r="T19" s="26">
        <v>370.10343104947373</v>
      </c>
      <c r="U19" s="26">
        <v>413.85883396129572</v>
      </c>
      <c r="V19" s="26">
        <v>446.21479366964229</v>
      </c>
      <c r="W19" s="26">
        <v>495.81727551163232</v>
      </c>
    </row>
    <row r="20" spans="1:23" x14ac:dyDescent="0.35">
      <c r="A20" s="7" t="s">
        <v>18</v>
      </c>
      <c r="B20" s="26">
        <v>1244.4064762834601</v>
      </c>
      <c r="C20" s="26">
        <v>1081.517352703793</v>
      </c>
      <c r="D20" s="26">
        <v>1026.782258688753</v>
      </c>
      <c r="E20" s="26">
        <v>981.97054342305717</v>
      </c>
      <c r="F20" s="26">
        <v>943.41261274674025</v>
      </c>
      <c r="G20" s="26">
        <v>864.17811119849966</v>
      </c>
      <c r="H20" s="26">
        <v>849.54681345797917</v>
      </c>
      <c r="I20" s="26">
        <v>786.68404600140718</v>
      </c>
      <c r="J20" s="26">
        <v>833.13124187041194</v>
      </c>
      <c r="K20" s="26">
        <v>671.5347645687134</v>
      </c>
      <c r="L20" s="26">
        <v>556.26781381451383</v>
      </c>
      <c r="M20" s="26">
        <v>546.8477882270987</v>
      </c>
      <c r="N20" s="26">
        <v>460.89069159340318</v>
      </c>
      <c r="O20" s="26">
        <v>446.59798021013978</v>
      </c>
      <c r="P20" s="26">
        <v>474.84966110898802</v>
      </c>
      <c r="Q20" s="26">
        <v>400.59999999999991</v>
      </c>
      <c r="R20" s="26">
        <v>390.82632704840552</v>
      </c>
      <c r="S20" s="26">
        <v>422.41074584658878</v>
      </c>
      <c r="T20" s="26">
        <v>386.11734843307607</v>
      </c>
      <c r="U20" s="26">
        <v>367.31583567246389</v>
      </c>
      <c r="V20" s="26">
        <v>305.31357665051399</v>
      </c>
      <c r="W20" s="26">
        <v>297.87302226266769</v>
      </c>
    </row>
    <row r="21" spans="1:23" x14ac:dyDescent="0.35">
      <c r="A21" s="8" t="s">
        <v>19</v>
      </c>
      <c r="B21" s="28">
        <v>5540.910693461341</v>
      </c>
      <c r="C21" s="28">
        <v>5724.2091057039661</v>
      </c>
      <c r="D21" s="28">
        <v>6077.2247593983029</v>
      </c>
      <c r="E21" s="28">
        <v>5789.23311325546</v>
      </c>
      <c r="F21" s="28">
        <v>5712.0879393555924</v>
      </c>
      <c r="G21" s="28">
        <v>5528.5861213624548</v>
      </c>
      <c r="H21" s="28">
        <v>5032.3874151758164</v>
      </c>
      <c r="I21" s="28">
        <v>4812.8453277657936</v>
      </c>
      <c r="J21" s="28">
        <v>4538.790537710267</v>
      </c>
      <c r="K21" s="28">
        <v>4541.5631192319051</v>
      </c>
      <c r="L21" s="28">
        <v>4184.8292522701022</v>
      </c>
      <c r="M21" s="28">
        <v>3923.983829939943</v>
      </c>
      <c r="N21" s="28">
        <v>3666.330375342297</v>
      </c>
      <c r="O21" s="28">
        <v>3801.999387942466</v>
      </c>
      <c r="P21" s="28">
        <v>3788.1378089740761</v>
      </c>
      <c r="Q21" s="28">
        <v>4031.4</v>
      </c>
      <c r="R21" s="28">
        <v>4240.7840405949964</v>
      </c>
      <c r="S21" s="28">
        <v>3859.1375044185229</v>
      </c>
      <c r="T21" s="28">
        <v>3972.8595138143119</v>
      </c>
      <c r="U21" s="28">
        <v>4116.5803358702042</v>
      </c>
      <c r="V21" s="28">
        <v>4012.959487596052</v>
      </c>
      <c r="W21" s="28">
        <v>4243.9699722549794</v>
      </c>
    </row>
    <row r="22" spans="1:23" x14ac:dyDescent="0.35">
      <c r="A22" s="5" t="s">
        <v>20</v>
      </c>
      <c r="B22" s="26">
        <v>927.64353320858083</v>
      </c>
      <c r="C22" s="26">
        <v>912.55507482237135</v>
      </c>
      <c r="D22" s="26">
        <v>866.42412983461054</v>
      </c>
      <c r="E22" s="26">
        <v>867.44540375825284</v>
      </c>
      <c r="F22" s="26">
        <v>715.74794357390113</v>
      </c>
      <c r="G22" s="26">
        <v>777.42150160324286</v>
      </c>
      <c r="H22" s="26">
        <v>792.95781331561716</v>
      </c>
      <c r="I22" s="26">
        <v>687.25271936603872</v>
      </c>
      <c r="J22" s="26">
        <v>760.48854692563771</v>
      </c>
      <c r="K22" s="26">
        <v>499.98357838039038</v>
      </c>
      <c r="L22" s="26">
        <v>591.55108657646292</v>
      </c>
      <c r="M22" s="26">
        <v>665.6956186736752</v>
      </c>
      <c r="N22" s="26">
        <v>528.21758734995569</v>
      </c>
      <c r="O22" s="26">
        <v>461.0833418341324</v>
      </c>
      <c r="P22" s="26">
        <v>455.84360732889519</v>
      </c>
      <c r="Q22" s="26">
        <v>547.70000000000005</v>
      </c>
      <c r="R22" s="26">
        <v>607.83045619620918</v>
      </c>
      <c r="S22" s="26">
        <v>610.7379914378854</v>
      </c>
      <c r="T22" s="26">
        <v>553.54876501025092</v>
      </c>
      <c r="U22" s="26">
        <v>568.81866674383389</v>
      </c>
      <c r="V22" s="26">
        <v>495.78443180863292</v>
      </c>
      <c r="W22" s="26">
        <v>483.57833533208992</v>
      </c>
    </row>
    <row r="23" spans="1:23" x14ac:dyDescent="0.35">
      <c r="A23" s="5" t="s">
        <v>21</v>
      </c>
      <c r="B23" s="26">
        <v>11744.90819841076</v>
      </c>
      <c r="C23" s="26">
        <v>11919.58083594649</v>
      </c>
      <c r="D23" s="26">
        <v>12347.57592176897</v>
      </c>
      <c r="E23" s="26">
        <v>11078.974098527169</v>
      </c>
      <c r="F23" s="26">
        <v>11072.81547375343</v>
      </c>
      <c r="G23" s="26">
        <v>10354.044406800171</v>
      </c>
      <c r="H23" s="26">
        <v>11796.255872443409</v>
      </c>
      <c r="I23" s="26">
        <v>12497.89487040476</v>
      </c>
      <c r="J23" s="26">
        <v>12135.849555766221</v>
      </c>
      <c r="K23" s="26">
        <v>10344.087669553221</v>
      </c>
      <c r="L23" s="26">
        <v>9969.1668697485657</v>
      </c>
      <c r="M23" s="26">
        <v>10469.269497482661</v>
      </c>
      <c r="N23" s="26">
        <v>10324.79565154728</v>
      </c>
      <c r="O23" s="26">
        <v>11139.855146383759</v>
      </c>
      <c r="P23" s="26">
        <v>10908.2681362</v>
      </c>
      <c r="Q23" s="26">
        <v>10441.200000000001</v>
      </c>
      <c r="R23" s="26">
        <v>11549.077160340281</v>
      </c>
      <c r="S23" s="26">
        <v>12417.128156788811</v>
      </c>
      <c r="T23" s="26">
        <v>12189.300009762759</v>
      </c>
      <c r="U23" s="26">
        <v>13100.384871371931</v>
      </c>
      <c r="V23" s="26">
        <v>10900.16152675462</v>
      </c>
      <c r="W23" s="26">
        <v>10698.520173097801</v>
      </c>
    </row>
    <row r="24" spans="1:23" x14ac:dyDescent="0.35">
      <c r="A24" s="5" t="s">
        <v>22</v>
      </c>
      <c r="B24" s="26">
        <v>927.37233205868802</v>
      </c>
      <c r="C24" s="26">
        <v>813.85040818216703</v>
      </c>
      <c r="D24" s="26">
        <v>755.47643006424653</v>
      </c>
      <c r="E24" s="26">
        <v>697.18131030980192</v>
      </c>
      <c r="F24" s="26">
        <v>632.37428816019656</v>
      </c>
      <c r="G24" s="26">
        <v>521.50765321556059</v>
      </c>
      <c r="H24" s="26">
        <v>542.63749822047168</v>
      </c>
      <c r="I24" s="26">
        <v>510.76788206660291</v>
      </c>
      <c r="J24" s="26">
        <v>464.84710862232407</v>
      </c>
      <c r="K24" s="26">
        <v>384.15642140065472</v>
      </c>
      <c r="L24" s="26">
        <v>340.64781360260218</v>
      </c>
      <c r="M24" s="26">
        <v>349.78837486674479</v>
      </c>
      <c r="N24" s="26">
        <v>308.221293417612</v>
      </c>
      <c r="O24" s="26">
        <v>364.88829950015298</v>
      </c>
      <c r="P24" s="26">
        <v>372.47842963737662</v>
      </c>
      <c r="Q24" s="26">
        <v>399.5</v>
      </c>
      <c r="R24" s="26">
        <v>385.65245510173622</v>
      </c>
      <c r="S24" s="26">
        <v>409.15517850830679</v>
      </c>
      <c r="T24" s="26">
        <v>470.76051937908812</v>
      </c>
      <c r="U24" s="26">
        <v>454.41830405802972</v>
      </c>
      <c r="V24" s="26">
        <v>420.34303427541721</v>
      </c>
      <c r="W24" s="26">
        <v>434.13869155674053</v>
      </c>
    </row>
    <row r="25" spans="1:23" x14ac:dyDescent="0.35">
      <c r="A25" s="5" t="s">
        <v>23</v>
      </c>
      <c r="B25" s="26">
        <v>977.68014536381645</v>
      </c>
      <c r="C25" s="26">
        <v>917.18599081755519</v>
      </c>
      <c r="D25" s="26">
        <v>864.74701344273296</v>
      </c>
      <c r="E25" s="26">
        <v>890.17267648552559</v>
      </c>
      <c r="F25" s="26">
        <v>908.79765759730026</v>
      </c>
      <c r="G25" s="26">
        <v>916.44987597555814</v>
      </c>
      <c r="H25" s="26">
        <v>917.16888909979593</v>
      </c>
      <c r="I25" s="26">
        <v>918.64395049196594</v>
      </c>
      <c r="J25" s="26">
        <v>784.73952247624504</v>
      </c>
      <c r="K25" s="26">
        <v>566.43639906725195</v>
      </c>
      <c r="L25" s="26">
        <v>554.57252142955531</v>
      </c>
      <c r="M25" s="26">
        <v>563.94667679934128</v>
      </c>
      <c r="N25" s="26">
        <v>552.40997343984839</v>
      </c>
      <c r="O25" s="26">
        <v>529.63378557584417</v>
      </c>
      <c r="P25" s="26">
        <v>558.31539993161857</v>
      </c>
      <c r="Q25" s="26">
        <v>579.1</v>
      </c>
      <c r="R25" s="26">
        <v>554.10178598079699</v>
      </c>
      <c r="S25" s="26">
        <v>577.45178901064378</v>
      </c>
      <c r="T25" s="26">
        <v>566.43561456604516</v>
      </c>
      <c r="U25" s="26">
        <v>593.02987334934539</v>
      </c>
      <c r="V25" s="26">
        <v>573.84013519695998</v>
      </c>
      <c r="W25" s="26">
        <v>604.05977588470716</v>
      </c>
    </row>
    <row r="26" spans="1:23" x14ac:dyDescent="0.35">
      <c r="A26" s="9" t="s">
        <v>24</v>
      </c>
      <c r="B26" s="29">
        <v>21733.517750115261</v>
      </c>
      <c r="C26" s="29">
        <v>20079.387131346011</v>
      </c>
      <c r="D26" s="29">
        <v>19934.205433857111</v>
      </c>
      <c r="E26" s="29">
        <v>20145.378364652111</v>
      </c>
      <c r="F26" s="29">
        <v>21736.827086512571</v>
      </c>
      <c r="G26" s="29">
        <v>24189.606146772341</v>
      </c>
      <c r="H26" s="29">
        <v>26603.82954491529</v>
      </c>
      <c r="I26" s="29">
        <v>26052.73782196948</v>
      </c>
      <c r="J26" s="29">
        <v>26922.551202627921</v>
      </c>
      <c r="K26" s="29">
        <v>20485.53255312394</v>
      </c>
      <c r="L26" s="29">
        <v>19926.890515898671</v>
      </c>
      <c r="M26" s="29">
        <v>21629.566300412698</v>
      </c>
      <c r="N26" s="29">
        <v>21440.32201610081</v>
      </c>
      <c r="O26" s="29">
        <v>20172.906253187801</v>
      </c>
      <c r="P26" s="29">
        <v>19652.259608616081</v>
      </c>
      <c r="Q26" s="29">
        <v>18630.099999999999</v>
      </c>
      <c r="R26" s="29">
        <v>19983.980896472811</v>
      </c>
      <c r="S26" s="29">
        <v>20599.348022465729</v>
      </c>
      <c r="T26" s="29">
        <v>21293.46871033877</v>
      </c>
      <c r="U26" s="29">
        <v>20286.86903762865</v>
      </c>
      <c r="V26" s="29">
        <v>18823.74910133236</v>
      </c>
      <c r="W26" s="29">
        <v>19787.17047620684</v>
      </c>
    </row>
    <row r="28" spans="1:23" x14ac:dyDescent="0.35">
      <c r="A28" s="23" t="s">
        <v>25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</row>
    <row r="29" spans="1:23" x14ac:dyDescent="0.35">
      <c r="A29" s="22" t="s">
        <v>26</v>
      </c>
      <c r="B29" s="30">
        <v>2944.0627687016336</v>
      </c>
      <c r="C29" s="30">
        <v>3035.1761822871867</v>
      </c>
      <c r="D29" s="30">
        <v>2855.9061908856402</v>
      </c>
      <c r="E29" s="30">
        <v>2864.5073086844368</v>
      </c>
      <c r="F29" s="30">
        <v>2906.2907136715385</v>
      </c>
      <c r="G29" s="30">
        <v>2873.2321582115219</v>
      </c>
      <c r="H29" s="30">
        <v>2914.1711951848665</v>
      </c>
      <c r="I29" s="30">
        <v>2832.3589853826311</v>
      </c>
      <c r="J29" s="30">
        <v>2716.4907996560614</v>
      </c>
      <c r="K29" s="30">
        <v>2352.5037833190017</v>
      </c>
      <c r="L29" s="30">
        <v>2446.4946689595872</v>
      </c>
      <c r="M29" s="30">
        <v>2442.2841788478081</v>
      </c>
      <c r="N29" s="30">
        <v>2303.3634565778166</v>
      </c>
      <c r="O29" s="30">
        <v>2179.3844368013756</v>
      </c>
      <c r="P29" s="30">
        <v>2120.599054170249</v>
      </c>
      <c r="Q29" s="30">
        <v>2109.3854686156496</v>
      </c>
      <c r="R29" s="30">
        <v>2165.6235597592436</v>
      </c>
      <c r="S29" s="30">
        <v>2284.7654342218393</v>
      </c>
      <c r="T29" s="30">
        <v>2314.6359415305246</v>
      </c>
      <c r="U29" s="30">
        <v>2257.7165090283747</v>
      </c>
      <c r="V29" s="30">
        <v>2304.3745485812556</v>
      </c>
      <c r="W29" s="30">
        <v>2474.7362854686148</v>
      </c>
    </row>
    <row r="30" spans="1:23" x14ac:dyDescent="0.35">
      <c r="A30" s="10" t="s">
        <v>27</v>
      </c>
      <c r="B30" s="31">
        <v>265.34574376612204</v>
      </c>
      <c r="C30" s="31">
        <v>231.66603611349953</v>
      </c>
      <c r="D30" s="31">
        <v>199.95227858985388</v>
      </c>
      <c r="E30" s="31">
        <v>204.115219260533</v>
      </c>
      <c r="F30" s="31">
        <v>229.1343078245915</v>
      </c>
      <c r="G30" s="31">
        <v>214.30920034393816</v>
      </c>
      <c r="H30" s="31">
        <v>220.63869303525362</v>
      </c>
      <c r="I30" s="31">
        <v>215.84264832330169</v>
      </c>
      <c r="J30" s="31">
        <v>173.67721410146169</v>
      </c>
      <c r="K30" s="31">
        <v>94.423215821152169</v>
      </c>
      <c r="L30" s="31">
        <v>105.52398968185726</v>
      </c>
      <c r="M30" s="31">
        <v>116.36999140154772</v>
      </c>
      <c r="N30" s="31">
        <v>87.036543422183996</v>
      </c>
      <c r="O30" s="31">
        <v>93.662166809974195</v>
      </c>
      <c r="P30" s="31">
        <v>101.56921754084264</v>
      </c>
      <c r="Q30" s="31">
        <v>100.15081685296646</v>
      </c>
      <c r="R30" s="31">
        <v>107.05288048151331</v>
      </c>
      <c r="S30" s="31">
        <v>120.60455717970765</v>
      </c>
      <c r="T30" s="31">
        <v>124.94987102321582</v>
      </c>
      <c r="U30" s="31">
        <v>103.41969045571797</v>
      </c>
      <c r="V30" s="31">
        <v>116.09303525365434</v>
      </c>
      <c r="W30" s="31">
        <v>135.98331900257952</v>
      </c>
    </row>
    <row r="31" spans="1:23" x14ac:dyDescent="0.35">
      <c r="A31" s="11" t="s">
        <v>28</v>
      </c>
      <c r="B31" s="26">
        <v>265.34574376612204</v>
      </c>
      <c r="C31" s="26">
        <v>231.66603611349953</v>
      </c>
      <c r="D31" s="26">
        <v>199.95227858985388</v>
      </c>
      <c r="E31" s="26">
        <v>204.115219260533</v>
      </c>
      <c r="F31" s="26">
        <v>229.1343078245915</v>
      </c>
      <c r="G31" s="26">
        <v>214.30920034393816</v>
      </c>
      <c r="H31" s="26">
        <v>220.63869303525362</v>
      </c>
      <c r="I31" s="26">
        <v>215.84264832330169</v>
      </c>
      <c r="J31" s="26">
        <v>173.67721410146169</v>
      </c>
      <c r="K31" s="26">
        <v>94.423215821152169</v>
      </c>
      <c r="L31" s="26">
        <v>105.52398968185726</v>
      </c>
      <c r="M31" s="26">
        <v>116.36999140154772</v>
      </c>
      <c r="N31" s="26">
        <v>87.036543422183996</v>
      </c>
      <c r="O31" s="26">
        <v>93.662166809974195</v>
      </c>
      <c r="P31" s="26">
        <v>101.56921754084264</v>
      </c>
      <c r="Q31" s="26">
        <v>100.15081685296646</v>
      </c>
      <c r="R31" s="26">
        <v>107.05288048151331</v>
      </c>
      <c r="S31" s="26">
        <v>120.60455717970765</v>
      </c>
      <c r="T31" s="26">
        <v>124.94987102321582</v>
      </c>
      <c r="U31" s="26">
        <v>103.41969045571797</v>
      </c>
      <c r="V31" s="26">
        <v>116.09303525365434</v>
      </c>
      <c r="W31" s="26">
        <v>135.98331900257952</v>
      </c>
    </row>
    <row r="32" spans="1:23" x14ac:dyDescent="0.35">
      <c r="A32" s="11" t="s">
        <v>29</v>
      </c>
      <c r="B32" s="26">
        <v>0</v>
      </c>
      <c r="C32" s="26">
        <v>0</v>
      </c>
      <c r="D32" s="26">
        <v>0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6">
        <v>0</v>
      </c>
      <c r="L32" s="26">
        <v>0</v>
      </c>
      <c r="M32" s="26">
        <v>0</v>
      </c>
      <c r="N32" s="26">
        <v>0</v>
      </c>
      <c r="O32" s="26">
        <v>0</v>
      </c>
      <c r="P32" s="26">
        <v>0</v>
      </c>
      <c r="Q32" s="26">
        <v>0</v>
      </c>
      <c r="R32" s="26">
        <v>0</v>
      </c>
      <c r="S32" s="26">
        <v>0</v>
      </c>
      <c r="T32" s="26">
        <v>0</v>
      </c>
      <c r="U32" s="26">
        <v>0</v>
      </c>
      <c r="V32" s="26">
        <v>0</v>
      </c>
      <c r="W32" s="26">
        <v>0</v>
      </c>
    </row>
    <row r="33" spans="1:23" x14ac:dyDescent="0.35">
      <c r="A33" s="12" t="s">
        <v>30</v>
      </c>
      <c r="B33" s="27">
        <v>750.3034393809113</v>
      </c>
      <c r="C33" s="27">
        <v>796.08452278589834</v>
      </c>
      <c r="D33" s="27">
        <v>779.36276870163374</v>
      </c>
      <c r="E33" s="27">
        <v>776.95752364574378</v>
      </c>
      <c r="F33" s="27">
        <v>803.67721410146169</v>
      </c>
      <c r="G33" s="27">
        <v>764.48727429062762</v>
      </c>
      <c r="H33" s="27">
        <v>808.4159071367153</v>
      </c>
      <c r="I33" s="27">
        <v>746.92863284608757</v>
      </c>
      <c r="J33" s="27">
        <v>645.73886500429921</v>
      </c>
      <c r="K33" s="27">
        <v>532.95124677558033</v>
      </c>
      <c r="L33" s="27">
        <v>547.89570077386065</v>
      </c>
      <c r="M33" s="27">
        <v>518.13327601031813</v>
      </c>
      <c r="N33" s="27">
        <v>481.36285468615648</v>
      </c>
      <c r="O33" s="27">
        <v>409.99793637145308</v>
      </c>
      <c r="P33" s="27">
        <v>391.1650042992261</v>
      </c>
      <c r="Q33" s="27">
        <v>390.1361994840928</v>
      </c>
      <c r="R33" s="27">
        <v>423.04393809114356</v>
      </c>
      <c r="S33" s="27">
        <v>438.65941530524498</v>
      </c>
      <c r="T33" s="27">
        <v>406.92141014617368</v>
      </c>
      <c r="U33" s="27">
        <v>425.64849527085124</v>
      </c>
      <c r="V33" s="27">
        <v>448.6186586414446</v>
      </c>
      <c r="W33" s="27">
        <v>498.42777300085982</v>
      </c>
    </row>
    <row r="34" spans="1:23" x14ac:dyDescent="0.35">
      <c r="A34" s="11" t="s">
        <v>31</v>
      </c>
      <c r="B34" s="26">
        <v>0</v>
      </c>
      <c r="C34" s="26">
        <v>0</v>
      </c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</row>
    <row r="35" spans="1:23" x14ac:dyDescent="0.35">
      <c r="A35" s="11" t="s">
        <v>32</v>
      </c>
      <c r="B35" s="26">
        <v>46.145141874462595</v>
      </c>
      <c r="C35" s="26">
        <v>40.651676698194322</v>
      </c>
      <c r="D35" s="26">
        <v>39.552966466036111</v>
      </c>
      <c r="E35" s="26">
        <v>40.651676698194322</v>
      </c>
      <c r="F35" s="26">
        <v>40.651676698194322</v>
      </c>
      <c r="G35" s="26">
        <v>41.750386930352526</v>
      </c>
      <c r="H35" s="26">
        <v>40.651676698194322</v>
      </c>
      <c r="I35" s="26">
        <v>32.960791057609626</v>
      </c>
      <c r="J35" s="26">
        <v>31.862080825451411</v>
      </c>
      <c r="K35" s="26">
        <v>25.269991401547713</v>
      </c>
      <c r="L35" s="26">
        <v>28.56603611349956</v>
      </c>
      <c r="M35" s="26">
        <v>26.368701633705925</v>
      </c>
      <c r="N35" s="26">
        <v>29.664832330180563</v>
      </c>
      <c r="O35" s="26">
        <v>25.269991401547717</v>
      </c>
      <c r="P35" s="26">
        <v>21.97394668959587</v>
      </c>
      <c r="Q35" s="26">
        <v>23.401031814273427</v>
      </c>
      <c r="R35" s="26">
        <v>25.606104901117799</v>
      </c>
      <c r="S35" s="26">
        <v>27.606706792777302</v>
      </c>
      <c r="T35" s="26">
        <v>27.827687016337062</v>
      </c>
      <c r="U35" s="26">
        <v>28.418658641444544</v>
      </c>
      <c r="V35" s="26">
        <v>29.298796216680994</v>
      </c>
      <c r="W35" s="26">
        <v>33.523129836629408</v>
      </c>
    </row>
    <row r="36" spans="1:23" x14ac:dyDescent="0.35">
      <c r="A36" s="11" t="s">
        <v>33</v>
      </c>
      <c r="B36" s="26">
        <v>343.69681857265692</v>
      </c>
      <c r="C36" s="26">
        <v>390.61109200343941</v>
      </c>
      <c r="D36" s="26">
        <v>366.13404987102325</v>
      </c>
      <c r="E36" s="26">
        <v>381.43224419604468</v>
      </c>
      <c r="F36" s="26">
        <v>395.71040412725711</v>
      </c>
      <c r="G36" s="26">
        <v>386.53138435081689</v>
      </c>
      <c r="H36" s="26">
        <v>362.05451418744622</v>
      </c>
      <c r="I36" s="26">
        <v>344.71676698194324</v>
      </c>
      <c r="J36" s="26">
        <v>326.35889939810835</v>
      </c>
      <c r="K36" s="26">
        <v>273.32562338779019</v>
      </c>
      <c r="L36" s="26">
        <v>276.38521066208079</v>
      </c>
      <c r="M36" s="26">
        <v>244.76921754084265</v>
      </c>
      <c r="N36" s="26">
        <v>211.11341358555464</v>
      </c>
      <c r="O36" s="26">
        <v>191.73576956147895</v>
      </c>
      <c r="P36" s="26">
        <v>164.19931212381766</v>
      </c>
      <c r="Q36" s="26">
        <v>167.32940670679278</v>
      </c>
      <c r="R36" s="26">
        <v>172.02287188306099</v>
      </c>
      <c r="S36" s="26">
        <v>175.09759243336197</v>
      </c>
      <c r="T36" s="26">
        <v>189.99810834049873</v>
      </c>
      <c r="U36" s="26">
        <v>179.62889079965606</v>
      </c>
      <c r="V36" s="26">
        <v>192.36414445399825</v>
      </c>
      <c r="W36" s="26">
        <v>273.18392089423901</v>
      </c>
    </row>
    <row r="37" spans="1:23" x14ac:dyDescent="0.35">
      <c r="A37" s="11" t="s">
        <v>34</v>
      </c>
      <c r="B37" s="26">
        <v>196.12347377472051</v>
      </c>
      <c r="C37" s="26">
        <v>175.73456577815992</v>
      </c>
      <c r="D37" s="26">
        <v>187.38546861564919</v>
      </c>
      <c r="E37" s="26">
        <v>164.08349097162514</v>
      </c>
      <c r="F37" s="26">
        <v>166.02536543422187</v>
      </c>
      <c r="G37" s="26">
        <v>144.66543422184003</v>
      </c>
      <c r="H37" s="26">
        <v>202.91994840928623</v>
      </c>
      <c r="I37" s="26">
        <v>151.46182287188304</v>
      </c>
      <c r="J37" s="26">
        <v>124.47687016337059</v>
      </c>
      <c r="K37" s="26">
        <v>94.563886500429916</v>
      </c>
      <c r="L37" s="26">
        <v>119.65219260533104</v>
      </c>
      <c r="M37" s="26">
        <v>90.704127257093717</v>
      </c>
      <c r="N37" s="26">
        <v>80.089681857265688</v>
      </c>
      <c r="O37" s="26">
        <v>48.246775580395528</v>
      </c>
      <c r="P37" s="26">
        <v>48.246775580395528</v>
      </c>
      <c r="Q37" s="26">
        <v>41.747033533963879</v>
      </c>
      <c r="R37" s="26">
        <v>44.274204643164218</v>
      </c>
      <c r="S37" s="26">
        <v>46.415477214101458</v>
      </c>
      <c r="T37" s="26">
        <v>22.842476354256238</v>
      </c>
      <c r="U37" s="26">
        <v>31.69621668099742</v>
      </c>
      <c r="V37" s="26">
        <v>37.59071367153912</v>
      </c>
      <c r="W37" s="26">
        <v>26.482545141874464</v>
      </c>
    </row>
    <row r="38" spans="1:23" x14ac:dyDescent="0.35">
      <c r="A38" s="11" t="s">
        <v>35</v>
      </c>
      <c r="B38" s="26">
        <v>164.33800515907129</v>
      </c>
      <c r="C38" s="26">
        <v>189.08718830610479</v>
      </c>
      <c r="D38" s="26">
        <v>186.29028374892522</v>
      </c>
      <c r="E38" s="26">
        <v>190.79011177987962</v>
      </c>
      <c r="F38" s="26">
        <v>201.28976784178843</v>
      </c>
      <c r="G38" s="26">
        <v>191.54006878761822</v>
      </c>
      <c r="H38" s="26">
        <v>202.78976784178843</v>
      </c>
      <c r="I38" s="26">
        <v>217.78925193465173</v>
      </c>
      <c r="J38" s="26">
        <v>163.04101461736883</v>
      </c>
      <c r="K38" s="26">
        <v>139.79174548581253</v>
      </c>
      <c r="L38" s="26">
        <v>123.29226139294923</v>
      </c>
      <c r="M38" s="26">
        <v>156.29122957867582</v>
      </c>
      <c r="N38" s="26">
        <v>160.49492691315561</v>
      </c>
      <c r="O38" s="26">
        <v>144.74539982803091</v>
      </c>
      <c r="P38" s="26">
        <v>156.74496990541701</v>
      </c>
      <c r="Q38" s="26">
        <v>157.65872742906274</v>
      </c>
      <c r="R38" s="26">
        <v>181.14075666380057</v>
      </c>
      <c r="S38" s="26">
        <v>189.53963886500426</v>
      </c>
      <c r="T38" s="26">
        <v>166.25313843508164</v>
      </c>
      <c r="U38" s="26">
        <v>185.9047291487532</v>
      </c>
      <c r="V38" s="26">
        <v>189.36500429922626</v>
      </c>
      <c r="W38" s="26">
        <v>165.23817712811689</v>
      </c>
    </row>
    <row r="39" spans="1:23" x14ac:dyDescent="0.35">
      <c r="A39" s="12" t="s">
        <v>36</v>
      </c>
      <c r="B39" s="27">
        <v>777.92141014617368</v>
      </c>
      <c r="C39" s="27">
        <v>837.27652622527921</v>
      </c>
      <c r="D39" s="27">
        <v>746.93585554600156</v>
      </c>
      <c r="E39" s="27">
        <v>748.14746345657795</v>
      </c>
      <c r="F39" s="27">
        <v>714.12123817712813</v>
      </c>
      <c r="G39" s="27">
        <v>714.47454858125536</v>
      </c>
      <c r="H39" s="27">
        <v>714.63310404127253</v>
      </c>
      <c r="I39" s="27">
        <v>716.1435941530525</v>
      </c>
      <c r="J39" s="27">
        <v>722.92261392949274</v>
      </c>
      <c r="K39" s="27">
        <v>661.72063628546857</v>
      </c>
      <c r="L39" s="27">
        <v>713.13981083404985</v>
      </c>
      <c r="M39" s="27">
        <v>713.63800515907133</v>
      </c>
      <c r="N39" s="27">
        <v>683.3280309544283</v>
      </c>
      <c r="O39" s="27">
        <v>676.32536543422202</v>
      </c>
      <c r="P39" s="27">
        <v>683.39724849527079</v>
      </c>
      <c r="Q39" s="27">
        <v>657.95958727429058</v>
      </c>
      <c r="R39" s="27">
        <v>642.5645743766122</v>
      </c>
      <c r="S39" s="27">
        <v>687.72613929492707</v>
      </c>
      <c r="T39" s="27">
        <v>716.10653482373175</v>
      </c>
      <c r="U39" s="27">
        <v>676.89484092863279</v>
      </c>
      <c r="V39" s="27">
        <v>666.15133276010329</v>
      </c>
      <c r="W39" s="27">
        <v>726.62407566637989</v>
      </c>
    </row>
    <row r="40" spans="1:23" x14ac:dyDescent="0.35">
      <c r="A40" s="11" t="s">
        <v>37</v>
      </c>
      <c r="B40" s="26">
        <v>777.92141014617368</v>
      </c>
      <c r="C40" s="26">
        <v>837.27652622527921</v>
      </c>
      <c r="D40" s="26">
        <v>746.93585554600156</v>
      </c>
      <c r="E40" s="26">
        <v>748.14746345657795</v>
      </c>
      <c r="F40" s="26">
        <v>714.12123817712813</v>
      </c>
      <c r="G40" s="26">
        <v>714.47454858125536</v>
      </c>
      <c r="H40" s="26">
        <v>714.63310404127253</v>
      </c>
      <c r="I40" s="26">
        <v>716.1435941530525</v>
      </c>
      <c r="J40" s="26">
        <v>722.92261392949274</v>
      </c>
      <c r="K40" s="26">
        <v>661.72063628546857</v>
      </c>
      <c r="L40" s="26">
        <v>713.13981083404985</v>
      </c>
      <c r="M40" s="26">
        <v>713.63800515907133</v>
      </c>
      <c r="N40" s="26">
        <v>683.3280309544283</v>
      </c>
      <c r="O40" s="26">
        <v>676.32536543422202</v>
      </c>
      <c r="P40" s="26">
        <v>683.39724849527079</v>
      </c>
      <c r="Q40" s="26">
        <v>657.95958727429058</v>
      </c>
      <c r="R40" s="26">
        <v>642.5645743766122</v>
      </c>
      <c r="S40" s="26">
        <v>687.72613929492707</v>
      </c>
      <c r="T40" s="26">
        <v>716.10653482373175</v>
      </c>
      <c r="U40" s="26">
        <v>676.89484092863279</v>
      </c>
      <c r="V40" s="26">
        <v>666.15133276010329</v>
      </c>
      <c r="W40" s="26">
        <v>726.62407566637989</v>
      </c>
    </row>
    <row r="41" spans="1:23" x14ac:dyDescent="0.35">
      <c r="A41" s="11" t="s">
        <v>38</v>
      </c>
      <c r="B41" s="26">
        <v>0</v>
      </c>
      <c r="C41" s="26">
        <v>0</v>
      </c>
      <c r="D41" s="26">
        <v>0</v>
      </c>
      <c r="E41" s="26">
        <v>0</v>
      </c>
      <c r="F41" s="26">
        <v>0</v>
      </c>
      <c r="G41" s="26">
        <v>0</v>
      </c>
      <c r="H41" s="26">
        <v>0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6">
        <v>0</v>
      </c>
      <c r="P41" s="26">
        <v>0</v>
      </c>
      <c r="Q41" s="26">
        <v>0</v>
      </c>
      <c r="R41" s="26">
        <v>0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</row>
    <row r="42" spans="1:23" x14ac:dyDescent="0.35">
      <c r="A42" s="12" t="s">
        <v>39</v>
      </c>
      <c r="B42" s="27">
        <v>131.84299226139294</v>
      </c>
      <c r="C42" s="27">
        <v>147.79793637145312</v>
      </c>
      <c r="D42" s="27">
        <v>115.67334479793637</v>
      </c>
      <c r="E42" s="27">
        <v>133.873086844368</v>
      </c>
      <c r="F42" s="27">
        <v>139.15167669819431</v>
      </c>
      <c r="G42" s="27">
        <v>145.48116938950986</v>
      </c>
      <c r="H42" s="27">
        <v>152.98091143594155</v>
      </c>
      <c r="I42" s="27">
        <v>175.95769561478932</v>
      </c>
      <c r="J42" s="27">
        <v>231.53723129836624</v>
      </c>
      <c r="K42" s="27">
        <v>228.36053310404122</v>
      </c>
      <c r="L42" s="27">
        <v>235.84411006018917</v>
      </c>
      <c r="M42" s="27">
        <v>243.25924333619946</v>
      </c>
      <c r="N42" s="27">
        <v>197.67128116938952</v>
      </c>
      <c r="O42" s="27">
        <v>180.86448839208941</v>
      </c>
      <c r="P42" s="27">
        <v>172.00644883920896</v>
      </c>
      <c r="Q42" s="27">
        <v>186.95356835769562</v>
      </c>
      <c r="R42" s="27">
        <v>190.83327601031812</v>
      </c>
      <c r="S42" s="27">
        <v>223.18632846087701</v>
      </c>
      <c r="T42" s="27">
        <v>246.975494411006</v>
      </c>
      <c r="U42" s="27">
        <v>261.17007738607049</v>
      </c>
      <c r="V42" s="27">
        <v>256.69337919174541</v>
      </c>
      <c r="W42" s="27">
        <v>248.39707652622525</v>
      </c>
    </row>
    <row r="43" spans="1:23" x14ac:dyDescent="0.35">
      <c r="A43" s="11" t="s">
        <v>40</v>
      </c>
      <c r="B43" s="26">
        <v>110.0602751504729</v>
      </c>
      <c r="C43" s="26">
        <v>125.39423903697333</v>
      </c>
      <c r="D43" s="26">
        <v>92.218658641444534</v>
      </c>
      <c r="E43" s="26">
        <v>108.67489251934651</v>
      </c>
      <c r="F43" s="26">
        <v>113.23697334479792</v>
      </c>
      <c r="G43" s="26">
        <v>117.44067067927772</v>
      </c>
      <c r="H43" s="26">
        <v>122.31306964746346</v>
      </c>
      <c r="I43" s="26">
        <v>144.02398968185724</v>
      </c>
      <c r="J43" s="26">
        <v>197.9077386070507</v>
      </c>
      <c r="K43" s="26">
        <v>191.74548581255371</v>
      </c>
      <c r="L43" s="26">
        <v>197.25554600171969</v>
      </c>
      <c r="M43" s="26">
        <v>202.54153052450556</v>
      </c>
      <c r="N43" s="26">
        <v>155.31917454858126</v>
      </c>
      <c r="O43" s="26">
        <v>134.93121238177127</v>
      </c>
      <c r="P43" s="26">
        <v>124.35760963026654</v>
      </c>
      <c r="Q43" s="26">
        <v>137.06070507308684</v>
      </c>
      <c r="R43" s="26">
        <v>129.67437661220978</v>
      </c>
      <c r="S43" s="26">
        <v>172.1566638005159</v>
      </c>
      <c r="T43" s="26">
        <v>187.18478073946687</v>
      </c>
      <c r="U43" s="26">
        <v>185.56723989681853</v>
      </c>
      <c r="V43" s="26">
        <v>182.20120378331893</v>
      </c>
      <c r="W43" s="26">
        <v>172.71014617368871</v>
      </c>
    </row>
    <row r="44" spans="1:23" x14ac:dyDescent="0.35">
      <c r="A44" s="11" t="s">
        <v>41</v>
      </c>
      <c r="B44" s="26">
        <v>0.28658641444539978</v>
      </c>
      <c r="C44" s="26">
        <v>0.31049011177987962</v>
      </c>
      <c r="D44" s="26">
        <v>0.90765262252794487</v>
      </c>
      <c r="E44" s="26">
        <v>2.5556319862424761</v>
      </c>
      <c r="F44" s="26">
        <v>3.176612209802236</v>
      </c>
      <c r="G44" s="26">
        <v>3.5827171109200342</v>
      </c>
      <c r="H44" s="26">
        <v>3.272226999140154</v>
      </c>
      <c r="I44" s="26">
        <v>3.463284608770421</v>
      </c>
      <c r="J44" s="26">
        <v>2.9616509028374889</v>
      </c>
      <c r="K44" s="26">
        <v>4.2036973344797932</v>
      </c>
      <c r="L44" s="26">
        <v>3.8848667239896808</v>
      </c>
      <c r="M44" s="26">
        <v>4.1193465176268269</v>
      </c>
      <c r="N44" s="26">
        <v>3.8354256233877901</v>
      </c>
      <c r="O44" s="26">
        <v>5.4245915735167669</v>
      </c>
      <c r="P44" s="26">
        <v>5.7929492691315563</v>
      </c>
      <c r="Q44" s="26">
        <v>5.8738607050730867</v>
      </c>
      <c r="R44" s="26">
        <v>14.647549441100599</v>
      </c>
      <c r="S44" s="26">
        <v>3.6141014617368872</v>
      </c>
      <c r="T44" s="26">
        <v>8.7257093723129842</v>
      </c>
      <c r="U44" s="26">
        <v>20.643852106620809</v>
      </c>
      <c r="V44" s="26">
        <v>14.196302665520211</v>
      </c>
      <c r="W44" s="26">
        <v>9.3461736887360267</v>
      </c>
    </row>
    <row r="45" spans="1:23" x14ac:dyDescent="0.35">
      <c r="A45" s="11" t="s">
        <v>42</v>
      </c>
      <c r="B45" s="26">
        <v>0</v>
      </c>
      <c r="C45" s="26">
        <v>0</v>
      </c>
      <c r="D45" s="26">
        <v>0</v>
      </c>
      <c r="E45" s="26">
        <v>0</v>
      </c>
      <c r="F45" s="26">
        <v>0</v>
      </c>
      <c r="G45" s="26">
        <v>0</v>
      </c>
      <c r="H45" s="26">
        <v>0</v>
      </c>
      <c r="I45" s="26">
        <v>0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  <c r="O45" s="26">
        <v>0</v>
      </c>
      <c r="P45" s="26">
        <v>0</v>
      </c>
      <c r="Q45" s="26">
        <v>0</v>
      </c>
      <c r="R45" s="26">
        <v>0</v>
      </c>
      <c r="S45" s="26">
        <v>0</v>
      </c>
      <c r="T45" s="26">
        <v>0</v>
      </c>
      <c r="U45" s="26">
        <v>0</v>
      </c>
      <c r="V45" s="26">
        <v>0</v>
      </c>
      <c r="W45" s="26">
        <v>0</v>
      </c>
    </row>
    <row r="46" spans="1:23" x14ac:dyDescent="0.35">
      <c r="A46" s="11" t="s">
        <v>43</v>
      </c>
      <c r="B46" s="26">
        <v>0</v>
      </c>
      <c r="C46" s="26">
        <v>0</v>
      </c>
      <c r="D46" s="26">
        <v>0</v>
      </c>
      <c r="E46" s="26">
        <v>0</v>
      </c>
      <c r="F46" s="26">
        <v>0</v>
      </c>
      <c r="G46" s="26">
        <v>0</v>
      </c>
      <c r="H46" s="26">
        <v>0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  <c r="P46" s="26">
        <v>0</v>
      </c>
      <c r="Q46" s="26">
        <v>0</v>
      </c>
      <c r="R46" s="26">
        <v>0</v>
      </c>
      <c r="S46" s="26">
        <v>0</v>
      </c>
      <c r="T46" s="26">
        <v>0</v>
      </c>
      <c r="U46" s="26">
        <v>0</v>
      </c>
      <c r="V46" s="26">
        <v>0</v>
      </c>
      <c r="W46" s="26">
        <v>0</v>
      </c>
    </row>
    <row r="47" spans="1:23" x14ac:dyDescent="0.35">
      <c r="A47" s="11" t="s">
        <v>44</v>
      </c>
      <c r="B47" s="26">
        <v>0</v>
      </c>
      <c r="C47" s="26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</row>
    <row r="48" spans="1:23" x14ac:dyDescent="0.35">
      <c r="A48" s="11" t="s">
        <v>45</v>
      </c>
      <c r="B48" s="26">
        <v>21.496130696474637</v>
      </c>
      <c r="C48" s="26">
        <v>22.09320722269991</v>
      </c>
      <c r="D48" s="26">
        <v>22.54703353396388</v>
      </c>
      <c r="E48" s="26">
        <v>22.642562338779022</v>
      </c>
      <c r="F48" s="26">
        <v>22.738091143594147</v>
      </c>
      <c r="G48" s="26">
        <v>24.457781599312124</v>
      </c>
      <c r="H48" s="26">
        <v>27.395614789337927</v>
      </c>
      <c r="I48" s="26">
        <v>28.470421324161649</v>
      </c>
      <c r="J48" s="26">
        <v>30.667841788478068</v>
      </c>
      <c r="K48" s="26">
        <v>32.411349957007737</v>
      </c>
      <c r="L48" s="26">
        <v>34.703697334479791</v>
      </c>
      <c r="M48" s="26">
        <v>36.59836629406707</v>
      </c>
      <c r="N48" s="26">
        <v>38.51668099742048</v>
      </c>
      <c r="O48" s="26">
        <v>40.508684436801374</v>
      </c>
      <c r="P48" s="26">
        <v>41.855889939810844</v>
      </c>
      <c r="Q48" s="26">
        <v>44.019002579535673</v>
      </c>
      <c r="R48" s="26">
        <v>46.511349957007731</v>
      </c>
      <c r="S48" s="26">
        <v>47.415563198624227</v>
      </c>
      <c r="T48" s="26">
        <v>51.065004299226125</v>
      </c>
      <c r="U48" s="26">
        <v>54.958985382631113</v>
      </c>
      <c r="V48" s="26">
        <v>60.295872742906262</v>
      </c>
      <c r="W48" s="26">
        <v>66.340756663800505</v>
      </c>
    </row>
    <row r="49" spans="1:23" x14ac:dyDescent="0.35">
      <c r="A49" s="13" t="s">
        <v>46</v>
      </c>
      <c r="B49" s="28">
        <v>159.40584694754941</v>
      </c>
      <c r="C49" s="28">
        <v>162.67790197764404</v>
      </c>
      <c r="D49" s="28">
        <v>166.26053310404126</v>
      </c>
      <c r="E49" s="28">
        <v>171.06147893379193</v>
      </c>
      <c r="F49" s="28">
        <v>162.5106620808254</v>
      </c>
      <c r="G49" s="28">
        <v>152.19277730008599</v>
      </c>
      <c r="H49" s="28">
        <v>145.79148753224422</v>
      </c>
      <c r="I49" s="28">
        <v>126.75554600171968</v>
      </c>
      <c r="J49" s="28">
        <v>120.25889939810834</v>
      </c>
      <c r="K49" s="28">
        <v>112.95012897678416</v>
      </c>
      <c r="L49" s="28">
        <v>112.01883061049011</v>
      </c>
      <c r="M49" s="28">
        <v>107.28950988822012</v>
      </c>
      <c r="N49" s="28">
        <v>119.39896818572659</v>
      </c>
      <c r="O49" s="28">
        <v>99.789853826311258</v>
      </c>
      <c r="P49" s="28">
        <v>66.184264832330186</v>
      </c>
      <c r="Q49" s="28">
        <v>55.037489251934652</v>
      </c>
      <c r="R49" s="28">
        <v>78.053482373172841</v>
      </c>
      <c r="S49" s="28">
        <v>77.469303525365433</v>
      </c>
      <c r="T49" s="28">
        <v>76.818658641444543</v>
      </c>
      <c r="U49" s="28">
        <v>75.524419604471177</v>
      </c>
      <c r="V49" s="28">
        <v>83.987102321582114</v>
      </c>
      <c r="W49" s="28">
        <v>88.620722269991376</v>
      </c>
    </row>
    <row r="50" spans="1:23" x14ac:dyDescent="0.35">
      <c r="A50" s="14" t="s">
        <v>47</v>
      </c>
      <c r="B50" s="29">
        <v>859.24333619948425</v>
      </c>
      <c r="C50" s="29">
        <v>859.67325881341355</v>
      </c>
      <c r="D50" s="29">
        <v>847.72141014617375</v>
      </c>
      <c r="E50" s="29">
        <v>830.35253654342205</v>
      </c>
      <c r="F50" s="29">
        <v>857.69561478933781</v>
      </c>
      <c r="G50" s="29">
        <v>882.28718830610501</v>
      </c>
      <c r="H50" s="29">
        <v>871.71109200343926</v>
      </c>
      <c r="I50" s="29">
        <v>850.73086844368004</v>
      </c>
      <c r="J50" s="29">
        <v>822.35597592433351</v>
      </c>
      <c r="K50" s="29">
        <v>722.09802235597601</v>
      </c>
      <c r="L50" s="29">
        <v>732.07222699914007</v>
      </c>
      <c r="M50" s="29">
        <v>743.59415305245068</v>
      </c>
      <c r="N50" s="29">
        <v>734.56577815993114</v>
      </c>
      <c r="O50" s="29">
        <v>718.74462596732587</v>
      </c>
      <c r="P50" s="29">
        <v>706.27687016337052</v>
      </c>
      <c r="Q50" s="29">
        <v>719.14780739466892</v>
      </c>
      <c r="R50" s="29">
        <v>724.07540842648336</v>
      </c>
      <c r="S50" s="29">
        <v>737.119690455718</v>
      </c>
      <c r="T50" s="29">
        <v>742.86397248495268</v>
      </c>
      <c r="U50" s="29">
        <v>715.05898538263114</v>
      </c>
      <c r="V50" s="29">
        <v>732.83104041272566</v>
      </c>
      <c r="W50" s="29">
        <v>776.68331900257965</v>
      </c>
    </row>
    <row r="51" spans="1:23" x14ac:dyDescent="0.35">
      <c r="A51" s="24" t="s">
        <v>48</v>
      </c>
      <c r="B51" s="32">
        <v>2944.0627687016336</v>
      </c>
      <c r="C51" s="32">
        <v>3035.1761822871872</v>
      </c>
      <c r="D51" s="32">
        <v>2855.9061908856402</v>
      </c>
      <c r="E51" s="32">
        <v>2864.5073086844368</v>
      </c>
      <c r="F51" s="32">
        <v>2906.2907136715389</v>
      </c>
      <c r="G51" s="32">
        <v>2873.2321582115219</v>
      </c>
      <c r="H51" s="32">
        <v>2914.1711951848665</v>
      </c>
      <c r="I51" s="32">
        <v>2832.3589853826311</v>
      </c>
      <c r="J51" s="32">
        <v>2716.4907996560614</v>
      </c>
      <c r="K51" s="32">
        <v>2352.5037833190017</v>
      </c>
      <c r="L51" s="32">
        <v>2446.4946689595868</v>
      </c>
      <c r="M51" s="32">
        <v>2442.2841788478081</v>
      </c>
      <c r="N51" s="32">
        <v>2303.3634565778166</v>
      </c>
      <c r="O51" s="32">
        <v>2179.3844368013756</v>
      </c>
      <c r="P51" s="32">
        <v>2120.599054170249</v>
      </c>
      <c r="Q51" s="32">
        <v>2109.3854686156501</v>
      </c>
      <c r="R51" s="32">
        <v>2165.6235597592431</v>
      </c>
      <c r="S51" s="32">
        <v>2284.7654342218398</v>
      </c>
      <c r="T51" s="32">
        <v>2314.6359415305246</v>
      </c>
      <c r="U51" s="32">
        <v>2257.7165090283747</v>
      </c>
      <c r="V51" s="32">
        <v>2304.3745485812556</v>
      </c>
      <c r="W51" s="32">
        <v>2474.7362854686153</v>
      </c>
    </row>
    <row r="52" spans="1:23" x14ac:dyDescent="0.35">
      <c r="A52" s="10" t="s">
        <v>2</v>
      </c>
      <c r="B52" s="31">
        <v>157.5513977796943</v>
      </c>
      <c r="C52" s="31">
        <v>162.87719491538459</v>
      </c>
      <c r="D52" s="31">
        <v>110.54084862930149</v>
      </c>
      <c r="E52" s="31">
        <v>105.4773383206698</v>
      </c>
      <c r="F52" s="31">
        <v>105.276505687146</v>
      </c>
      <c r="G52" s="31">
        <v>106.501499286529</v>
      </c>
      <c r="H52" s="31">
        <v>106.076222208426</v>
      </c>
      <c r="I52" s="31">
        <v>104.38751077824379</v>
      </c>
      <c r="J52" s="31">
        <v>95.554684605763583</v>
      </c>
      <c r="K52" s="31">
        <v>50.781008208378211</v>
      </c>
      <c r="L52" s="31">
        <v>54.179371006213287</v>
      </c>
      <c r="M52" s="31">
        <v>62.360505091531962</v>
      </c>
      <c r="N52" s="31">
        <v>79.707065108794552</v>
      </c>
      <c r="O52" s="31">
        <v>80.703636999990664</v>
      </c>
      <c r="P52" s="31">
        <v>86.178624793699655</v>
      </c>
      <c r="Q52" s="31">
        <v>83.589001577271432</v>
      </c>
      <c r="R52" s="31">
        <v>87.332429342909592</v>
      </c>
      <c r="S52" s="31">
        <v>91.790526753756012</v>
      </c>
      <c r="T52" s="31">
        <v>97.210906686006126</v>
      </c>
      <c r="U52" s="31">
        <v>90.714310613807314</v>
      </c>
      <c r="V52" s="31">
        <v>86.887832330829397</v>
      </c>
      <c r="W52" s="31">
        <v>90.290700273922084</v>
      </c>
    </row>
    <row r="53" spans="1:23" x14ac:dyDescent="0.35">
      <c r="A53" s="11" t="s">
        <v>49</v>
      </c>
      <c r="B53" s="26">
        <v>0</v>
      </c>
      <c r="C53" s="26">
        <v>0</v>
      </c>
      <c r="D53" s="26">
        <v>0</v>
      </c>
      <c r="E53" s="26">
        <v>0</v>
      </c>
      <c r="F53" s="26">
        <v>0</v>
      </c>
      <c r="G53" s="26">
        <v>0</v>
      </c>
      <c r="H53" s="26">
        <v>0</v>
      </c>
      <c r="I53" s="26">
        <v>0</v>
      </c>
      <c r="J53" s="26">
        <v>0</v>
      </c>
      <c r="K53" s="26">
        <v>0</v>
      </c>
      <c r="L53" s="26">
        <v>0</v>
      </c>
      <c r="M53" s="26">
        <v>0</v>
      </c>
      <c r="N53" s="26">
        <v>0</v>
      </c>
      <c r="O53" s="26">
        <v>0</v>
      </c>
      <c r="P53" s="26">
        <v>0</v>
      </c>
      <c r="Q53" s="26">
        <v>0</v>
      </c>
      <c r="R53" s="26">
        <v>0</v>
      </c>
      <c r="S53" s="26">
        <v>0</v>
      </c>
      <c r="T53" s="26">
        <v>0</v>
      </c>
      <c r="U53" s="26">
        <v>0</v>
      </c>
      <c r="V53" s="26">
        <v>0</v>
      </c>
      <c r="W53" s="26">
        <v>0</v>
      </c>
    </row>
    <row r="54" spans="1:23" x14ac:dyDescent="0.35">
      <c r="A54" s="11" t="s">
        <v>50</v>
      </c>
      <c r="B54" s="26">
        <v>157.5513977796943</v>
      </c>
      <c r="C54" s="26">
        <v>162.87719491538459</v>
      </c>
      <c r="D54" s="26">
        <v>110.54084862930149</v>
      </c>
      <c r="E54" s="26">
        <v>105.4773383206698</v>
      </c>
      <c r="F54" s="26">
        <v>105.276505687146</v>
      </c>
      <c r="G54" s="26">
        <v>106.501499286529</v>
      </c>
      <c r="H54" s="26">
        <v>106.076222208426</v>
      </c>
      <c r="I54" s="26">
        <v>104.38751077824379</v>
      </c>
      <c r="J54" s="26">
        <v>95.554684605763583</v>
      </c>
      <c r="K54" s="26">
        <v>50.781008208378211</v>
      </c>
      <c r="L54" s="26">
        <v>54.179371006213287</v>
      </c>
      <c r="M54" s="26">
        <v>62.360505091531962</v>
      </c>
      <c r="N54" s="26">
        <v>79.707065108794552</v>
      </c>
      <c r="O54" s="26">
        <v>80.703636999990664</v>
      </c>
      <c r="P54" s="26">
        <v>86.178624793699655</v>
      </c>
      <c r="Q54" s="26">
        <v>83.589001577271432</v>
      </c>
      <c r="R54" s="26">
        <v>87.332429342909592</v>
      </c>
      <c r="S54" s="26">
        <v>91.790526753756012</v>
      </c>
      <c r="T54" s="26">
        <v>97.210906686006126</v>
      </c>
      <c r="U54" s="26">
        <v>90.714310613807314</v>
      </c>
      <c r="V54" s="26">
        <v>86.887832330829397</v>
      </c>
      <c r="W54" s="26">
        <v>90.290700273922084</v>
      </c>
    </row>
    <row r="55" spans="1:23" x14ac:dyDescent="0.35">
      <c r="A55" s="12" t="s">
        <v>3</v>
      </c>
      <c r="B55" s="27">
        <v>0</v>
      </c>
      <c r="C55" s="27">
        <v>0</v>
      </c>
      <c r="D55" s="27">
        <v>0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  <c r="V55" s="27">
        <v>0</v>
      </c>
      <c r="W55" s="27">
        <v>0</v>
      </c>
    </row>
    <row r="56" spans="1:23" x14ac:dyDescent="0.35">
      <c r="A56" s="11" t="s">
        <v>4</v>
      </c>
      <c r="B56" s="26">
        <v>0</v>
      </c>
      <c r="C56" s="26">
        <v>0</v>
      </c>
      <c r="D56" s="26">
        <v>0</v>
      </c>
      <c r="E56" s="26">
        <v>0</v>
      </c>
      <c r="F56" s="26">
        <v>0</v>
      </c>
      <c r="G56" s="26">
        <v>0</v>
      </c>
      <c r="H56" s="26">
        <v>0</v>
      </c>
      <c r="I56" s="26">
        <v>0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P56" s="26">
        <v>0</v>
      </c>
      <c r="Q56" s="26">
        <v>0</v>
      </c>
      <c r="R56" s="26">
        <v>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</row>
    <row r="57" spans="1:23" x14ac:dyDescent="0.35">
      <c r="A57" s="11" t="s">
        <v>5</v>
      </c>
      <c r="B57" s="26">
        <v>0</v>
      </c>
      <c r="C57" s="26">
        <v>0</v>
      </c>
      <c r="D57" s="26">
        <v>0</v>
      </c>
      <c r="E57" s="26">
        <v>0</v>
      </c>
      <c r="F57" s="26">
        <v>0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>
        <v>0</v>
      </c>
      <c r="P57" s="26">
        <v>0</v>
      </c>
      <c r="Q57" s="26">
        <v>0</v>
      </c>
      <c r="R57" s="26">
        <v>0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</row>
    <row r="58" spans="1:23" x14ac:dyDescent="0.35">
      <c r="A58" s="15" t="s">
        <v>51</v>
      </c>
      <c r="B58" s="33">
        <v>0</v>
      </c>
      <c r="C58" s="33">
        <v>0</v>
      </c>
      <c r="D58" s="33">
        <v>0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3">
        <v>0</v>
      </c>
      <c r="T58" s="33">
        <v>0</v>
      </c>
      <c r="U58" s="33">
        <v>0</v>
      </c>
      <c r="V58" s="33">
        <v>0</v>
      </c>
      <c r="W58" s="33">
        <v>0</v>
      </c>
    </row>
    <row r="59" spans="1:23" x14ac:dyDescent="0.35">
      <c r="A59" s="16" t="s">
        <v>52</v>
      </c>
      <c r="B59" s="34">
        <v>0</v>
      </c>
      <c r="C59" s="34">
        <v>0</v>
      </c>
      <c r="D59" s="34">
        <v>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4">
        <v>0</v>
      </c>
      <c r="U59" s="34">
        <v>0</v>
      </c>
      <c r="V59" s="34">
        <v>0</v>
      </c>
      <c r="W59" s="34">
        <v>0</v>
      </c>
    </row>
    <row r="60" spans="1:23" x14ac:dyDescent="0.35">
      <c r="A60" s="11" t="s">
        <v>6</v>
      </c>
      <c r="B60" s="26">
        <v>0</v>
      </c>
      <c r="C60" s="26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</row>
    <row r="61" spans="1:23" x14ac:dyDescent="0.35">
      <c r="A61" s="12" t="s">
        <v>7</v>
      </c>
      <c r="B61" s="27">
        <v>272.56522449296648</v>
      </c>
      <c r="C61" s="27">
        <v>289.98758472642885</v>
      </c>
      <c r="D61" s="27">
        <v>281.49593967774558</v>
      </c>
      <c r="E61" s="27">
        <v>269.91267135895083</v>
      </c>
      <c r="F61" s="27">
        <v>253.79246384840425</v>
      </c>
      <c r="G61" s="27">
        <v>258.37260982852831</v>
      </c>
      <c r="H61" s="27">
        <v>242.93509116345433</v>
      </c>
      <c r="I61" s="27">
        <v>220.09185863591009</v>
      </c>
      <c r="J61" s="27">
        <v>246.25586423504407</v>
      </c>
      <c r="K61" s="27">
        <v>244.89784415559325</v>
      </c>
      <c r="L61" s="27">
        <v>260.99106615092666</v>
      </c>
      <c r="M61" s="27">
        <v>271.71985430423757</v>
      </c>
      <c r="N61" s="27">
        <v>287.07952279169223</v>
      </c>
      <c r="O61" s="27">
        <v>273.17405331971173</v>
      </c>
      <c r="P61" s="27">
        <v>264.21081393080203</v>
      </c>
      <c r="Q61" s="27">
        <v>259.61204178433917</v>
      </c>
      <c r="R61" s="27">
        <v>278.87291569490378</v>
      </c>
      <c r="S61" s="27">
        <v>286.63189812655378</v>
      </c>
      <c r="T61" s="27">
        <v>258.85863659750993</v>
      </c>
      <c r="U61" s="27">
        <v>257.58185773220879</v>
      </c>
      <c r="V61" s="27">
        <v>268.65294808222387</v>
      </c>
      <c r="W61" s="27">
        <v>312.16528021020667</v>
      </c>
    </row>
    <row r="62" spans="1:23" x14ac:dyDescent="0.35">
      <c r="A62" s="11" t="s">
        <v>8</v>
      </c>
      <c r="B62" s="26">
        <v>0</v>
      </c>
      <c r="C62" s="26">
        <v>0</v>
      </c>
      <c r="D62" s="26"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P62" s="26">
        <v>0</v>
      </c>
      <c r="Q62" s="26">
        <v>0</v>
      </c>
      <c r="R62" s="26">
        <v>0</v>
      </c>
      <c r="S62" s="26">
        <v>0</v>
      </c>
      <c r="T62" s="26">
        <v>0</v>
      </c>
      <c r="U62" s="26">
        <v>0</v>
      </c>
      <c r="V62" s="26">
        <v>0</v>
      </c>
      <c r="W62" s="26">
        <v>0</v>
      </c>
    </row>
    <row r="63" spans="1:23" x14ac:dyDescent="0.35">
      <c r="A63" s="11" t="s">
        <v>9</v>
      </c>
      <c r="B63" s="26">
        <v>216.67807904385481</v>
      </c>
      <c r="C63" s="26">
        <v>227.39799373012369</v>
      </c>
      <c r="D63" s="26">
        <v>226.0060309940545</v>
      </c>
      <c r="E63" s="26">
        <v>206.06298054109959</v>
      </c>
      <c r="F63" s="26">
        <v>191.39672766722879</v>
      </c>
      <c r="G63" s="26">
        <v>193.93389332231669</v>
      </c>
      <c r="H63" s="26">
        <v>181.88841565168079</v>
      </c>
      <c r="I63" s="26">
        <v>163.56560778069931</v>
      </c>
      <c r="J63" s="26">
        <v>185.57952248080679</v>
      </c>
      <c r="K63" s="26">
        <v>177.36741005419171</v>
      </c>
      <c r="L63" s="26">
        <v>174.02727518885541</v>
      </c>
      <c r="M63" s="26">
        <v>189.31085459085261</v>
      </c>
      <c r="N63" s="26">
        <v>211.64721171879651</v>
      </c>
      <c r="O63" s="26">
        <v>199.33962129525389</v>
      </c>
      <c r="P63" s="26">
        <v>195.42080724311691</v>
      </c>
      <c r="Q63" s="26">
        <v>191.19224623642671</v>
      </c>
      <c r="R63" s="26">
        <v>202.37296346408311</v>
      </c>
      <c r="S63" s="26">
        <v>211.08016410534429</v>
      </c>
      <c r="T63" s="26">
        <v>183.26391031490749</v>
      </c>
      <c r="U63" s="26">
        <v>179.84229529789141</v>
      </c>
      <c r="V63" s="26">
        <v>185.15003416228501</v>
      </c>
      <c r="W63" s="26">
        <v>218.27968882702211</v>
      </c>
    </row>
    <row r="64" spans="1:23" x14ac:dyDescent="0.35">
      <c r="A64" s="11" t="s">
        <v>10</v>
      </c>
      <c r="B64" s="26">
        <v>55.887145449111692</v>
      </c>
      <c r="C64" s="26">
        <v>62.589590996305162</v>
      </c>
      <c r="D64" s="26">
        <v>55.489908683691112</v>
      </c>
      <c r="E64" s="26">
        <v>63.849690817851233</v>
      </c>
      <c r="F64" s="26">
        <v>62.395736181175458</v>
      </c>
      <c r="G64" s="26">
        <v>64.438716506211605</v>
      </c>
      <c r="H64" s="26">
        <v>61.046675511773543</v>
      </c>
      <c r="I64" s="26">
        <v>56.526250855210769</v>
      </c>
      <c r="J64" s="26">
        <v>60.676341754237278</v>
      </c>
      <c r="K64" s="26">
        <v>67.530434101401525</v>
      </c>
      <c r="L64" s="26">
        <v>86.963790962071258</v>
      </c>
      <c r="M64" s="26">
        <v>82.408999713384958</v>
      </c>
      <c r="N64" s="26">
        <v>75.432311072895729</v>
      </c>
      <c r="O64" s="26">
        <v>73.834432024457854</v>
      </c>
      <c r="P64" s="26">
        <v>68.790006687685107</v>
      </c>
      <c r="Q64" s="26">
        <v>68.419795547912472</v>
      </c>
      <c r="R64" s="26">
        <v>76.499952230820668</v>
      </c>
      <c r="S64" s="26">
        <v>75.551734021209512</v>
      </c>
      <c r="T64" s="26">
        <v>75.594726282602451</v>
      </c>
      <c r="U64" s="26">
        <v>77.739562434317378</v>
      </c>
      <c r="V64" s="26">
        <v>83.502913919938862</v>
      </c>
      <c r="W64" s="26">
        <v>93.885591383184533</v>
      </c>
    </row>
    <row r="65" spans="1:23" x14ac:dyDescent="0.35">
      <c r="A65" s="12" t="s">
        <v>11</v>
      </c>
      <c r="B65" s="27">
        <v>616.37516188029167</v>
      </c>
      <c r="C65" s="27">
        <v>608.27719977943923</v>
      </c>
      <c r="D65" s="27">
        <v>577.98845455113576</v>
      </c>
      <c r="E65" s="27">
        <v>607.68522162059628</v>
      </c>
      <c r="F65" s="27">
        <v>641.68103443677228</v>
      </c>
      <c r="G65" s="27">
        <v>626.61669427590653</v>
      </c>
      <c r="H65" s="27">
        <v>663.15186729584707</v>
      </c>
      <c r="I65" s="27">
        <v>686.43982938770637</v>
      </c>
      <c r="J65" s="27">
        <v>515.90121129539205</v>
      </c>
      <c r="K65" s="27">
        <v>410.18365798720185</v>
      </c>
      <c r="L65" s="27">
        <v>402.37047184961818</v>
      </c>
      <c r="M65" s="27">
        <v>460.94601823331084</v>
      </c>
      <c r="N65" s="27">
        <v>476.46290872380064</v>
      </c>
      <c r="O65" s="27">
        <v>447.1309730840668</v>
      </c>
      <c r="P65" s="27">
        <v>447.74361788924637</v>
      </c>
      <c r="Q65" s="27">
        <v>448.85712423012836</v>
      </c>
      <c r="R65" s="27">
        <v>508.47479528513395</v>
      </c>
      <c r="S65" s="27">
        <v>553.6449776569691</v>
      </c>
      <c r="T65" s="27">
        <v>580.57687964091724</v>
      </c>
      <c r="U65" s="27">
        <v>565.38918616579963</v>
      </c>
      <c r="V65" s="27">
        <v>593.19108154254093</v>
      </c>
      <c r="W65" s="27">
        <v>599.26331177737347</v>
      </c>
    </row>
    <row r="66" spans="1:23" x14ac:dyDescent="0.35">
      <c r="A66" s="11" t="s">
        <v>12</v>
      </c>
      <c r="B66" s="26">
        <v>169.81072499999999</v>
      </c>
      <c r="C66" s="26">
        <v>191.30946747623091</v>
      </c>
      <c r="D66" s="26">
        <v>182.6207989246906</v>
      </c>
      <c r="E66" s="26">
        <v>179.55721485051191</v>
      </c>
      <c r="F66" s="26">
        <v>200.57985966493911</v>
      </c>
      <c r="G66" s="26">
        <v>177.77250072826189</v>
      </c>
      <c r="H66" s="26">
        <v>238.75297425199611</v>
      </c>
      <c r="I66" s="26">
        <v>224.8640700250846</v>
      </c>
      <c r="J66" s="26">
        <v>217.31195337963851</v>
      </c>
      <c r="K66" s="26">
        <v>135.01654519548359</v>
      </c>
      <c r="L66" s="26">
        <v>128.50076425789601</v>
      </c>
      <c r="M66" s="26">
        <v>150.06798118110569</v>
      </c>
      <c r="N66" s="26">
        <v>155.54362998412151</v>
      </c>
      <c r="O66" s="26">
        <v>156.88758356895349</v>
      </c>
      <c r="P66" s="26">
        <v>163.08967449517979</v>
      </c>
      <c r="Q66" s="26">
        <v>171.55844171147089</v>
      </c>
      <c r="R66" s="26">
        <v>197.07021814189619</v>
      </c>
      <c r="S66" s="26">
        <v>198.97312302844671</v>
      </c>
      <c r="T66" s="26">
        <v>189.0138861234941</v>
      </c>
      <c r="U66" s="26">
        <v>195.91485433774321</v>
      </c>
      <c r="V66" s="26">
        <v>197.7682793943053</v>
      </c>
      <c r="W66" s="26">
        <v>198.47080544336171</v>
      </c>
    </row>
    <row r="67" spans="1:23" x14ac:dyDescent="0.35">
      <c r="A67" s="11" t="s">
        <v>13</v>
      </c>
      <c r="B67" s="26">
        <v>407.35000163830682</v>
      </c>
      <c r="C67" s="26">
        <v>373.5446477931257</v>
      </c>
      <c r="D67" s="26">
        <v>356.81724781950032</v>
      </c>
      <c r="E67" s="26">
        <v>392.54968993448159</v>
      </c>
      <c r="F67" s="26">
        <v>406.4138632148223</v>
      </c>
      <c r="G67" s="26">
        <v>419.52768200165002</v>
      </c>
      <c r="H67" s="26">
        <v>377.7995112950266</v>
      </c>
      <c r="I67" s="26">
        <v>413.64331409776628</v>
      </c>
      <c r="J67" s="26">
        <v>251.25358149464989</v>
      </c>
      <c r="K67" s="26">
        <v>244.79911908470891</v>
      </c>
      <c r="L67" s="26">
        <v>242.31955579140529</v>
      </c>
      <c r="M67" s="26">
        <v>276.18806838693121</v>
      </c>
      <c r="N67" s="26">
        <v>281.09999357194499</v>
      </c>
      <c r="O67" s="26">
        <v>245.49706019175611</v>
      </c>
      <c r="P67" s="26">
        <v>239.34175112318411</v>
      </c>
      <c r="Q67" s="26">
        <v>240.5763413511292</v>
      </c>
      <c r="R67" s="26">
        <v>273.45150286138869</v>
      </c>
      <c r="S67" s="26">
        <v>320.68888116046708</v>
      </c>
      <c r="T67" s="26">
        <v>356.14959985046869</v>
      </c>
      <c r="U67" s="26">
        <v>339.7646868660463</v>
      </c>
      <c r="V67" s="26">
        <v>370.55089122460862</v>
      </c>
      <c r="W67" s="26">
        <v>375.95963803368971</v>
      </c>
    </row>
    <row r="68" spans="1:23" x14ac:dyDescent="0.35">
      <c r="A68" s="11" t="s">
        <v>14</v>
      </c>
      <c r="B68" s="26">
        <v>39.214435241984823</v>
      </c>
      <c r="C68" s="26">
        <v>43.42308451008266</v>
      </c>
      <c r="D68" s="26">
        <v>38.550407806944797</v>
      </c>
      <c r="E68" s="26">
        <v>35.578316835602827</v>
      </c>
      <c r="F68" s="26">
        <v>34.687311557010823</v>
      </c>
      <c r="G68" s="26">
        <v>29.316511545994612</v>
      </c>
      <c r="H68" s="26">
        <v>46.599381748824342</v>
      </c>
      <c r="I68" s="26">
        <v>47.932445264855467</v>
      </c>
      <c r="J68" s="26">
        <v>47.335676421103599</v>
      </c>
      <c r="K68" s="26">
        <v>30.367993707009379</v>
      </c>
      <c r="L68" s="26">
        <v>31.55015180031689</v>
      </c>
      <c r="M68" s="26">
        <v>34.689968665273902</v>
      </c>
      <c r="N68" s="26">
        <v>39.819285167734158</v>
      </c>
      <c r="O68" s="26">
        <v>44.74632932335723</v>
      </c>
      <c r="P68" s="26">
        <v>45.312192270882441</v>
      </c>
      <c r="Q68" s="26">
        <v>36.722341167528278</v>
      </c>
      <c r="R68" s="26">
        <v>37.953074281849098</v>
      </c>
      <c r="S68" s="26">
        <v>33.982973468055313</v>
      </c>
      <c r="T68" s="26">
        <v>35.413393666954413</v>
      </c>
      <c r="U68" s="26">
        <v>29.70964496201006</v>
      </c>
      <c r="V68" s="26">
        <v>24.871910923627109</v>
      </c>
      <c r="W68" s="26">
        <v>24.832868300322101</v>
      </c>
    </row>
    <row r="69" spans="1:23" x14ac:dyDescent="0.35">
      <c r="A69" s="12" t="s">
        <v>15</v>
      </c>
      <c r="B69" s="27">
        <v>128.47121848483812</v>
      </c>
      <c r="C69" s="27">
        <v>136.92767776236266</v>
      </c>
      <c r="D69" s="27">
        <v>132.8135062275839</v>
      </c>
      <c r="E69" s="27">
        <v>140.14518137214731</v>
      </c>
      <c r="F69" s="27">
        <v>140.84670606402935</v>
      </c>
      <c r="G69" s="27">
        <v>127.68953529838802</v>
      </c>
      <c r="H69" s="27">
        <v>128.74347725584292</v>
      </c>
      <c r="I69" s="27">
        <v>119.31830032273351</v>
      </c>
      <c r="J69" s="27">
        <v>142.95477254636359</v>
      </c>
      <c r="K69" s="27">
        <v>141.3087995390799</v>
      </c>
      <c r="L69" s="27">
        <v>147.84263239480373</v>
      </c>
      <c r="M69" s="27">
        <v>145.17492641800055</v>
      </c>
      <c r="N69" s="27">
        <v>101.49149075121514</v>
      </c>
      <c r="O69" s="27">
        <v>95.252267919947187</v>
      </c>
      <c r="P69" s="27">
        <v>81.001811574856447</v>
      </c>
      <c r="Q69" s="27">
        <v>77.425608765848509</v>
      </c>
      <c r="R69" s="27">
        <v>56.113525674687949</v>
      </c>
      <c r="S69" s="27">
        <v>62.830109165136847</v>
      </c>
      <c r="T69" s="27">
        <v>70.32294810416542</v>
      </c>
      <c r="U69" s="27">
        <v>64.930822233158963</v>
      </c>
      <c r="V69" s="27">
        <v>64.94747153793567</v>
      </c>
      <c r="W69" s="27">
        <v>64.275217495117332</v>
      </c>
    </row>
    <row r="70" spans="1:23" x14ac:dyDescent="0.35">
      <c r="A70" s="11" t="s">
        <v>16</v>
      </c>
      <c r="B70" s="26">
        <v>0</v>
      </c>
      <c r="C70" s="26">
        <v>0</v>
      </c>
      <c r="D70" s="26">
        <v>0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  <c r="J70" s="26">
        <v>4.3741526329710014</v>
      </c>
      <c r="K70" s="26">
        <v>4.313787175924797</v>
      </c>
      <c r="L70" s="26">
        <v>6.0509996178178111</v>
      </c>
      <c r="M70" s="26">
        <v>4.2538404934258107</v>
      </c>
      <c r="N70" s="26">
        <v>5.4584987528059337</v>
      </c>
      <c r="O70" s="26">
        <v>3.088144778483541</v>
      </c>
      <c r="P70" s="26">
        <v>2.4296287780276851</v>
      </c>
      <c r="Q70" s="26">
        <v>2.510192089411587</v>
      </c>
      <c r="R70" s="26">
        <v>2.3821758091433778</v>
      </c>
      <c r="S70" s="26">
        <v>2.6772014764866201</v>
      </c>
      <c r="T70" s="26">
        <v>2.9020174219709558</v>
      </c>
      <c r="U70" s="26">
        <v>2.684295919653048</v>
      </c>
      <c r="V70" s="26">
        <v>2.6896804105324739</v>
      </c>
      <c r="W70" s="26">
        <v>2.661840242361901</v>
      </c>
    </row>
    <row r="71" spans="1:23" x14ac:dyDescent="0.35">
      <c r="A71" s="11" t="s">
        <v>17</v>
      </c>
      <c r="B71" s="26">
        <v>114.4918357445425</v>
      </c>
      <c r="C71" s="26">
        <v>122.0281194196056</v>
      </c>
      <c r="D71" s="26">
        <v>118.3616246424867</v>
      </c>
      <c r="E71" s="26">
        <v>124.8955157060541</v>
      </c>
      <c r="F71" s="26">
        <v>125.52070515113731</v>
      </c>
      <c r="G71" s="26">
        <v>113.79521011864109</v>
      </c>
      <c r="H71" s="26">
        <v>114.73446912856051</v>
      </c>
      <c r="I71" s="26">
        <v>106.33487720427151</v>
      </c>
      <c r="J71" s="26">
        <v>123.02523323965779</v>
      </c>
      <c r="K71" s="26">
        <v>121.6187295145446</v>
      </c>
      <c r="L71" s="26">
        <v>125.7043817338762</v>
      </c>
      <c r="M71" s="26">
        <v>125.1241168864785</v>
      </c>
      <c r="N71" s="26">
        <v>84.989363621350947</v>
      </c>
      <c r="O71" s="26">
        <v>83.872348994143493</v>
      </c>
      <c r="P71" s="26">
        <v>70.978794051247405</v>
      </c>
      <c r="Q71" s="26">
        <v>67.05069899228674</v>
      </c>
      <c r="R71" s="26">
        <v>46.529668390432313</v>
      </c>
      <c r="S71" s="26">
        <v>53.276056632951367</v>
      </c>
      <c r="T71" s="26">
        <v>60.886106950466171</v>
      </c>
      <c r="U71" s="26">
        <v>56.395757229718782</v>
      </c>
      <c r="V71" s="26">
        <v>57.006047552357813</v>
      </c>
      <c r="W71" s="26">
        <v>56.415993081803357</v>
      </c>
    </row>
    <row r="72" spans="1:23" x14ac:dyDescent="0.35">
      <c r="A72" s="11" t="s">
        <v>18</v>
      </c>
      <c r="B72" s="26">
        <v>13.97938274029563</v>
      </c>
      <c r="C72" s="26">
        <v>14.89955834275705</v>
      </c>
      <c r="D72" s="26">
        <v>14.451881585097199</v>
      </c>
      <c r="E72" s="26">
        <v>15.249665666093209</v>
      </c>
      <c r="F72" s="26">
        <v>15.32600091289205</v>
      </c>
      <c r="G72" s="26">
        <v>13.89432517974693</v>
      </c>
      <c r="H72" s="26">
        <v>14.009008127282421</v>
      </c>
      <c r="I72" s="26">
        <v>12.983423118461999</v>
      </c>
      <c r="J72" s="26">
        <v>15.555386673734789</v>
      </c>
      <c r="K72" s="26">
        <v>15.37628284861049</v>
      </c>
      <c r="L72" s="26">
        <v>16.087251043109731</v>
      </c>
      <c r="M72" s="26">
        <v>15.79696903809624</v>
      </c>
      <c r="N72" s="26">
        <v>11.04362837705826</v>
      </c>
      <c r="O72" s="26">
        <v>8.2917741473201509</v>
      </c>
      <c r="P72" s="26">
        <v>7.5933887455813496</v>
      </c>
      <c r="Q72" s="26">
        <v>7.8647176841501851</v>
      </c>
      <c r="R72" s="26">
        <v>7.201681475112256</v>
      </c>
      <c r="S72" s="26">
        <v>6.8768510556988609</v>
      </c>
      <c r="T72" s="26">
        <v>6.534823731728288</v>
      </c>
      <c r="U72" s="26">
        <v>5.8507690837871413</v>
      </c>
      <c r="V72" s="26">
        <v>5.2517435750453814</v>
      </c>
      <c r="W72" s="26">
        <v>5.1973841709520734</v>
      </c>
    </row>
    <row r="73" spans="1:23" x14ac:dyDescent="0.35">
      <c r="A73" s="13" t="s">
        <v>19</v>
      </c>
      <c r="B73" s="28">
        <v>732.55219107034179</v>
      </c>
      <c r="C73" s="28">
        <v>762.4477113887001</v>
      </c>
      <c r="D73" s="28">
        <v>732.30626034589545</v>
      </c>
      <c r="E73" s="28">
        <v>696.14093452126076</v>
      </c>
      <c r="F73" s="28">
        <v>707.39677768743002</v>
      </c>
      <c r="G73" s="28">
        <v>727.07665936539161</v>
      </c>
      <c r="H73" s="28">
        <v>746.08763984765687</v>
      </c>
      <c r="I73" s="28">
        <v>690.57131400430967</v>
      </c>
      <c r="J73" s="28">
        <v>724.35093568803291</v>
      </c>
      <c r="K73" s="28">
        <v>640.09581639468081</v>
      </c>
      <c r="L73" s="28">
        <v>690.16558486371878</v>
      </c>
      <c r="M73" s="28">
        <v>660.42510722665122</v>
      </c>
      <c r="N73" s="28">
        <v>616.70636671150874</v>
      </c>
      <c r="O73" s="28">
        <v>587.54816872608251</v>
      </c>
      <c r="P73" s="28">
        <v>597.93652237943149</v>
      </c>
      <c r="Q73" s="28">
        <v>584.74002827631534</v>
      </c>
      <c r="R73" s="28">
        <v>601.21736630909822</v>
      </c>
      <c r="S73" s="28">
        <v>620.16533067971852</v>
      </c>
      <c r="T73" s="28">
        <v>626.4269424257576</v>
      </c>
      <c r="U73" s="28">
        <v>625.62634988046022</v>
      </c>
      <c r="V73" s="28">
        <v>633.71952109962922</v>
      </c>
      <c r="W73" s="28">
        <v>668.9590648156709</v>
      </c>
    </row>
    <row r="74" spans="1:23" x14ac:dyDescent="0.35">
      <c r="A74" s="7" t="s">
        <v>20</v>
      </c>
      <c r="B74" s="26">
        <v>36.187068906995798</v>
      </c>
      <c r="C74" s="26">
        <v>37.817482255265297</v>
      </c>
      <c r="D74" s="26">
        <v>36.153266667050467</v>
      </c>
      <c r="E74" s="26">
        <v>36.14616011489781</v>
      </c>
      <c r="F74" s="26">
        <v>36.28295419235755</v>
      </c>
      <c r="G74" s="26">
        <v>39.434391423618408</v>
      </c>
      <c r="H74" s="26">
        <v>42.492216280446513</v>
      </c>
      <c r="I74" s="26">
        <v>47.291617286724943</v>
      </c>
      <c r="J74" s="26">
        <v>39.743503684934858</v>
      </c>
      <c r="K74" s="26">
        <v>36.53364291516916</v>
      </c>
      <c r="L74" s="26">
        <v>37.745039469723991</v>
      </c>
      <c r="M74" s="26">
        <v>28.98066552077989</v>
      </c>
      <c r="N74" s="26">
        <v>16.505601898043789</v>
      </c>
      <c r="O74" s="26">
        <v>20.522123802901941</v>
      </c>
      <c r="P74" s="26">
        <v>16.894327964978199</v>
      </c>
      <c r="Q74" s="26">
        <v>15.48226016226103</v>
      </c>
      <c r="R74" s="26">
        <v>13.70579698654695</v>
      </c>
      <c r="S74" s="26">
        <v>14.273071387845221</v>
      </c>
      <c r="T74" s="26">
        <v>15.43392582111859</v>
      </c>
      <c r="U74" s="26">
        <v>13.986900283828099</v>
      </c>
      <c r="V74" s="26">
        <v>13.42556670765353</v>
      </c>
      <c r="W74" s="26">
        <v>15.30198544972737</v>
      </c>
    </row>
    <row r="75" spans="1:23" x14ac:dyDescent="0.35">
      <c r="A75" s="7" t="s">
        <v>21</v>
      </c>
      <c r="B75" s="26">
        <v>304.05010880842758</v>
      </c>
      <c r="C75" s="26">
        <v>318.08651364455028</v>
      </c>
      <c r="D75" s="26">
        <v>310.75765130824618</v>
      </c>
      <c r="E75" s="26">
        <v>322.57321343219229</v>
      </c>
      <c r="F75" s="26">
        <v>327.2704424193297</v>
      </c>
      <c r="G75" s="26">
        <v>314.50329942479942</v>
      </c>
      <c r="H75" s="26">
        <v>330.52461268419648</v>
      </c>
      <c r="I75" s="26">
        <v>334.02405880085081</v>
      </c>
      <c r="J75" s="26">
        <v>346.59012989934178</v>
      </c>
      <c r="K75" s="26">
        <v>315.77579043239967</v>
      </c>
      <c r="L75" s="26">
        <v>324.13476928598362</v>
      </c>
      <c r="M75" s="26">
        <v>292.41997032540411</v>
      </c>
      <c r="N75" s="26">
        <v>272.81446973297301</v>
      </c>
      <c r="O75" s="26">
        <v>248.1970368788115</v>
      </c>
      <c r="P75" s="26">
        <v>229.18979049365799</v>
      </c>
      <c r="Q75" s="26">
        <v>215.61209708219499</v>
      </c>
      <c r="R75" s="26">
        <v>198.7524837232705</v>
      </c>
      <c r="S75" s="26">
        <v>205.6179067674224</v>
      </c>
      <c r="T75" s="26">
        <v>215.28048622277211</v>
      </c>
      <c r="U75" s="26">
        <v>204.4054344153904</v>
      </c>
      <c r="V75" s="26">
        <v>207.5967891465892</v>
      </c>
      <c r="W75" s="26">
        <v>223.8737243183312</v>
      </c>
    </row>
    <row r="76" spans="1:23" x14ac:dyDescent="0.35">
      <c r="A76" s="7" t="s">
        <v>22</v>
      </c>
      <c r="B76" s="26">
        <v>55.917793126088867</v>
      </c>
      <c r="C76" s="26">
        <v>56.655332763356547</v>
      </c>
      <c r="D76" s="26">
        <v>54.759630129724151</v>
      </c>
      <c r="E76" s="26">
        <v>51.916615311946799</v>
      </c>
      <c r="F76" s="26">
        <v>51.719817049880959</v>
      </c>
      <c r="G76" s="26">
        <v>36.372867228595531</v>
      </c>
      <c r="H76" s="26">
        <v>34.555531056011887</v>
      </c>
      <c r="I76" s="26">
        <v>28.874802732921019</v>
      </c>
      <c r="J76" s="26">
        <v>29.49478549959225</v>
      </c>
      <c r="K76" s="26">
        <v>27.320299247077571</v>
      </c>
      <c r="L76" s="26">
        <v>28.211524181973839</v>
      </c>
      <c r="M76" s="26">
        <v>26.130680127444901</v>
      </c>
      <c r="N76" s="26">
        <v>19.722831790841621</v>
      </c>
      <c r="O76" s="26">
        <v>19.539184362094868</v>
      </c>
      <c r="P76" s="26">
        <v>17.387097228522009</v>
      </c>
      <c r="Q76" s="26">
        <v>16.970287434770349</v>
      </c>
      <c r="R76" s="26">
        <v>16.549336519959219</v>
      </c>
      <c r="S76" s="26">
        <v>17.169360862649999</v>
      </c>
      <c r="T76" s="26">
        <v>16.327942373317509</v>
      </c>
      <c r="U76" s="26">
        <v>16.324658594658999</v>
      </c>
      <c r="V76" s="26">
        <v>16.896354257517871</v>
      </c>
      <c r="W76" s="26">
        <v>19.614754595895981</v>
      </c>
    </row>
    <row r="77" spans="1:23" x14ac:dyDescent="0.35">
      <c r="A77" s="7" t="s">
        <v>23</v>
      </c>
      <c r="B77" s="26">
        <v>129.19191976982779</v>
      </c>
      <c r="C77" s="26">
        <v>120.96589972268769</v>
      </c>
      <c r="D77" s="26">
        <v>97.197897690053964</v>
      </c>
      <c r="E77" s="26">
        <v>86.892982198084638</v>
      </c>
      <c r="F77" s="26">
        <v>87.179700063997487</v>
      </c>
      <c r="G77" s="26">
        <v>87.596880050274564</v>
      </c>
      <c r="H77" s="26">
        <v>92.90688375819839</v>
      </c>
      <c r="I77" s="26">
        <v>102.9942827828486</v>
      </c>
      <c r="J77" s="26">
        <v>101.3560777259823</v>
      </c>
      <c r="K77" s="26">
        <v>84.188502188741595</v>
      </c>
      <c r="L77" s="26">
        <v>88.654774258732459</v>
      </c>
      <c r="M77" s="26">
        <v>85.021643452814686</v>
      </c>
      <c r="N77" s="26">
        <v>68.125441075358083</v>
      </c>
      <c r="O77" s="26">
        <v>59.47655816191017</v>
      </c>
      <c r="P77" s="26">
        <v>52.448103505180597</v>
      </c>
      <c r="Q77" s="26">
        <v>59.936897576413067</v>
      </c>
      <c r="R77" s="26">
        <v>69.109734211769023</v>
      </c>
      <c r="S77" s="26">
        <v>76.76017948343501</v>
      </c>
      <c r="T77" s="26">
        <v>84.451656063788946</v>
      </c>
      <c r="U77" s="26">
        <v>80.051549918874642</v>
      </c>
      <c r="V77" s="26">
        <v>55.684454414711738</v>
      </c>
      <c r="W77" s="26">
        <v>58.318852809310812</v>
      </c>
    </row>
    <row r="78" spans="1:23" x14ac:dyDescent="0.35">
      <c r="A78" s="14" t="s">
        <v>24</v>
      </c>
      <c r="B78" s="29">
        <v>511.20068438216123</v>
      </c>
      <c r="C78" s="29">
        <v>541.13358532901202</v>
      </c>
      <c r="D78" s="29">
        <v>521.89273565890323</v>
      </c>
      <c r="E78" s="29">
        <v>547.61699043369038</v>
      </c>
      <c r="F78" s="29">
        <v>554.84431222219109</v>
      </c>
      <c r="G78" s="29">
        <v>549.06772202949071</v>
      </c>
      <c r="H78" s="29">
        <v>526.69765363478621</v>
      </c>
      <c r="I78" s="29">
        <v>498.36541065038239</v>
      </c>
      <c r="J78" s="29">
        <v>474.28883447561452</v>
      </c>
      <c r="K78" s="29">
        <v>401.4184222506799</v>
      </c>
      <c r="L78" s="29">
        <v>412.19943549789252</v>
      </c>
      <c r="M78" s="29">
        <v>409.10480814763218</v>
      </c>
      <c r="N78" s="29">
        <v>364.74775799358861</v>
      </c>
      <c r="O78" s="29">
        <v>347.84043354585828</v>
      </c>
      <c r="P78" s="29">
        <v>327.60834440987458</v>
      </c>
      <c r="Q78" s="29">
        <v>347.16012172610732</v>
      </c>
      <c r="R78" s="29">
        <v>335.4951760109638</v>
      </c>
      <c r="S78" s="29">
        <v>355.88207333835288</v>
      </c>
      <c r="T78" s="29">
        <v>349.74561759517081</v>
      </c>
      <c r="U78" s="29">
        <v>338.70543919018752</v>
      </c>
      <c r="V78" s="29">
        <v>363.37252946162391</v>
      </c>
      <c r="W78" s="29">
        <v>422.67339372305929</v>
      </c>
    </row>
    <row r="80" spans="1:23" x14ac:dyDescent="0.35">
      <c r="A80" s="23" t="s">
        <v>53</v>
      </c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</row>
    <row r="81" spans="1:23" x14ac:dyDescent="0.35">
      <c r="A81" s="24" t="s">
        <v>26</v>
      </c>
      <c r="B81" s="32">
        <v>251.93224419604468</v>
      </c>
      <c r="C81" s="32">
        <v>217.2183147033534</v>
      </c>
      <c r="D81" s="32">
        <v>216.95322441960445</v>
      </c>
      <c r="E81" s="32">
        <v>229.03413585554597</v>
      </c>
      <c r="F81" s="32">
        <v>258.50300945829747</v>
      </c>
      <c r="G81" s="32">
        <v>240.02106620808252</v>
      </c>
      <c r="H81" s="32">
        <v>248.34247635425623</v>
      </c>
      <c r="I81" s="32">
        <v>260.82459157351673</v>
      </c>
      <c r="J81" s="32">
        <v>219.94849527085125</v>
      </c>
      <c r="K81" s="32">
        <v>211.48134135855545</v>
      </c>
      <c r="L81" s="32">
        <v>223.83920894239034</v>
      </c>
      <c r="M81" s="32">
        <v>254.1582975064488</v>
      </c>
      <c r="N81" s="32">
        <v>233.24496990541701</v>
      </c>
      <c r="O81" s="32">
        <v>237.22416165090283</v>
      </c>
      <c r="P81" s="32">
        <v>211.38099742046433</v>
      </c>
      <c r="Q81" s="32">
        <v>210.13293207222694</v>
      </c>
      <c r="R81" s="32">
        <v>209.23224419604472</v>
      </c>
      <c r="S81" s="32">
        <v>205.84677558039556</v>
      </c>
      <c r="T81" s="32">
        <v>203.89226139294928</v>
      </c>
      <c r="U81" s="32">
        <v>161.13834909716255</v>
      </c>
      <c r="V81" s="32">
        <v>184.75047291487533</v>
      </c>
      <c r="W81" s="32">
        <v>181.62674118658643</v>
      </c>
    </row>
    <row r="82" spans="1:23" x14ac:dyDescent="0.35">
      <c r="A82" s="17" t="s">
        <v>27</v>
      </c>
      <c r="B82" s="35">
        <v>0</v>
      </c>
      <c r="C82" s="35">
        <v>0</v>
      </c>
      <c r="D82" s="35">
        <v>0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  <c r="U82" s="35">
        <v>0</v>
      </c>
      <c r="V82" s="35">
        <v>0</v>
      </c>
      <c r="W82" s="35">
        <v>0</v>
      </c>
    </row>
    <row r="83" spans="1:23" x14ac:dyDescent="0.35">
      <c r="A83" s="7" t="s">
        <v>30</v>
      </c>
      <c r="B83" s="26">
        <v>251.93224419604468</v>
      </c>
      <c r="C83" s="26">
        <v>217.2183147033534</v>
      </c>
      <c r="D83" s="26">
        <v>216.95322441960445</v>
      </c>
      <c r="E83" s="26">
        <v>229.03413585554597</v>
      </c>
      <c r="F83" s="26">
        <v>258.50300945829747</v>
      </c>
      <c r="G83" s="26">
        <v>240.02106620808252</v>
      </c>
      <c r="H83" s="26">
        <v>248.34247635425623</v>
      </c>
      <c r="I83" s="26">
        <v>260.82459157351673</v>
      </c>
      <c r="J83" s="26">
        <v>219.94849527085125</v>
      </c>
      <c r="K83" s="26">
        <v>211.48134135855545</v>
      </c>
      <c r="L83" s="26">
        <v>223.83920894239034</v>
      </c>
      <c r="M83" s="26">
        <v>254.1582975064488</v>
      </c>
      <c r="N83" s="26">
        <v>233.24496990541701</v>
      </c>
      <c r="O83" s="26">
        <v>237.22416165090283</v>
      </c>
      <c r="P83" s="26">
        <v>211.38099742046433</v>
      </c>
      <c r="Q83" s="26">
        <v>210.13293207222694</v>
      </c>
      <c r="R83" s="26">
        <v>209.23224419604472</v>
      </c>
      <c r="S83" s="26">
        <v>205.84677558039556</v>
      </c>
      <c r="T83" s="26">
        <v>203.89226139294928</v>
      </c>
      <c r="U83" s="26">
        <v>161.13834909716255</v>
      </c>
      <c r="V83" s="26">
        <v>184.75047291487533</v>
      </c>
      <c r="W83" s="26">
        <v>181.62674118658643</v>
      </c>
    </row>
    <row r="84" spans="1:23" x14ac:dyDescent="0.35">
      <c r="A84" s="11" t="s">
        <v>31</v>
      </c>
      <c r="B84" s="26">
        <v>0</v>
      </c>
      <c r="C84" s="26">
        <v>0</v>
      </c>
      <c r="D84" s="26">
        <v>0</v>
      </c>
      <c r="E84" s="26">
        <v>0</v>
      </c>
      <c r="F84" s="26">
        <v>0</v>
      </c>
      <c r="G84" s="26">
        <v>0</v>
      </c>
      <c r="H84" s="26">
        <v>0</v>
      </c>
      <c r="I84" s="26">
        <v>0</v>
      </c>
      <c r="J84" s="26">
        <v>0</v>
      </c>
      <c r="K84" s="26">
        <v>0</v>
      </c>
      <c r="L84" s="26">
        <v>0</v>
      </c>
      <c r="M84" s="26">
        <v>0</v>
      </c>
      <c r="N84" s="26">
        <v>0</v>
      </c>
      <c r="O84" s="26">
        <v>0</v>
      </c>
      <c r="P84" s="26">
        <v>0</v>
      </c>
      <c r="Q84" s="26">
        <v>0</v>
      </c>
      <c r="R84" s="26">
        <v>0</v>
      </c>
      <c r="S84" s="26">
        <v>0</v>
      </c>
      <c r="T84" s="26">
        <v>0</v>
      </c>
      <c r="U84" s="26">
        <v>0</v>
      </c>
      <c r="V84" s="26">
        <v>0</v>
      </c>
      <c r="W84" s="26">
        <v>0</v>
      </c>
    </row>
    <row r="85" spans="1:23" x14ac:dyDescent="0.35">
      <c r="A85" s="11" t="s">
        <v>32</v>
      </c>
      <c r="B85" s="26">
        <v>0</v>
      </c>
      <c r="C85" s="26">
        <v>0</v>
      </c>
      <c r="D85" s="26">
        <v>0</v>
      </c>
      <c r="E85" s="26">
        <v>0</v>
      </c>
      <c r="F85" s="26">
        <v>0</v>
      </c>
      <c r="G85" s="26">
        <v>0</v>
      </c>
      <c r="H85" s="26">
        <v>0</v>
      </c>
      <c r="I85" s="26">
        <v>0</v>
      </c>
      <c r="J85" s="26">
        <v>0</v>
      </c>
      <c r="K85" s="26">
        <v>0</v>
      </c>
      <c r="L85" s="26">
        <v>0</v>
      </c>
      <c r="M85" s="26">
        <v>0</v>
      </c>
      <c r="N85" s="26">
        <v>0</v>
      </c>
      <c r="O85" s="26">
        <v>0</v>
      </c>
      <c r="P85" s="26">
        <v>0</v>
      </c>
      <c r="Q85" s="26">
        <v>0</v>
      </c>
      <c r="R85" s="26">
        <v>0</v>
      </c>
      <c r="S85" s="26">
        <v>0</v>
      </c>
      <c r="T85" s="26">
        <v>0</v>
      </c>
      <c r="U85" s="26">
        <v>0</v>
      </c>
      <c r="V85" s="26">
        <v>0</v>
      </c>
      <c r="W85" s="26">
        <v>0</v>
      </c>
    </row>
    <row r="86" spans="1:23" x14ac:dyDescent="0.35">
      <c r="A86" s="11" t="s">
        <v>54</v>
      </c>
      <c r="B86" s="26">
        <v>0</v>
      </c>
      <c r="C86" s="26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</row>
    <row r="87" spans="1:23" x14ac:dyDescent="0.35">
      <c r="A87" s="11" t="s">
        <v>34</v>
      </c>
      <c r="B87" s="26">
        <v>0</v>
      </c>
      <c r="C87" s="26">
        <v>0</v>
      </c>
      <c r="D87" s="26">
        <v>0</v>
      </c>
      <c r="E87" s="26">
        <v>0</v>
      </c>
      <c r="F87" s="26">
        <v>0</v>
      </c>
      <c r="G87" s="26">
        <v>0</v>
      </c>
      <c r="H87" s="26">
        <v>0</v>
      </c>
      <c r="I87" s="26">
        <v>0</v>
      </c>
      <c r="J87" s="26">
        <v>0</v>
      </c>
      <c r="K87" s="26">
        <v>0</v>
      </c>
      <c r="L87" s="26">
        <v>0</v>
      </c>
      <c r="M87" s="26">
        <v>0</v>
      </c>
      <c r="N87" s="26">
        <v>0</v>
      </c>
      <c r="O87" s="26">
        <v>0</v>
      </c>
      <c r="P87" s="26">
        <v>0</v>
      </c>
      <c r="Q87" s="26">
        <v>0</v>
      </c>
      <c r="R87" s="26">
        <v>0</v>
      </c>
      <c r="S87" s="26">
        <v>0</v>
      </c>
      <c r="T87" s="26">
        <v>0</v>
      </c>
      <c r="U87" s="26">
        <v>0</v>
      </c>
      <c r="V87" s="26">
        <v>0</v>
      </c>
      <c r="W87" s="26">
        <v>0</v>
      </c>
    </row>
    <row r="88" spans="1:23" x14ac:dyDescent="0.35">
      <c r="A88" s="11" t="s">
        <v>35</v>
      </c>
      <c r="B88" s="26">
        <v>251.93224419604468</v>
      </c>
      <c r="C88" s="26">
        <v>217.2183147033534</v>
      </c>
      <c r="D88" s="26">
        <v>216.95322441960445</v>
      </c>
      <c r="E88" s="26">
        <v>229.03413585554597</v>
      </c>
      <c r="F88" s="26">
        <v>258.50300945829747</v>
      </c>
      <c r="G88" s="26">
        <v>240.02106620808252</v>
      </c>
      <c r="H88" s="26">
        <v>243.028116938951</v>
      </c>
      <c r="I88" s="26">
        <v>260.82459157351673</v>
      </c>
      <c r="J88" s="26">
        <v>219.94849527085125</v>
      </c>
      <c r="K88" s="26">
        <v>211.48134135855545</v>
      </c>
      <c r="L88" s="26">
        <v>223.83920894239034</v>
      </c>
      <c r="M88" s="26">
        <v>254.1582975064488</v>
      </c>
      <c r="N88" s="26">
        <v>233.24496990541701</v>
      </c>
      <c r="O88" s="26">
        <v>237.22416165090283</v>
      </c>
      <c r="P88" s="26">
        <v>211.38099742046433</v>
      </c>
      <c r="Q88" s="26">
        <v>210.13293207222694</v>
      </c>
      <c r="R88" s="26">
        <v>209.23224419604472</v>
      </c>
      <c r="S88" s="26">
        <v>205.84677558039556</v>
      </c>
      <c r="T88" s="26">
        <v>203.89226139294928</v>
      </c>
      <c r="U88" s="26">
        <v>161.13834909716255</v>
      </c>
      <c r="V88" s="26">
        <v>184.75047291487533</v>
      </c>
      <c r="W88" s="26">
        <v>181.62674118658643</v>
      </c>
    </row>
    <row r="89" spans="1:23" x14ac:dyDescent="0.35">
      <c r="A89" s="11" t="s">
        <v>55</v>
      </c>
      <c r="B89" s="26">
        <v>0</v>
      </c>
      <c r="C89" s="26">
        <v>0</v>
      </c>
      <c r="D89" s="26">
        <v>0</v>
      </c>
      <c r="E89" s="26">
        <v>0</v>
      </c>
      <c r="F89" s="26">
        <v>0</v>
      </c>
      <c r="G89" s="26">
        <v>0</v>
      </c>
      <c r="H89" s="26">
        <v>5.3143594153052449</v>
      </c>
      <c r="I89" s="26">
        <v>0</v>
      </c>
      <c r="J89" s="26">
        <v>0</v>
      </c>
      <c r="K89" s="26">
        <v>0</v>
      </c>
      <c r="L89" s="26">
        <v>0</v>
      </c>
      <c r="M89" s="26">
        <v>0</v>
      </c>
      <c r="N89" s="26">
        <v>0</v>
      </c>
      <c r="O89" s="26">
        <v>0</v>
      </c>
      <c r="P89" s="26">
        <v>0</v>
      </c>
      <c r="Q89" s="26">
        <v>0</v>
      </c>
      <c r="R89" s="26">
        <v>0</v>
      </c>
      <c r="S89" s="26">
        <v>0</v>
      </c>
      <c r="T89" s="26">
        <v>0</v>
      </c>
      <c r="U89" s="26">
        <v>0</v>
      </c>
      <c r="V89" s="26">
        <v>0</v>
      </c>
      <c r="W89" s="26">
        <v>0</v>
      </c>
    </row>
    <row r="90" spans="1:23" x14ac:dyDescent="0.35">
      <c r="A90" s="7" t="s">
        <v>56</v>
      </c>
      <c r="B90" s="26">
        <v>0</v>
      </c>
      <c r="C90" s="26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</row>
    <row r="91" spans="1:23" x14ac:dyDescent="0.35">
      <c r="A91" s="11" t="s">
        <v>37</v>
      </c>
      <c r="B91" s="26">
        <v>0</v>
      </c>
      <c r="C91" s="26">
        <v>0</v>
      </c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0</v>
      </c>
      <c r="R91" s="26">
        <v>0</v>
      </c>
      <c r="S91" s="26">
        <v>0</v>
      </c>
      <c r="T91" s="26">
        <v>0</v>
      </c>
      <c r="U91" s="26">
        <v>0</v>
      </c>
      <c r="V91" s="26">
        <v>0</v>
      </c>
      <c r="W91" s="26">
        <v>0</v>
      </c>
    </row>
    <row r="92" spans="1:23" x14ac:dyDescent="0.35">
      <c r="A92" s="11" t="s">
        <v>38</v>
      </c>
      <c r="B92" s="26">
        <v>0</v>
      </c>
      <c r="C92" s="26">
        <v>0</v>
      </c>
      <c r="D92" s="26">
        <v>0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  <c r="Q92" s="26">
        <v>0</v>
      </c>
      <c r="R92" s="26">
        <v>0</v>
      </c>
      <c r="S92" s="26">
        <v>0</v>
      </c>
      <c r="T92" s="26">
        <v>0</v>
      </c>
      <c r="U92" s="26">
        <v>0</v>
      </c>
      <c r="V92" s="26">
        <v>0</v>
      </c>
      <c r="W92" s="26">
        <v>0</v>
      </c>
    </row>
    <row r="93" spans="1:23" x14ac:dyDescent="0.35">
      <c r="A93" s="7" t="s">
        <v>39</v>
      </c>
      <c r="B93" s="26">
        <v>0</v>
      </c>
      <c r="C93" s="26">
        <v>0</v>
      </c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26">
        <v>0</v>
      </c>
      <c r="T93" s="26">
        <v>0</v>
      </c>
      <c r="U93" s="26">
        <v>0</v>
      </c>
      <c r="V93" s="26">
        <v>0</v>
      </c>
      <c r="W93" s="26">
        <v>0</v>
      </c>
    </row>
    <row r="94" spans="1:23" x14ac:dyDescent="0.35">
      <c r="A94" s="24" t="s">
        <v>48</v>
      </c>
      <c r="B94" s="32">
        <v>251.93224419604468</v>
      </c>
      <c r="C94" s="32">
        <v>217.2183147033534</v>
      </c>
      <c r="D94" s="32">
        <v>216.95322441960445</v>
      </c>
      <c r="E94" s="32">
        <v>229.03413585554597</v>
      </c>
      <c r="F94" s="32">
        <v>258.50300945829747</v>
      </c>
      <c r="G94" s="32">
        <v>240.02106620808252</v>
      </c>
      <c r="H94" s="32">
        <v>248.34247635425623</v>
      </c>
      <c r="I94" s="32">
        <v>260.82459157351673</v>
      </c>
      <c r="J94" s="32">
        <v>219.94849527085125</v>
      </c>
      <c r="K94" s="32">
        <v>211.48134135855545</v>
      </c>
      <c r="L94" s="32">
        <v>223.83920894239034</v>
      </c>
      <c r="M94" s="32">
        <v>254.1582975064488</v>
      </c>
      <c r="N94" s="32">
        <v>233.24496990541701</v>
      </c>
      <c r="O94" s="32">
        <v>237.22416165090283</v>
      </c>
      <c r="P94" s="32">
        <v>211.38099742046433</v>
      </c>
      <c r="Q94" s="32">
        <v>210.13293207222694</v>
      </c>
      <c r="R94" s="32">
        <v>209.23224419604472</v>
      </c>
      <c r="S94" s="32">
        <v>205.84677558039556</v>
      </c>
      <c r="T94" s="32">
        <v>203.89226139294928</v>
      </c>
      <c r="U94" s="32">
        <v>161.13834909716255</v>
      </c>
      <c r="V94" s="32">
        <v>184.75047291487533</v>
      </c>
      <c r="W94" s="32">
        <v>181.62674118658643</v>
      </c>
    </row>
    <row r="95" spans="1:23" x14ac:dyDescent="0.35">
      <c r="A95" s="17" t="s">
        <v>57</v>
      </c>
      <c r="B95" s="35">
        <v>0</v>
      </c>
      <c r="C95" s="35">
        <v>0</v>
      </c>
      <c r="D95" s="35">
        <v>0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  <c r="U95" s="35">
        <v>0</v>
      </c>
      <c r="V95" s="35">
        <v>0</v>
      </c>
      <c r="W95" s="35">
        <v>0</v>
      </c>
    </row>
    <row r="96" spans="1:23" x14ac:dyDescent="0.35">
      <c r="A96" s="14" t="s">
        <v>58</v>
      </c>
      <c r="B96" s="29">
        <v>251.93224419604468</v>
      </c>
      <c r="C96" s="29">
        <v>217.2183147033534</v>
      </c>
      <c r="D96" s="29">
        <v>216.95322441960445</v>
      </c>
      <c r="E96" s="29">
        <v>229.03413585554597</v>
      </c>
      <c r="F96" s="29">
        <v>258.50300945829747</v>
      </c>
      <c r="G96" s="29">
        <v>240.02106620808252</v>
      </c>
      <c r="H96" s="29">
        <v>248.34247635425623</v>
      </c>
      <c r="I96" s="29">
        <v>260.82459157351673</v>
      </c>
      <c r="J96" s="29">
        <v>219.94849527085125</v>
      </c>
      <c r="K96" s="29">
        <v>211.48134135855545</v>
      </c>
      <c r="L96" s="29">
        <v>223.83920894239034</v>
      </c>
      <c r="M96" s="29">
        <v>254.1582975064488</v>
      </c>
      <c r="N96" s="29">
        <v>233.24496990541701</v>
      </c>
      <c r="O96" s="29">
        <v>237.22416165090283</v>
      </c>
      <c r="P96" s="29">
        <v>211.38099742046433</v>
      </c>
      <c r="Q96" s="29">
        <v>210.13293207222694</v>
      </c>
      <c r="R96" s="29">
        <v>209.23224419604472</v>
      </c>
      <c r="S96" s="29">
        <v>205.84677558039556</v>
      </c>
      <c r="T96" s="29">
        <v>203.89226139294928</v>
      </c>
      <c r="U96" s="29">
        <v>161.13834909716255</v>
      </c>
      <c r="V96" s="29">
        <v>184.75047291487533</v>
      </c>
      <c r="W96" s="29">
        <v>181.62674118658643</v>
      </c>
    </row>
    <row r="98" spans="1:23" x14ac:dyDescent="0.35">
      <c r="A98" s="23" t="s">
        <v>59</v>
      </c>
      <c r="B98" s="25">
        <v>7249.8791361732656</v>
      </c>
      <c r="C98" s="25">
        <v>7429.2484649948947</v>
      </c>
      <c r="D98" s="25">
        <v>7052.0335594351573</v>
      </c>
      <c r="E98" s="25">
        <v>6947.5661045264178</v>
      </c>
      <c r="F98" s="25">
        <v>7191.9723996051853</v>
      </c>
      <c r="G98" s="25">
        <v>6944.4729502435757</v>
      </c>
      <c r="H98" s="25">
        <v>7131.5127639485718</v>
      </c>
      <c r="I98" s="25">
        <v>6948.8444899254418</v>
      </c>
      <c r="J98" s="25">
        <v>6148.9051127484818</v>
      </c>
      <c r="K98" s="25">
        <v>4851.529841163293</v>
      </c>
      <c r="L98" s="25">
        <v>4992.7702532005451</v>
      </c>
      <c r="M98" s="25">
        <v>5158.4267676830359</v>
      </c>
      <c r="N98" s="25">
        <v>4847.454859133918</v>
      </c>
      <c r="O98" s="25">
        <v>4628.4448286732149</v>
      </c>
      <c r="P98" s="25">
        <v>4646.3689034816844</v>
      </c>
      <c r="Q98" s="25">
        <v>4605.8421520059946</v>
      </c>
      <c r="R98" s="25">
        <v>4903.4406495143257</v>
      </c>
      <c r="S98" s="25">
        <v>5257.3620360317518</v>
      </c>
      <c r="T98" s="25">
        <v>5201.4442757488832</v>
      </c>
      <c r="U98" s="25">
        <v>5050.3297644102713</v>
      </c>
      <c r="V98" s="25">
        <v>5256.2280062571499</v>
      </c>
      <c r="W98" s="25">
        <v>5601.6250621365716</v>
      </c>
    </row>
    <row r="99" spans="1:23" x14ac:dyDescent="0.35">
      <c r="A99" s="18" t="s">
        <v>2</v>
      </c>
      <c r="B99" s="31">
        <v>190.91841508012618</v>
      </c>
      <c r="C99" s="31">
        <v>207.73484857743415</v>
      </c>
      <c r="D99" s="31">
        <v>108.31976455764692</v>
      </c>
      <c r="E99" s="31">
        <v>128.81420529236581</v>
      </c>
      <c r="F99" s="31">
        <v>125.28052232725031</v>
      </c>
      <c r="G99" s="31">
        <v>131.08250424005476</v>
      </c>
      <c r="H99" s="31">
        <v>127.65288707992229</v>
      </c>
      <c r="I99" s="31">
        <v>142.14323951945596</v>
      </c>
      <c r="J99" s="31">
        <v>127.09937160940032</v>
      </c>
      <c r="K99" s="31">
        <v>66.123205193206715</v>
      </c>
      <c r="L99" s="31">
        <v>71.475131099131218</v>
      </c>
      <c r="M99" s="31">
        <v>80.454728082216306</v>
      </c>
      <c r="N99" s="31">
        <v>90.234732600697384</v>
      </c>
      <c r="O99" s="31">
        <v>95.382491040965036</v>
      </c>
      <c r="P99" s="31">
        <v>102.46805568061488</v>
      </c>
      <c r="Q99" s="31">
        <v>98.567945690968159</v>
      </c>
      <c r="R99" s="31">
        <v>106.049259257252</v>
      </c>
      <c r="S99" s="31">
        <v>114.76160073497151</v>
      </c>
      <c r="T99" s="31">
        <v>119.29008564090532</v>
      </c>
      <c r="U99" s="31">
        <v>113.50471536105715</v>
      </c>
      <c r="V99" s="31">
        <v>109.40672844117775</v>
      </c>
      <c r="W99" s="31">
        <v>113.07439512064559</v>
      </c>
    </row>
    <row r="100" spans="1:23" x14ac:dyDescent="0.35">
      <c r="A100" s="7" t="s">
        <v>49</v>
      </c>
      <c r="B100" s="26">
        <v>0</v>
      </c>
      <c r="C100" s="26">
        <v>0</v>
      </c>
      <c r="D100" s="26">
        <v>0</v>
      </c>
      <c r="E100" s="26">
        <v>0</v>
      </c>
      <c r="F100" s="26">
        <v>0</v>
      </c>
      <c r="G100" s="26">
        <v>0</v>
      </c>
      <c r="H100" s="26">
        <v>0</v>
      </c>
      <c r="I100" s="26">
        <v>0</v>
      </c>
      <c r="J100" s="26">
        <v>0</v>
      </c>
      <c r="K100" s="26">
        <v>0</v>
      </c>
      <c r="L100" s="26">
        <v>0</v>
      </c>
      <c r="M100" s="26">
        <v>0</v>
      </c>
      <c r="N100" s="26">
        <v>0</v>
      </c>
      <c r="O100" s="26">
        <v>0</v>
      </c>
      <c r="P100" s="26">
        <v>0</v>
      </c>
      <c r="Q100" s="26">
        <v>0</v>
      </c>
      <c r="R100" s="26">
        <v>0</v>
      </c>
      <c r="S100" s="26">
        <v>0</v>
      </c>
      <c r="T100" s="26">
        <v>0</v>
      </c>
      <c r="U100" s="26">
        <v>0</v>
      </c>
      <c r="V100" s="26">
        <v>0</v>
      </c>
      <c r="W100" s="26">
        <v>0</v>
      </c>
    </row>
    <row r="101" spans="1:23" x14ac:dyDescent="0.35">
      <c r="A101" s="7" t="s">
        <v>50</v>
      </c>
      <c r="B101" s="26">
        <v>190.91841508012618</v>
      </c>
      <c r="C101" s="26">
        <v>207.73484857743415</v>
      </c>
      <c r="D101" s="26">
        <v>108.31976455764692</v>
      </c>
      <c r="E101" s="26">
        <v>128.81420529236581</v>
      </c>
      <c r="F101" s="26">
        <v>125.28052232725031</v>
      </c>
      <c r="G101" s="26">
        <v>131.08250424005476</v>
      </c>
      <c r="H101" s="26">
        <v>127.65288707992229</v>
      </c>
      <c r="I101" s="26">
        <v>142.14323951945596</v>
      </c>
      <c r="J101" s="26">
        <v>127.09937160940032</v>
      </c>
      <c r="K101" s="26">
        <v>66.123205193206715</v>
      </c>
      <c r="L101" s="26">
        <v>71.475131099131218</v>
      </c>
      <c r="M101" s="26">
        <v>80.454728082216306</v>
      </c>
      <c r="N101" s="26">
        <v>90.234732600697384</v>
      </c>
      <c r="O101" s="26">
        <v>95.382491040965036</v>
      </c>
      <c r="P101" s="26">
        <v>102.46805568061488</v>
      </c>
      <c r="Q101" s="26">
        <v>98.567945690968159</v>
      </c>
      <c r="R101" s="26">
        <v>106.049259257252</v>
      </c>
      <c r="S101" s="26">
        <v>114.76160073497151</v>
      </c>
      <c r="T101" s="26">
        <v>119.29008564090532</v>
      </c>
      <c r="U101" s="26">
        <v>113.50471536105715</v>
      </c>
      <c r="V101" s="26">
        <v>109.40672844117775</v>
      </c>
      <c r="W101" s="26">
        <v>113.07439512064559</v>
      </c>
    </row>
    <row r="102" spans="1:23" x14ac:dyDescent="0.35">
      <c r="A102" s="6" t="s">
        <v>3</v>
      </c>
      <c r="B102" s="27">
        <v>0</v>
      </c>
      <c r="C102" s="27">
        <v>0</v>
      </c>
      <c r="D102" s="27">
        <v>0</v>
      </c>
      <c r="E102" s="27">
        <v>0</v>
      </c>
      <c r="F102" s="27">
        <v>0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  <c r="V102" s="27">
        <v>0</v>
      </c>
      <c r="W102" s="27">
        <v>0</v>
      </c>
    </row>
    <row r="103" spans="1:23" x14ac:dyDescent="0.35">
      <c r="A103" s="7" t="s">
        <v>4</v>
      </c>
      <c r="B103" s="26">
        <v>0</v>
      </c>
      <c r="C103" s="26">
        <v>0</v>
      </c>
      <c r="D103" s="26">
        <v>0</v>
      </c>
      <c r="E103" s="26">
        <v>0</v>
      </c>
      <c r="F103" s="26">
        <v>0</v>
      </c>
      <c r="G103" s="26">
        <v>0</v>
      </c>
      <c r="H103" s="26">
        <v>0</v>
      </c>
      <c r="I103" s="26">
        <v>0</v>
      </c>
      <c r="J103" s="26">
        <v>0</v>
      </c>
      <c r="K103" s="26">
        <v>0</v>
      </c>
      <c r="L103" s="26">
        <v>0</v>
      </c>
      <c r="M103" s="26">
        <v>0</v>
      </c>
      <c r="N103" s="26">
        <v>0</v>
      </c>
      <c r="O103" s="26">
        <v>0</v>
      </c>
      <c r="P103" s="26">
        <v>0</v>
      </c>
      <c r="Q103" s="26">
        <v>0</v>
      </c>
      <c r="R103" s="26">
        <v>0</v>
      </c>
      <c r="S103" s="26">
        <v>0</v>
      </c>
      <c r="T103" s="26">
        <v>0</v>
      </c>
      <c r="U103" s="26">
        <v>0</v>
      </c>
      <c r="V103" s="26">
        <v>0</v>
      </c>
      <c r="W103" s="26">
        <v>0</v>
      </c>
    </row>
    <row r="104" spans="1:23" x14ac:dyDescent="0.35">
      <c r="A104" s="7" t="s">
        <v>5</v>
      </c>
      <c r="B104" s="26">
        <v>0</v>
      </c>
      <c r="C104" s="26">
        <v>0</v>
      </c>
      <c r="D104" s="26">
        <v>0</v>
      </c>
      <c r="E104" s="26">
        <v>0</v>
      </c>
      <c r="F104" s="26">
        <v>0</v>
      </c>
      <c r="G104" s="26">
        <v>0</v>
      </c>
      <c r="H104" s="26">
        <v>0</v>
      </c>
      <c r="I104" s="26">
        <v>0</v>
      </c>
      <c r="J104" s="26">
        <v>0</v>
      </c>
      <c r="K104" s="26">
        <v>0</v>
      </c>
      <c r="L104" s="26">
        <v>0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</row>
    <row r="105" spans="1:23" x14ac:dyDescent="0.35">
      <c r="A105" s="19" t="s">
        <v>51</v>
      </c>
      <c r="B105" s="33">
        <v>0</v>
      </c>
      <c r="C105" s="33">
        <v>0</v>
      </c>
      <c r="D105" s="33">
        <v>0</v>
      </c>
      <c r="E105" s="33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33">
        <v>0</v>
      </c>
      <c r="T105" s="33">
        <v>0</v>
      </c>
      <c r="U105" s="33">
        <v>0</v>
      </c>
      <c r="V105" s="33">
        <v>0</v>
      </c>
      <c r="W105" s="33">
        <v>0</v>
      </c>
    </row>
    <row r="106" spans="1:23" x14ac:dyDescent="0.35">
      <c r="A106" s="20" t="s">
        <v>52</v>
      </c>
      <c r="B106" s="34">
        <v>0</v>
      </c>
      <c r="C106" s="34">
        <v>0</v>
      </c>
      <c r="D106" s="34">
        <v>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4">
        <v>0</v>
      </c>
      <c r="U106" s="34">
        <v>0</v>
      </c>
      <c r="V106" s="34">
        <v>0</v>
      </c>
      <c r="W106" s="34">
        <v>0</v>
      </c>
    </row>
    <row r="107" spans="1:23" x14ac:dyDescent="0.35">
      <c r="A107" s="7" t="s">
        <v>6</v>
      </c>
      <c r="B107" s="26">
        <v>0</v>
      </c>
      <c r="C107" s="26">
        <v>0</v>
      </c>
      <c r="D107" s="26">
        <v>0</v>
      </c>
      <c r="E107" s="26">
        <v>0</v>
      </c>
      <c r="F107" s="26">
        <v>0</v>
      </c>
      <c r="G107" s="26">
        <v>0</v>
      </c>
      <c r="H107" s="26">
        <v>0</v>
      </c>
      <c r="I107" s="26">
        <v>0</v>
      </c>
      <c r="J107" s="26">
        <v>0</v>
      </c>
      <c r="K107" s="26">
        <v>0</v>
      </c>
      <c r="L107" s="26">
        <v>0</v>
      </c>
      <c r="M107" s="26">
        <v>0</v>
      </c>
      <c r="N107" s="26">
        <v>0</v>
      </c>
      <c r="O107" s="26">
        <v>0</v>
      </c>
      <c r="P107" s="26">
        <v>0</v>
      </c>
      <c r="Q107" s="26">
        <v>0</v>
      </c>
      <c r="R107" s="26">
        <v>0</v>
      </c>
      <c r="S107" s="26">
        <v>0</v>
      </c>
      <c r="T107" s="26">
        <v>0</v>
      </c>
      <c r="U107" s="26">
        <v>0</v>
      </c>
      <c r="V107" s="26">
        <v>0</v>
      </c>
      <c r="W107" s="26">
        <v>0</v>
      </c>
    </row>
    <row r="108" spans="1:23" x14ac:dyDescent="0.35">
      <c r="A108" s="6" t="s">
        <v>7</v>
      </c>
      <c r="B108" s="27">
        <v>365.54617768733726</v>
      </c>
      <c r="C108" s="27">
        <v>394.64831213463242</v>
      </c>
      <c r="D108" s="27">
        <v>362.55644357595099</v>
      </c>
      <c r="E108" s="27">
        <v>361.49205380739636</v>
      </c>
      <c r="F108" s="27">
        <v>332.33574478739393</v>
      </c>
      <c r="G108" s="27">
        <v>310.64159934548098</v>
      </c>
      <c r="H108" s="27">
        <v>279.64413361333919</v>
      </c>
      <c r="I108" s="27">
        <v>237.71402975880477</v>
      </c>
      <c r="J108" s="27">
        <v>284.95376369882916</v>
      </c>
      <c r="K108" s="27">
        <v>291.25213101796828</v>
      </c>
      <c r="L108" s="27">
        <v>327.67261927838945</v>
      </c>
      <c r="M108" s="27">
        <v>354.77951239374988</v>
      </c>
      <c r="N108" s="27">
        <v>356.14925122001227</v>
      </c>
      <c r="O108" s="27">
        <v>343.27843927940575</v>
      </c>
      <c r="P108" s="27">
        <v>343.70595614337373</v>
      </c>
      <c r="Q108" s="27">
        <v>330.25578904228286</v>
      </c>
      <c r="R108" s="27">
        <v>307.30164806123878</v>
      </c>
      <c r="S108" s="27">
        <v>307.25997418936726</v>
      </c>
      <c r="T108" s="27">
        <v>263.35918016122804</v>
      </c>
      <c r="U108" s="27">
        <v>262.67934280097342</v>
      </c>
      <c r="V108" s="27">
        <v>264.00191200106593</v>
      </c>
      <c r="W108" s="27">
        <v>349.23763469912086</v>
      </c>
    </row>
    <row r="109" spans="1:23" x14ac:dyDescent="0.35">
      <c r="A109" s="7" t="s">
        <v>8</v>
      </c>
      <c r="B109" s="26">
        <v>0</v>
      </c>
      <c r="C109" s="26">
        <v>0</v>
      </c>
      <c r="D109" s="26">
        <v>0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6">
        <v>0</v>
      </c>
      <c r="Q109" s="26">
        <v>0</v>
      </c>
      <c r="R109" s="26">
        <v>0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</row>
    <row r="110" spans="1:23" x14ac:dyDescent="0.35">
      <c r="A110" s="7" t="s">
        <v>9</v>
      </c>
      <c r="B110" s="26">
        <v>309.48595681382261</v>
      </c>
      <c r="C110" s="26">
        <v>330.00571507412542</v>
      </c>
      <c r="D110" s="26">
        <v>309.56820050345345</v>
      </c>
      <c r="E110" s="26">
        <v>296.07510987723492</v>
      </c>
      <c r="F110" s="26">
        <v>270.93615316568901</v>
      </c>
      <c r="G110" s="26">
        <v>253.58921694857665</v>
      </c>
      <c r="H110" s="26">
        <v>228.09705168571045</v>
      </c>
      <c r="I110" s="26">
        <v>193.02591701840652</v>
      </c>
      <c r="J110" s="26">
        <v>232.81179016714717</v>
      </c>
      <c r="K110" s="26">
        <v>229.62135398309934</v>
      </c>
      <c r="L110" s="26">
        <v>229.07361179186628</v>
      </c>
      <c r="M110" s="26">
        <v>257.5473682039825</v>
      </c>
      <c r="N110" s="26">
        <v>275.2488750572748</v>
      </c>
      <c r="O110" s="26">
        <v>267.84478946790347</v>
      </c>
      <c r="P110" s="26">
        <v>276.04631172545828</v>
      </c>
      <c r="Q110" s="26">
        <v>267.6897760922526</v>
      </c>
      <c r="R110" s="26">
        <v>240.40878248497756</v>
      </c>
      <c r="S110" s="26">
        <v>243.73243447640081</v>
      </c>
      <c r="T110" s="26">
        <v>202.13778800261576</v>
      </c>
      <c r="U110" s="26">
        <v>197.87301103846829</v>
      </c>
      <c r="V110" s="26">
        <v>194.86975717207645</v>
      </c>
      <c r="W110" s="26">
        <v>259.06590387902958</v>
      </c>
    </row>
    <row r="111" spans="1:23" x14ac:dyDescent="0.35">
      <c r="A111" s="7" t="s">
        <v>10</v>
      </c>
      <c r="B111" s="26">
        <v>56.060220873514631</v>
      </c>
      <c r="C111" s="26">
        <v>64.642597060507001</v>
      </c>
      <c r="D111" s="26">
        <v>52.988243072497511</v>
      </c>
      <c r="E111" s="26">
        <v>65.416943930161466</v>
      </c>
      <c r="F111" s="26">
        <v>61.399591621704943</v>
      </c>
      <c r="G111" s="26">
        <v>57.052382396904342</v>
      </c>
      <c r="H111" s="26">
        <v>51.547081927628753</v>
      </c>
      <c r="I111" s="26">
        <v>44.688112740398267</v>
      </c>
      <c r="J111" s="26">
        <v>52.141973531682019</v>
      </c>
      <c r="K111" s="26">
        <v>61.630777034868949</v>
      </c>
      <c r="L111" s="26">
        <v>98.599007486523192</v>
      </c>
      <c r="M111" s="26">
        <v>97.232144189767396</v>
      </c>
      <c r="N111" s="26">
        <v>80.900376162737459</v>
      </c>
      <c r="O111" s="26">
        <v>75.433649811502278</v>
      </c>
      <c r="P111" s="26">
        <v>67.659644417915445</v>
      </c>
      <c r="Q111" s="26">
        <v>62.566012950030263</v>
      </c>
      <c r="R111" s="26">
        <v>66.892865576261187</v>
      </c>
      <c r="S111" s="26">
        <v>63.527539712966423</v>
      </c>
      <c r="T111" s="26">
        <v>61.221392158612268</v>
      </c>
      <c r="U111" s="26">
        <v>64.80633176250511</v>
      </c>
      <c r="V111" s="26">
        <v>69.132154828989485</v>
      </c>
      <c r="W111" s="26">
        <v>90.171730820091298</v>
      </c>
    </row>
    <row r="112" spans="1:23" x14ac:dyDescent="0.35">
      <c r="A112" s="6" t="s">
        <v>11</v>
      </c>
      <c r="B112" s="27">
        <v>3456.881294037365</v>
      </c>
      <c r="C112" s="27">
        <v>3421.9987236057991</v>
      </c>
      <c r="D112" s="27">
        <v>3356.3575610623011</v>
      </c>
      <c r="E112" s="27">
        <v>3325.5333086294131</v>
      </c>
      <c r="F112" s="27">
        <v>3562.4511544696365</v>
      </c>
      <c r="G112" s="27">
        <v>3401.3936491455374</v>
      </c>
      <c r="H112" s="27">
        <v>3598.5676449963239</v>
      </c>
      <c r="I112" s="27">
        <v>3673.3186172039318</v>
      </c>
      <c r="J112" s="27">
        <v>2801.4934314499769</v>
      </c>
      <c r="K112" s="27">
        <v>2006.3402355419892</v>
      </c>
      <c r="L112" s="27">
        <v>1892.2105502312713</v>
      </c>
      <c r="M112" s="27">
        <v>2272.9293973419212</v>
      </c>
      <c r="N112" s="27">
        <v>2273.8413121302747</v>
      </c>
      <c r="O112" s="27">
        <v>2188.0372488379794</v>
      </c>
      <c r="P112" s="27">
        <v>2246.8435553957638</v>
      </c>
      <c r="Q112" s="27">
        <v>2272.8605946300459</v>
      </c>
      <c r="R112" s="27">
        <v>2625.2293958956066</v>
      </c>
      <c r="S112" s="27">
        <v>2841.9815588593901</v>
      </c>
      <c r="T112" s="27">
        <v>2827.2337661156853</v>
      </c>
      <c r="U112" s="27">
        <v>2759.3329383185728</v>
      </c>
      <c r="V112" s="27">
        <v>2930.2129211434071</v>
      </c>
      <c r="W112" s="27">
        <v>2928.368322327472</v>
      </c>
    </row>
    <row r="113" spans="1:23" x14ac:dyDescent="0.35">
      <c r="A113" s="7" t="s">
        <v>12</v>
      </c>
      <c r="B113" s="26">
        <v>2005.0073641345982</v>
      </c>
      <c r="C113" s="26">
        <v>2076.7257233106966</v>
      </c>
      <c r="D113" s="26">
        <v>2095.4545494464201</v>
      </c>
      <c r="E113" s="26">
        <v>1970.1288342081943</v>
      </c>
      <c r="F113" s="26">
        <v>2161.6891772432564</v>
      </c>
      <c r="G113" s="26">
        <v>1984.0627044100715</v>
      </c>
      <c r="H113" s="26">
        <v>2225.1916548402455</v>
      </c>
      <c r="I113" s="26">
        <v>2192.4549407870204</v>
      </c>
      <c r="J113" s="26">
        <v>1881.1707126531246</v>
      </c>
      <c r="K113" s="26">
        <v>1205.4539928607401</v>
      </c>
      <c r="L113" s="26">
        <v>1092.2377418727763</v>
      </c>
      <c r="M113" s="26">
        <v>1363.9068147067323</v>
      </c>
      <c r="N113" s="26">
        <v>1387.0975617344486</v>
      </c>
      <c r="O113" s="26">
        <v>1384.2388738176423</v>
      </c>
      <c r="P113" s="26">
        <v>1438.560309730301</v>
      </c>
      <c r="Q113" s="26">
        <v>1497.2947303488636</v>
      </c>
      <c r="R113" s="26">
        <v>1743.071208238073</v>
      </c>
      <c r="S113" s="26">
        <v>1833.0748231725152</v>
      </c>
      <c r="T113" s="26">
        <v>1735.9841608120091</v>
      </c>
      <c r="U113" s="26">
        <v>1729.4772298394894</v>
      </c>
      <c r="V113" s="26">
        <v>1840.2647291426481</v>
      </c>
      <c r="W113" s="26">
        <v>1826.0608740643493</v>
      </c>
    </row>
    <row r="114" spans="1:23" x14ac:dyDescent="0.35">
      <c r="A114" s="7" t="s">
        <v>13</v>
      </c>
      <c r="B114" s="26">
        <v>1340.7110092047824</v>
      </c>
      <c r="C114" s="26">
        <v>1225.5840901110344</v>
      </c>
      <c r="D114" s="26">
        <v>1156.4682277125239</v>
      </c>
      <c r="E114" s="26">
        <v>1256.7823743829988</v>
      </c>
      <c r="F114" s="26">
        <v>1302.9349335466154</v>
      </c>
      <c r="G114" s="26">
        <v>1334.5475873110202</v>
      </c>
      <c r="H114" s="26">
        <v>1248.060064986325</v>
      </c>
      <c r="I114" s="26">
        <v>1350.2058521163785</v>
      </c>
      <c r="J114" s="26">
        <v>798.13580238319878</v>
      </c>
      <c r="K114" s="26">
        <v>728.02387030263276</v>
      </c>
      <c r="L114" s="26">
        <v>723.93488479260793</v>
      </c>
      <c r="M114" s="26">
        <v>824.98203269161615</v>
      </c>
      <c r="N114" s="26">
        <v>797.06056759270678</v>
      </c>
      <c r="O114" s="26">
        <v>706.89401873602992</v>
      </c>
      <c r="P114" s="26">
        <v>708.32906737135954</v>
      </c>
      <c r="Q114" s="26">
        <v>693.01787415291619</v>
      </c>
      <c r="R114" s="26">
        <v>796.01039798604154</v>
      </c>
      <c r="S114" s="26">
        <v>929.25097467178841</v>
      </c>
      <c r="T114" s="26">
        <v>1005.7428082057747</v>
      </c>
      <c r="U114" s="26">
        <v>958.17003810893607</v>
      </c>
      <c r="V114" s="26">
        <v>1028.2866941817399</v>
      </c>
      <c r="W114" s="26">
        <v>1039.15965783044</v>
      </c>
    </row>
    <row r="115" spans="1:23" x14ac:dyDescent="0.35">
      <c r="A115" s="7" t="s">
        <v>14</v>
      </c>
      <c r="B115" s="26">
        <v>111.16292069798446</v>
      </c>
      <c r="C115" s="26">
        <v>119.68891018406833</v>
      </c>
      <c r="D115" s="26">
        <v>104.4347839033569</v>
      </c>
      <c r="E115" s="26">
        <v>98.622100038220083</v>
      </c>
      <c r="F115" s="26">
        <v>97.827043679764728</v>
      </c>
      <c r="G115" s="26">
        <v>82.78335742444564</v>
      </c>
      <c r="H115" s="26">
        <v>125.31592516975356</v>
      </c>
      <c r="I115" s="26">
        <v>130.65782430053301</v>
      </c>
      <c r="J115" s="26">
        <v>122.18691641365315</v>
      </c>
      <c r="K115" s="26">
        <v>72.862372378616314</v>
      </c>
      <c r="L115" s="26">
        <v>76.03792356588734</v>
      </c>
      <c r="M115" s="26">
        <v>84.040549943572813</v>
      </c>
      <c r="N115" s="26">
        <v>89.68318280311891</v>
      </c>
      <c r="O115" s="26">
        <v>96.904356284307227</v>
      </c>
      <c r="P115" s="26">
        <v>99.954178294103286</v>
      </c>
      <c r="Q115" s="26">
        <v>82.547990128266207</v>
      </c>
      <c r="R115" s="26">
        <v>86.147789671492006</v>
      </c>
      <c r="S115" s="26">
        <v>79.655761015086668</v>
      </c>
      <c r="T115" s="26">
        <v>85.506797097901625</v>
      </c>
      <c r="U115" s="26">
        <v>71.685670370147164</v>
      </c>
      <c r="V115" s="26">
        <v>61.661497819019353</v>
      </c>
      <c r="W115" s="26">
        <v>63.147790432683131</v>
      </c>
    </row>
    <row r="116" spans="1:23" x14ac:dyDescent="0.35">
      <c r="A116" s="6" t="s">
        <v>15</v>
      </c>
      <c r="B116" s="27">
        <v>156.67093946665963</v>
      </c>
      <c r="C116" s="27">
        <v>172.64995956615536</v>
      </c>
      <c r="D116" s="27">
        <v>159.15754426974803</v>
      </c>
      <c r="E116" s="27">
        <v>170.23043689050908</v>
      </c>
      <c r="F116" s="27">
        <v>167.70441762750178</v>
      </c>
      <c r="G116" s="27">
        <v>163.39489106815421</v>
      </c>
      <c r="H116" s="27">
        <v>161.66122548413918</v>
      </c>
      <c r="I116" s="27">
        <v>140.53170028516607</v>
      </c>
      <c r="J116" s="27">
        <v>122.66451707781962</v>
      </c>
      <c r="K116" s="27">
        <v>108.69842735838846</v>
      </c>
      <c r="L116" s="27">
        <v>120.977623378101</v>
      </c>
      <c r="M116" s="27">
        <v>115.15245209557096</v>
      </c>
      <c r="N116" s="27">
        <v>102.02063113523683</v>
      </c>
      <c r="O116" s="27">
        <v>97.416582508631564</v>
      </c>
      <c r="P116" s="27">
        <v>94.945557157274848</v>
      </c>
      <c r="Q116" s="27">
        <v>93.012143635218692</v>
      </c>
      <c r="R116" s="27">
        <v>61.75675997056976</v>
      </c>
      <c r="S116" s="27">
        <v>66.609409872375252</v>
      </c>
      <c r="T116" s="27">
        <v>73.719648638169161</v>
      </c>
      <c r="U116" s="27">
        <v>64.305199656745415</v>
      </c>
      <c r="V116" s="27">
        <v>56.16548015106877</v>
      </c>
      <c r="W116" s="27">
        <v>52.011670797352181</v>
      </c>
    </row>
    <row r="117" spans="1:23" x14ac:dyDescent="0.35">
      <c r="A117" s="7" t="s">
        <v>16</v>
      </c>
      <c r="B117" s="26">
        <v>0</v>
      </c>
      <c r="C117" s="26">
        <v>0</v>
      </c>
      <c r="D117" s="26">
        <v>0</v>
      </c>
      <c r="E117" s="26">
        <v>0</v>
      </c>
      <c r="F117" s="26">
        <v>0</v>
      </c>
      <c r="G117" s="26">
        <v>0</v>
      </c>
      <c r="H117" s="26">
        <v>0</v>
      </c>
      <c r="I117" s="26">
        <v>0</v>
      </c>
      <c r="J117" s="26">
        <v>2.6729007126850282</v>
      </c>
      <c r="K117" s="26">
        <v>2.5827278694294948</v>
      </c>
      <c r="L117" s="26">
        <v>3.976857721686625</v>
      </c>
      <c r="M117" s="26">
        <v>2.6754545623310069</v>
      </c>
      <c r="N117" s="26">
        <v>4.5392033129148706</v>
      </c>
      <c r="O117" s="26">
        <v>2.1432686455725452</v>
      </c>
      <c r="P117" s="26">
        <v>1.932427899432853</v>
      </c>
      <c r="Q117" s="26">
        <v>1.9873986843461879</v>
      </c>
      <c r="R117" s="26">
        <v>1.6465736257565511</v>
      </c>
      <c r="S117" s="26">
        <v>1.839281337946588</v>
      </c>
      <c r="T117" s="26">
        <v>1.935515995526021</v>
      </c>
      <c r="U117" s="26">
        <v>1.669545452529779</v>
      </c>
      <c r="V117" s="26">
        <v>1.462770386095531</v>
      </c>
      <c r="W117" s="26">
        <v>1.3010313371634421</v>
      </c>
    </row>
    <row r="118" spans="1:23" x14ac:dyDescent="0.35">
      <c r="A118" s="7" t="s">
        <v>17</v>
      </c>
      <c r="B118" s="26">
        <v>155.91766486853189</v>
      </c>
      <c r="C118" s="26">
        <v>171.6514305946454</v>
      </c>
      <c r="D118" s="26">
        <v>158.42602080545461</v>
      </c>
      <c r="E118" s="26">
        <v>169.3252107936967</v>
      </c>
      <c r="F118" s="26">
        <v>166.93815106366239</v>
      </c>
      <c r="G118" s="26">
        <v>162.36835840371381</v>
      </c>
      <c r="H118" s="26">
        <v>160.83205234509481</v>
      </c>
      <c r="I118" s="26">
        <v>140.09731837229191</v>
      </c>
      <c r="J118" s="26">
        <v>118.78630547949339</v>
      </c>
      <c r="K118" s="26">
        <v>104.0320639088621</v>
      </c>
      <c r="L118" s="26">
        <v>114.2841098600875</v>
      </c>
      <c r="M118" s="26">
        <v>110.02109344827311</v>
      </c>
      <c r="N118" s="26">
        <v>95.110059399274775</v>
      </c>
      <c r="O118" s="26">
        <v>94.75239393920188</v>
      </c>
      <c r="P118" s="26">
        <v>92.525774263347159</v>
      </c>
      <c r="Q118" s="26">
        <v>90.637833809998185</v>
      </c>
      <c r="R118" s="26">
        <v>59.928999798946393</v>
      </c>
      <c r="S118" s="26">
        <v>64.52518503864934</v>
      </c>
      <c r="T118" s="26">
        <v>71.558692835349092</v>
      </c>
      <c r="U118" s="26">
        <v>62.465420695623052</v>
      </c>
      <c r="V118" s="26">
        <v>54.562142880464201</v>
      </c>
      <c r="W118" s="26">
        <v>50.613353736611771</v>
      </c>
    </row>
    <row r="119" spans="1:23" x14ac:dyDescent="0.35">
      <c r="A119" s="7" t="s">
        <v>18</v>
      </c>
      <c r="B119" s="26">
        <v>0.75327459812774356</v>
      </c>
      <c r="C119" s="26">
        <v>0.99852897150995179</v>
      </c>
      <c r="D119" s="26">
        <v>0.73152346429341242</v>
      </c>
      <c r="E119" s="26">
        <v>0.90522609681237431</v>
      </c>
      <c r="F119" s="26">
        <v>0.76626656383940372</v>
      </c>
      <c r="G119" s="26">
        <v>1.0265326644403829</v>
      </c>
      <c r="H119" s="26">
        <v>0.82917313904437828</v>
      </c>
      <c r="I119" s="26">
        <v>0.4343819128741544</v>
      </c>
      <c r="J119" s="26">
        <v>1.205310885641198</v>
      </c>
      <c r="K119" s="26">
        <v>2.0836355800968702</v>
      </c>
      <c r="L119" s="26">
        <v>2.7166557963268718</v>
      </c>
      <c r="M119" s="26">
        <v>2.4559040849668499</v>
      </c>
      <c r="N119" s="26">
        <v>2.3713684230471821</v>
      </c>
      <c r="O119" s="26">
        <v>0.52091992385714225</v>
      </c>
      <c r="P119" s="26">
        <v>0.48735499449483211</v>
      </c>
      <c r="Q119" s="26">
        <v>0.38691114087431883</v>
      </c>
      <c r="R119" s="26">
        <v>0.18118654586681779</v>
      </c>
      <c r="S119" s="26">
        <v>0.2449434957793272</v>
      </c>
      <c r="T119" s="26">
        <v>0.22543980729404911</v>
      </c>
      <c r="U119" s="26">
        <v>0.17023350859258449</v>
      </c>
      <c r="V119" s="26">
        <v>0.14056688450904331</v>
      </c>
      <c r="W119" s="26">
        <v>9.7285723576969199E-2</v>
      </c>
    </row>
    <row r="120" spans="1:23" x14ac:dyDescent="0.35">
      <c r="A120" s="8" t="s">
        <v>19</v>
      </c>
      <c r="B120" s="28">
        <v>1397.304365429902</v>
      </c>
      <c r="C120" s="28">
        <v>1465.210132494836</v>
      </c>
      <c r="D120" s="28">
        <v>1370.100745213244</v>
      </c>
      <c r="E120" s="28">
        <v>1264.134372310009</v>
      </c>
      <c r="F120" s="28">
        <v>1289.165186000735</v>
      </c>
      <c r="G120" s="28">
        <v>1288.7070667362659</v>
      </c>
      <c r="H120" s="28">
        <v>1375.0673496662489</v>
      </c>
      <c r="I120" s="28">
        <v>1224.014275470779</v>
      </c>
      <c r="J120" s="28">
        <v>1306.2515133349409</v>
      </c>
      <c r="K120" s="28">
        <v>1089.662761263648</v>
      </c>
      <c r="L120" s="28">
        <v>1214.0561647688669</v>
      </c>
      <c r="M120" s="28">
        <v>1109.516244409906</v>
      </c>
      <c r="N120" s="28">
        <v>971.79972817752616</v>
      </c>
      <c r="O120" s="28">
        <v>905.46976874775055</v>
      </c>
      <c r="P120" s="28">
        <v>937.6589249464605</v>
      </c>
      <c r="Q120" s="28">
        <v>897.23745120163971</v>
      </c>
      <c r="R120" s="28">
        <v>895.64531679406059</v>
      </c>
      <c r="S120" s="28">
        <v>970.31864294547574</v>
      </c>
      <c r="T120" s="28">
        <v>943.85570963414659</v>
      </c>
      <c r="U120" s="28">
        <v>912.60754566231356</v>
      </c>
      <c r="V120" s="28">
        <v>911.17470691651192</v>
      </c>
      <c r="W120" s="28">
        <v>979.09493933423335</v>
      </c>
    </row>
    <row r="121" spans="1:23" x14ac:dyDescent="0.35">
      <c r="A121" s="5" t="s">
        <v>20</v>
      </c>
      <c r="B121" s="26">
        <v>38.860471439251199</v>
      </c>
      <c r="C121" s="26">
        <v>46.400578918766307</v>
      </c>
      <c r="D121" s="26">
        <v>40.813422478967468</v>
      </c>
      <c r="E121" s="26">
        <v>46.905276959406777</v>
      </c>
      <c r="F121" s="26">
        <v>46.097638918723653</v>
      </c>
      <c r="G121" s="26">
        <v>50.103381598623223</v>
      </c>
      <c r="H121" s="26">
        <v>48.908047318835628</v>
      </c>
      <c r="I121" s="26">
        <v>53.048429279190877</v>
      </c>
      <c r="J121" s="26">
        <v>38.743064639359773</v>
      </c>
      <c r="K121" s="26">
        <v>36.117382679294217</v>
      </c>
      <c r="L121" s="26">
        <v>39.045802679326918</v>
      </c>
      <c r="M121" s="26">
        <v>26.844254279390171</v>
      </c>
      <c r="N121" s="26">
        <v>13.228581959650199</v>
      </c>
      <c r="O121" s="26">
        <v>13.076708039723369</v>
      </c>
      <c r="P121" s="26">
        <v>16.342940159216539</v>
      </c>
      <c r="Q121" s="26">
        <v>14.804947439411089</v>
      </c>
      <c r="R121" s="26">
        <v>11.82173219934808</v>
      </c>
      <c r="S121" s="26">
        <v>12.68128727899712</v>
      </c>
      <c r="T121" s="26">
        <v>12.778620479081679</v>
      </c>
      <c r="U121" s="26">
        <v>11.071414439440071</v>
      </c>
      <c r="V121" s="26">
        <v>9.6801091196460725</v>
      </c>
      <c r="W121" s="26">
        <v>13.48511687920093</v>
      </c>
    </row>
    <row r="122" spans="1:23" x14ac:dyDescent="0.35">
      <c r="A122" s="5" t="s">
        <v>21</v>
      </c>
      <c r="B122" s="26">
        <v>369.71077719922249</v>
      </c>
      <c r="C122" s="26">
        <v>389.96556876406208</v>
      </c>
      <c r="D122" s="26">
        <v>361.02254170717288</v>
      </c>
      <c r="E122" s="26">
        <v>390.25845016576199</v>
      </c>
      <c r="F122" s="26">
        <v>393.65717131779599</v>
      </c>
      <c r="G122" s="26">
        <v>341.15132104809732</v>
      </c>
      <c r="H122" s="26">
        <v>358.88992609128678</v>
      </c>
      <c r="I122" s="26">
        <v>362.35607177667958</v>
      </c>
      <c r="J122" s="26">
        <v>424.87314885648772</v>
      </c>
      <c r="K122" s="26">
        <v>368.93483671370842</v>
      </c>
      <c r="L122" s="26">
        <v>390.61680281612951</v>
      </c>
      <c r="M122" s="26">
        <v>311.3028478297889</v>
      </c>
      <c r="N122" s="26">
        <v>280.30620254794388</v>
      </c>
      <c r="O122" s="26">
        <v>228.37882806991411</v>
      </c>
      <c r="P122" s="26">
        <v>173.09631650266539</v>
      </c>
      <c r="Q122" s="26">
        <v>169.35157505938241</v>
      </c>
      <c r="R122" s="26">
        <v>157.84723230806989</v>
      </c>
      <c r="S122" s="26">
        <v>166.38035708152091</v>
      </c>
      <c r="T122" s="26">
        <v>169.86776594068471</v>
      </c>
      <c r="U122" s="26">
        <v>158.23289877139879</v>
      </c>
      <c r="V122" s="26">
        <v>151.15490965490949</v>
      </c>
      <c r="W122" s="26">
        <v>178.2948106758204</v>
      </c>
    </row>
    <row r="123" spans="1:23" x14ac:dyDescent="0.35">
      <c r="A123" s="5" t="s">
        <v>22</v>
      </c>
      <c r="B123" s="26">
        <v>81.818319598005516</v>
      </c>
      <c r="C123" s="26">
        <v>84.459869056281235</v>
      </c>
      <c r="D123" s="26">
        <v>78.704755515727612</v>
      </c>
      <c r="E123" s="26">
        <v>71.392926958648545</v>
      </c>
      <c r="F123" s="26">
        <v>69.57528695887693</v>
      </c>
      <c r="G123" s="26">
        <v>42.260534998532137</v>
      </c>
      <c r="H123" s="26">
        <v>39.886899118617187</v>
      </c>
      <c r="I123" s="26">
        <v>28.577341078033061</v>
      </c>
      <c r="J123" s="26">
        <v>28.914142318878209</v>
      </c>
      <c r="K123" s="26">
        <v>26.187682318977629</v>
      </c>
      <c r="L123" s="26">
        <v>28.308262318686801</v>
      </c>
      <c r="M123" s="26">
        <v>24.2185723182772</v>
      </c>
      <c r="N123" s="26">
        <v>15.9045519589815</v>
      </c>
      <c r="O123" s="26">
        <v>14.38944803891582</v>
      </c>
      <c r="P123" s="26">
        <v>13.217070238182661</v>
      </c>
      <c r="Q123" s="26">
        <v>13.25519783853745</v>
      </c>
      <c r="R123" s="26">
        <v>11.968788958659831</v>
      </c>
      <c r="S123" s="26">
        <v>13.025125798557861</v>
      </c>
      <c r="T123" s="26">
        <v>11.902511158573731</v>
      </c>
      <c r="U123" s="26">
        <v>11.96308223880226</v>
      </c>
      <c r="V123" s="26">
        <v>12.136988158234949</v>
      </c>
      <c r="W123" s="26">
        <v>17.01446219893397</v>
      </c>
    </row>
    <row r="124" spans="1:23" x14ac:dyDescent="0.35">
      <c r="A124" s="5" t="s">
        <v>23</v>
      </c>
      <c r="B124" s="26">
        <v>65.384327304167229</v>
      </c>
      <c r="C124" s="26">
        <v>56.801680474336742</v>
      </c>
      <c r="D124" s="26">
        <v>52.779793234289471</v>
      </c>
      <c r="E124" s="26">
        <v>52.765596333788153</v>
      </c>
      <c r="F124" s="26">
        <v>55.778379808144763</v>
      </c>
      <c r="G124" s="26">
        <v>44.034473224161538</v>
      </c>
      <c r="H124" s="26">
        <v>51.37959884604161</v>
      </c>
      <c r="I124" s="26">
        <v>41.793468108991533</v>
      </c>
      <c r="J124" s="26">
        <v>46.565528039581068</v>
      </c>
      <c r="K124" s="26">
        <v>36.462865679651493</v>
      </c>
      <c r="L124" s="26">
        <v>43.401285719478388</v>
      </c>
      <c r="M124" s="26">
        <v>29.9480176014611</v>
      </c>
      <c r="N124" s="26">
        <v>16.3878989085798</v>
      </c>
      <c r="O124" s="26">
        <v>12.135226286167009</v>
      </c>
      <c r="P124" s="26">
        <v>14.274148320272699</v>
      </c>
      <c r="Q124" s="26">
        <v>14.06893212020571</v>
      </c>
      <c r="R124" s="26">
        <v>13.45108784813136</v>
      </c>
      <c r="S124" s="26">
        <v>13.632607790457151</v>
      </c>
      <c r="T124" s="26">
        <v>15.70563287977672</v>
      </c>
      <c r="U124" s="26">
        <v>14.38010675982256</v>
      </c>
      <c r="V124" s="26">
        <v>12.629859120229961</v>
      </c>
      <c r="W124" s="26">
        <v>16.419979080296901</v>
      </c>
    </row>
    <row r="125" spans="1:23" x14ac:dyDescent="0.35">
      <c r="A125" s="5" t="s">
        <v>24</v>
      </c>
      <c r="B125" s="26">
        <v>934.54466119807978</v>
      </c>
      <c r="C125" s="26">
        <v>1011.225419801456</v>
      </c>
      <c r="D125" s="26">
        <v>963.51114869804439</v>
      </c>
      <c r="E125" s="26">
        <v>942.89980968079544</v>
      </c>
      <c r="F125" s="26">
        <v>956.20897876106483</v>
      </c>
      <c r="G125" s="26">
        <v>953.99028621948275</v>
      </c>
      <c r="H125" s="26">
        <v>893.44932181520812</v>
      </c>
      <c r="I125" s="26">
        <v>844.19231027974706</v>
      </c>
      <c r="J125" s="26">
        <v>781.2361678274475</v>
      </c>
      <c r="K125" s="26">
        <v>646.65679048720881</v>
      </c>
      <c r="L125" s="26">
        <v>663.53565413952458</v>
      </c>
      <c r="M125" s="26">
        <v>639.37613867416439</v>
      </c>
      <c r="N125" s="26">
        <v>542.08779266020974</v>
      </c>
      <c r="O125" s="26">
        <v>533.96676502720732</v>
      </c>
      <c r="P125" s="26">
        <v>519.86963663782001</v>
      </c>
      <c r="Q125" s="26">
        <v>527.3656820652327</v>
      </c>
      <c r="R125" s="26">
        <v>547.32296430228689</v>
      </c>
      <c r="S125" s="26">
        <v>577.96322350337937</v>
      </c>
      <c r="T125" s="26">
        <v>601.46806531369521</v>
      </c>
      <c r="U125" s="26">
        <v>580.92800189871105</v>
      </c>
      <c r="V125" s="26">
        <v>630.51605564198553</v>
      </c>
      <c r="W125" s="26">
        <v>774.59197014683093</v>
      </c>
    </row>
    <row r="126" spans="1:23" x14ac:dyDescent="0.35">
      <c r="A126" s="21" t="s">
        <v>60</v>
      </c>
      <c r="B126" s="36">
        <v>192.23938773315001</v>
      </c>
      <c r="C126" s="36">
        <v>178.1533716011341</v>
      </c>
      <c r="D126" s="36">
        <v>198.7098391220654</v>
      </c>
      <c r="E126" s="36">
        <v>193.13966749832221</v>
      </c>
      <c r="F126" s="36">
        <v>193.71791862806111</v>
      </c>
      <c r="G126" s="36">
        <v>217.71324261918451</v>
      </c>
      <c r="H126" s="36">
        <v>196.40572991860901</v>
      </c>
      <c r="I126" s="36">
        <v>201.15500716466209</v>
      </c>
      <c r="J126" s="36">
        <v>186.11046389575949</v>
      </c>
      <c r="K126" s="36">
        <v>175.09352290925091</v>
      </c>
      <c r="L126" s="36">
        <v>201.47035677163899</v>
      </c>
      <c r="M126" s="36">
        <v>193.90460265658891</v>
      </c>
      <c r="N126" s="36">
        <v>185.4941758348063</v>
      </c>
      <c r="O126" s="36">
        <v>196.91332279655481</v>
      </c>
      <c r="P126" s="36">
        <v>183.94674230003889</v>
      </c>
      <c r="Q126" s="36">
        <v>175.06189328306999</v>
      </c>
      <c r="R126" s="36">
        <v>165.04646391910219</v>
      </c>
      <c r="S126" s="36">
        <v>172.74824797725969</v>
      </c>
      <c r="T126" s="36">
        <v>162.2632897869367</v>
      </c>
      <c r="U126" s="36">
        <v>161.3245185024343</v>
      </c>
      <c r="V126" s="36">
        <v>169.1483359089124</v>
      </c>
      <c r="W126" s="36">
        <v>180.03176087666441</v>
      </c>
    </row>
    <row r="128" spans="1:23" x14ac:dyDescent="0.35">
      <c r="A128" s="23" t="s">
        <v>61</v>
      </c>
      <c r="B128" s="25">
        <v>57.760446131308953</v>
      </c>
      <c r="C128" s="25">
        <v>61.498342054546193</v>
      </c>
      <c r="D128" s="25">
        <v>58.084322510137021</v>
      </c>
      <c r="E128" s="25">
        <v>59.594790840287878</v>
      </c>
      <c r="F128" s="25">
        <v>59.176440018350306</v>
      </c>
      <c r="G128" s="25">
        <v>56.763114396075657</v>
      </c>
      <c r="H128" s="25">
        <v>54.049586639614759</v>
      </c>
      <c r="I128" s="25">
        <v>52.996656224658913</v>
      </c>
      <c r="J128" s="25">
        <v>50.546023928703733</v>
      </c>
      <c r="K128" s="25">
        <v>52.663959287235635</v>
      </c>
      <c r="L128" s="25">
        <v>55.331216642600154</v>
      </c>
      <c r="M128" s="25">
        <v>52.210433081500284</v>
      </c>
      <c r="N128" s="25">
        <v>48.865337664548036</v>
      </c>
      <c r="O128" s="25">
        <v>46.206113739016224</v>
      </c>
      <c r="P128" s="25">
        <v>45.035432474553524</v>
      </c>
      <c r="Q128" s="25">
        <v>44.478906820447904</v>
      </c>
      <c r="R128" s="25">
        <v>42.330453529891642</v>
      </c>
      <c r="S128" s="25">
        <v>42.82114079762551</v>
      </c>
      <c r="T128" s="25">
        <v>41.881041918634665</v>
      </c>
      <c r="U128" s="25">
        <v>40.642002029407692</v>
      </c>
      <c r="V128" s="25">
        <v>44.533638988938691</v>
      </c>
      <c r="W128" s="25">
        <v>45.407658465819793</v>
      </c>
    </row>
    <row r="129" spans="1:23" x14ac:dyDescent="0.35">
      <c r="A129" s="5" t="s">
        <v>2</v>
      </c>
      <c r="B129" s="26">
        <v>225.43239000119004</v>
      </c>
      <c r="C129" s="26">
        <v>257.04939474858742</v>
      </c>
      <c r="D129" s="26">
        <v>206.8677774179545</v>
      </c>
      <c r="E129" s="26">
        <v>233.02651237408003</v>
      </c>
      <c r="F129" s="26">
        <v>226.45827688523229</v>
      </c>
      <c r="G129" s="26">
        <v>250.26489646105171</v>
      </c>
      <c r="H129" s="26">
        <v>217.81673379762833</v>
      </c>
      <c r="I129" s="26">
        <v>187.98642442663666</v>
      </c>
      <c r="J129" s="26">
        <v>192.24949829376047</v>
      </c>
      <c r="K129" s="26">
        <v>186.58445827746948</v>
      </c>
      <c r="L129" s="26">
        <v>216.94505117502777</v>
      </c>
      <c r="M129" s="26">
        <v>202.19785536916541</v>
      </c>
      <c r="N129" s="26">
        <v>264.5228865916668</v>
      </c>
      <c r="O129" s="26">
        <v>261.96614354665849</v>
      </c>
      <c r="P129" s="26">
        <v>261.83241083822429</v>
      </c>
      <c r="Q129" s="26">
        <v>207.21120866948797</v>
      </c>
      <c r="R129" s="26">
        <v>219.05030724005809</v>
      </c>
      <c r="S129" s="26">
        <v>228.34182722788287</v>
      </c>
      <c r="T129" s="26">
        <v>256.23554225032439</v>
      </c>
      <c r="U129" s="26">
        <v>206.28302907751743</v>
      </c>
      <c r="V129" s="26">
        <v>252.81030986495028</v>
      </c>
      <c r="W129" s="26">
        <v>260.25069924867825</v>
      </c>
    </row>
    <row r="130" spans="1:23" x14ac:dyDescent="0.35">
      <c r="A130" s="6" t="s">
        <v>3</v>
      </c>
      <c r="B130" s="27" t="s">
        <v>62</v>
      </c>
      <c r="C130" s="27" t="s">
        <v>62</v>
      </c>
      <c r="D130" s="27" t="s">
        <v>62</v>
      </c>
      <c r="E130" s="27" t="s">
        <v>62</v>
      </c>
      <c r="F130" s="27" t="s">
        <v>62</v>
      </c>
      <c r="G130" s="27" t="s">
        <v>62</v>
      </c>
      <c r="H130" s="27" t="s">
        <v>62</v>
      </c>
      <c r="I130" s="27" t="s">
        <v>62</v>
      </c>
      <c r="J130" s="27" t="s">
        <v>62</v>
      </c>
      <c r="K130" s="27" t="s">
        <v>62</v>
      </c>
      <c r="L130" s="27" t="s">
        <v>62</v>
      </c>
      <c r="M130" s="27" t="s">
        <v>62</v>
      </c>
      <c r="N130" s="27" t="s">
        <v>62</v>
      </c>
      <c r="O130" s="27" t="s">
        <v>62</v>
      </c>
      <c r="P130" s="27" t="s">
        <v>62</v>
      </c>
      <c r="Q130" s="27" t="s">
        <v>62</v>
      </c>
      <c r="R130" s="27" t="s">
        <v>62</v>
      </c>
      <c r="S130" s="27" t="s">
        <v>62</v>
      </c>
      <c r="T130" s="27" t="s">
        <v>62</v>
      </c>
      <c r="U130" s="27" t="s">
        <v>62</v>
      </c>
      <c r="V130" s="27" t="s">
        <v>62</v>
      </c>
      <c r="W130" s="27" t="s">
        <v>62</v>
      </c>
    </row>
    <row r="131" spans="1:23" x14ac:dyDescent="0.35">
      <c r="A131" s="7" t="s">
        <v>4</v>
      </c>
      <c r="B131" s="26" t="s">
        <v>62</v>
      </c>
      <c r="C131" s="26" t="s">
        <v>62</v>
      </c>
      <c r="D131" s="26" t="s">
        <v>62</v>
      </c>
      <c r="E131" s="26" t="s">
        <v>62</v>
      </c>
      <c r="F131" s="26" t="s">
        <v>62</v>
      </c>
      <c r="G131" s="26" t="s">
        <v>62</v>
      </c>
      <c r="H131" s="26" t="s">
        <v>62</v>
      </c>
      <c r="I131" s="26" t="s">
        <v>62</v>
      </c>
      <c r="J131" s="26" t="s">
        <v>62</v>
      </c>
      <c r="K131" s="26" t="s">
        <v>62</v>
      </c>
      <c r="L131" s="26" t="s">
        <v>62</v>
      </c>
      <c r="M131" s="26" t="s">
        <v>62</v>
      </c>
      <c r="N131" s="26" t="s">
        <v>62</v>
      </c>
      <c r="O131" s="26" t="s">
        <v>62</v>
      </c>
      <c r="P131" s="26" t="s">
        <v>62</v>
      </c>
      <c r="Q131" s="26" t="s">
        <v>62</v>
      </c>
      <c r="R131" s="26" t="s">
        <v>62</v>
      </c>
      <c r="S131" s="26" t="s">
        <v>62</v>
      </c>
      <c r="T131" s="26" t="s">
        <v>62</v>
      </c>
      <c r="U131" s="26" t="s">
        <v>62</v>
      </c>
      <c r="V131" s="26" t="s">
        <v>62</v>
      </c>
      <c r="W131" s="26" t="s">
        <v>62</v>
      </c>
    </row>
    <row r="132" spans="1:23" x14ac:dyDescent="0.35">
      <c r="A132" s="7" t="s">
        <v>5</v>
      </c>
      <c r="B132" s="26" t="s">
        <v>62</v>
      </c>
      <c r="C132" s="26" t="s">
        <v>62</v>
      </c>
      <c r="D132" s="26" t="s">
        <v>62</v>
      </c>
      <c r="E132" s="26" t="s">
        <v>62</v>
      </c>
      <c r="F132" s="26" t="s">
        <v>62</v>
      </c>
      <c r="G132" s="26" t="s">
        <v>62</v>
      </c>
      <c r="H132" s="26" t="s">
        <v>62</v>
      </c>
      <c r="I132" s="26" t="s">
        <v>62</v>
      </c>
      <c r="J132" s="26" t="s">
        <v>62</v>
      </c>
      <c r="K132" s="26" t="s">
        <v>62</v>
      </c>
      <c r="L132" s="26" t="s">
        <v>62</v>
      </c>
      <c r="M132" s="26" t="s">
        <v>62</v>
      </c>
      <c r="N132" s="26" t="s">
        <v>62</v>
      </c>
      <c r="O132" s="26" t="s">
        <v>62</v>
      </c>
      <c r="P132" s="26" t="s">
        <v>62</v>
      </c>
      <c r="Q132" s="26" t="s">
        <v>62</v>
      </c>
      <c r="R132" s="26" t="s">
        <v>62</v>
      </c>
      <c r="S132" s="26" t="s">
        <v>62</v>
      </c>
      <c r="T132" s="26" t="s">
        <v>62</v>
      </c>
      <c r="U132" s="26" t="s">
        <v>62</v>
      </c>
      <c r="V132" s="26" t="s">
        <v>62</v>
      </c>
      <c r="W132" s="26" t="s">
        <v>62</v>
      </c>
    </row>
    <row r="133" spans="1:23" x14ac:dyDescent="0.35">
      <c r="A133" s="7" t="s">
        <v>6</v>
      </c>
      <c r="B133" s="26" t="s">
        <v>62</v>
      </c>
      <c r="C133" s="26" t="s">
        <v>62</v>
      </c>
      <c r="D133" s="26" t="s">
        <v>62</v>
      </c>
      <c r="E133" s="26" t="s">
        <v>62</v>
      </c>
      <c r="F133" s="26" t="s">
        <v>62</v>
      </c>
      <c r="G133" s="26" t="s">
        <v>62</v>
      </c>
      <c r="H133" s="26" t="s">
        <v>62</v>
      </c>
      <c r="I133" s="26" t="s">
        <v>62</v>
      </c>
      <c r="J133" s="26" t="s">
        <v>62</v>
      </c>
      <c r="K133" s="26" t="s">
        <v>62</v>
      </c>
      <c r="L133" s="26" t="s">
        <v>62</v>
      </c>
      <c r="M133" s="26" t="s">
        <v>62</v>
      </c>
      <c r="N133" s="26" t="s">
        <v>62</v>
      </c>
      <c r="O133" s="26" t="s">
        <v>62</v>
      </c>
      <c r="P133" s="26" t="s">
        <v>62</v>
      </c>
      <c r="Q133" s="26" t="s">
        <v>62</v>
      </c>
      <c r="R133" s="26" t="s">
        <v>62</v>
      </c>
      <c r="S133" s="26" t="s">
        <v>62</v>
      </c>
      <c r="T133" s="26" t="s">
        <v>62</v>
      </c>
      <c r="U133" s="26" t="s">
        <v>62</v>
      </c>
      <c r="V133" s="26" t="s">
        <v>62</v>
      </c>
      <c r="W133" s="26" t="s">
        <v>62</v>
      </c>
    </row>
    <row r="134" spans="1:23" x14ac:dyDescent="0.35">
      <c r="A134" s="6" t="s">
        <v>7</v>
      </c>
      <c r="B134" s="27">
        <v>56.675675422822707</v>
      </c>
      <c r="C134" s="27">
        <v>56.067975610229624</v>
      </c>
      <c r="D134" s="27">
        <v>60.940863756963459</v>
      </c>
      <c r="E134" s="27">
        <v>52.610493222043139</v>
      </c>
      <c r="F134" s="27">
        <v>50.733944391481224</v>
      </c>
      <c r="G134" s="27">
        <v>50.186152907959766</v>
      </c>
      <c r="H134" s="27">
        <v>49.561886643149052</v>
      </c>
      <c r="I134" s="27">
        <v>48.26454734202553</v>
      </c>
      <c r="J134" s="27">
        <v>50.085957203943082</v>
      </c>
      <c r="K134" s="27">
        <v>45.29196958636232</v>
      </c>
      <c r="L134" s="27">
        <v>39.641559509242974</v>
      </c>
      <c r="M134" s="27">
        <v>39.614000179032992</v>
      </c>
      <c r="N134" s="27">
        <v>35.139468346298969</v>
      </c>
      <c r="O134" s="27">
        <v>31.81227200006099</v>
      </c>
      <c r="P134" s="27">
        <v>29.082433152804686</v>
      </c>
      <c r="Q134" s="27">
        <v>24.744516311402265</v>
      </c>
      <c r="R134" s="27">
        <v>24.397738850902073</v>
      </c>
      <c r="S134" s="27">
        <v>23.27462987873097</v>
      </c>
      <c r="T134" s="27">
        <v>18.893861978881358</v>
      </c>
      <c r="U134" s="27">
        <v>18.67161390381338</v>
      </c>
      <c r="V134" s="27">
        <v>19.1778829596097</v>
      </c>
      <c r="W134" s="27">
        <v>20.022382216954664</v>
      </c>
    </row>
    <row r="135" spans="1:23" x14ac:dyDescent="0.35">
      <c r="A135" s="7" t="s">
        <v>8</v>
      </c>
      <c r="B135" s="26" t="s">
        <v>62</v>
      </c>
      <c r="C135" s="26" t="s">
        <v>62</v>
      </c>
      <c r="D135" s="26" t="s">
        <v>62</v>
      </c>
      <c r="E135" s="26" t="s">
        <v>62</v>
      </c>
      <c r="F135" s="26" t="s">
        <v>62</v>
      </c>
      <c r="G135" s="26" t="s">
        <v>62</v>
      </c>
      <c r="H135" s="26" t="s">
        <v>62</v>
      </c>
      <c r="I135" s="26" t="s">
        <v>62</v>
      </c>
      <c r="J135" s="26" t="s">
        <v>62</v>
      </c>
      <c r="K135" s="26" t="s">
        <v>62</v>
      </c>
      <c r="L135" s="26" t="s">
        <v>62</v>
      </c>
      <c r="M135" s="26" t="s">
        <v>62</v>
      </c>
      <c r="N135" s="26" t="s">
        <v>62</v>
      </c>
      <c r="O135" s="26" t="s">
        <v>62</v>
      </c>
      <c r="P135" s="26" t="s">
        <v>62</v>
      </c>
      <c r="Q135" s="26" t="s">
        <v>62</v>
      </c>
      <c r="R135" s="26" t="s">
        <v>62</v>
      </c>
      <c r="S135" s="26" t="s">
        <v>62</v>
      </c>
      <c r="T135" s="26" t="s">
        <v>62</v>
      </c>
      <c r="U135" s="26" t="s">
        <v>62</v>
      </c>
      <c r="V135" s="26" t="s">
        <v>62</v>
      </c>
      <c r="W135" s="26" t="s">
        <v>62</v>
      </c>
    </row>
    <row r="136" spans="1:23" x14ac:dyDescent="0.35">
      <c r="A136" s="7" t="s">
        <v>9</v>
      </c>
      <c r="B136" s="26">
        <v>129.05137794514707</v>
      </c>
      <c r="C136" s="26">
        <v>136.45504539999217</v>
      </c>
      <c r="D136" s="26">
        <v>149.55294080991237</v>
      </c>
      <c r="E136" s="26">
        <v>132.58328851741697</v>
      </c>
      <c r="F136" s="26">
        <v>126.94838418948571</v>
      </c>
      <c r="G136" s="26">
        <v>126.0036683460917</v>
      </c>
      <c r="H136" s="26">
        <v>122.69316847080252</v>
      </c>
      <c r="I136" s="26">
        <v>117.32577556951985</v>
      </c>
      <c r="J136" s="26">
        <v>122.23482988756139</v>
      </c>
      <c r="K136" s="26">
        <v>109.16563126864787</v>
      </c>
      <c r="L136" s="26">
        <v>101.59287564204232</v>
      </c>
      <c r="M136" s="26">
        <v>114.36509785437192</v>
      </c>
      <c r="N136" s="26">
        <v>105.94139365114115</v>
      </c>
      <c r="O136" s="26">
        <v>103.75524623326821</v>
      </c>
      <c r="P136" s="26">
        <v>92.344781951482759</v>
      </c>
      <c r="Q136" s="26">
        <v>79.129313068631205</v>
      </c>
      <c r="R136" s="26">
        <v>79.840999776085084</v>
      </c>
      <c r="S136" s="26">
        <v>80.327510025949792</v>
      </c>
      <c r="T136" s="26">
        <v>69.67974140146984</v>
      </c>
      <c r="U136" s="26">
        <v>65.522511319021973</v>
      </c>
      <c r="V136" s="26">
        <v>68.545192218745967</v>
      </c>
      <c r="W136" s="26">
        <v>75.856563015613375</v>
      </c>
    </row>
    <row r="137" spans="1:23" x14ac:dyDescent="0.35">
      <c r="A137" s="7" t="s">
        <v>10</v>
      </c>
      <c r="B137" s="26">
        <v>17.854156248008099</v>
      </c>
      <c r="C137" s="26">
        <v>17.854156248008103</v>
      </c>
      <c r="D137" s="26">
        <v>17.854156248008103</v>
      </c>
      <c r="E137" s="26">
        <v>17.854156248008103</v>
      </c>
      <c r="F137" s="26">
        <v>17.854156248008106</v>
      </c>
      <c r="G137" s="26">
        <v>17.854156248008106</v>
      </c>
      <c r="H137" s="26">
        <v>17.854156248008103</v>
      </c>
      <c r="I137" s="26">
        <v>17.854156248008113</v>
      </c>
      <c r="J137" s="26">
        <v>17.854156248008099</v>
      </c>
      <c r="K137" s="26">
        <v>17.854156248008099</v>
      </c>
      <c r="L137" s="26">
        <v>17.854156248008099</v>
      </c>
      <c r="M137" s="26">
        <v>15.836107051995274</v>
      </c>
      <c r="N137" s="26">
        <v>12.221813475554095</v>
      </c>
      <c r="O137" s="26">
        <v>11.076577200026939</v>
      </c>
      <c r="P137" s="26">
        <v>9.8713034215082409</v>
      </c>
      <c r="Q137" s="26">
        <v>8.4725150823989193</v>
      </c>
      <c r="R137" s="26">
        <v>8.5997737251368829</v>
      </c>
      <c r="S137" s="26">
        <v>7.7989183159060431</v>
      </c>
      <c r="T137" s="26">
        <v>6.8284311731692195</v>
      </c>
      <c r="U137" s="26">
        <v>7.0348525938812001</v>
      </c>
      <c r="V137" s="26">
        <v>7.3848417402809208</v>
      </c>
      <c r="W137" s="26">
        <v>7.3848417402809217</v>
      </c>
    </row>
    <row r="138" spans="1:23" x14ac:dyDescent="0.35">
      <c r="A138" s="6" t="s">
        <v>11</v>
      </c>
      <c r="B138" s="27">
        <v>383.26477814522758</v>
      </c>
      <c r="C138" s="27">
        <v>449.39376815376556</v>
      </c>
      <c r="D138" s="27">
        <v>412.315452476318</v>
      </c>
      <c r="E138" s="27">
        <v>458.2220014824141</v>
      </c>
      <c r="F138" s="27">
        <v>497.2133537458015</v>
      </c>
      <c r="G138" s="27">
        <v>466.92576592220985</v>
      </c>
      <c r="H138" s="27">
        <v>456.09005546753855</v>
      </c>
      <c r="I138" s="27">
        <v>445.03087144113391</v>
      </c>
      <c r="J138" s="27">
        <v>363.67647902941474</v>
      </c>
      <c r="K138" s="27">
        <v>390.69244912956185</v>
      </c>
      <c r="L138" s="27">
        <v>473.38971282342447</v>
      </c>
      <c r="M138" s="27">
        <v>446.44662242362062</v>
      </c>
      <c r="N138" s="27">
        <v>479.26534148920518</v>
      </c>
      <c r="O138" s="27">
        <v>455.11628378601461</v>
      </c>
      <c r="P138" s="27">
        <v>420.16156317960207</v>
      </c>
      <c r="Q138" s="27">
        <v>411.7577508761841</v>
      </c>
      <c r="R138" s="27">
        <v>403.89045522905542</v>
      </c>
      <c r="S138" s="27">
        <v>412.05363274259253</v>
      </c>
      <c r="T138" s="27">
        <v>419.73807016953094</v>
      </c>
      <c r="U138" s="27">
        <v>399.93492302807459</v>
      </c>
      <c r="V138" s="27">
        <v>419.88331509120854</v>
      </c>
      <c r="W138" s="27">
        <v>395.26836834396505</v>
      </c>
    </row>
    <row r="139" spans="1:23" x14ac:dyDescent="0.35">
      <c r="A139" s="7" t="s">
        <v>12</v>
      </c>
      <c r="B139" s="26">
        <v>283.94531196324499</v>
      </c>
      <c r="C139" s="26">
        <v>338.30711213674687</v>
      </c>
      <c r="D139" s="26">
        <v>310.8420051469601</v>
      </c>
      <c r="E139" s="26">
        <v>341.37106678931502</v>
      </c>
      <c r="F139" s="26">
        <v>374.6593863523932</v>
      </c>
      <c r="G139" s="26">
        <v>342.84396747657291</v>
      </c>
      <c r="H139" s="26">
        <v>332.51941383154735</v>
      </c>
      <c r="I139" s="26">
        <v>323.99838127436288</v>
      </c>
      <c r="J139" s="26">
        <v>285.43941454512407</v>
      </c>
      <c r="K139" s="26">
        <v>266.78576658997611</v>
      </c>
      <c r="L139" s="26">
        <v>323.68010356625354</v>
      </c>
      <c r="M139" s="26">
        <v>300.4195668690586</v>
      </c>
      <c r="N139" s="26">
        <v>303.48431274382148</v>
      </c>
      <c r="O139" s="26">
        <v>315.39194204808433</v>
      </c>
      <c r="P139" s="26">
        <v>301.37250724500319</v>
      </c>
      <c r="Q139" s="26">
        <v>289.94365841735208</v>
      </c>
      <c r="R139" s="26">
        <v>280.88506103480097</v>
      </c>
      <c r="S139" s="26">
        <v>255.29910277053264</v>
      </c>
      <c r="T139" s="26">
        <v>230.25138921836952</v>
      </c>
      <c r="U139" s="26">
        <v>226.67463773174148</v>
      </c>
      <c r="V139" s="26">
        <v>231.3936007668382</v>
      </c>
      <c r="W139" s="26">
        <v>219.85869664382929</v>
      </c>
    </row>
    <row r="140" spans="1:23" x14ac:dyDescent="0.35">
      <c r="A140" s="7" t="s">
        <v>13</v>
      </c>
      <c r="B140" s="26">
        <v>471.19929465577388</v>
      </c>
      <c r="C140" s="26">
        <v>575.33043461169098</v>
      </c>
      <c r="D140" s="26">
        <v>528.62283854228428</v>
      </c>
      <c r="E140" s="26">
        <v>580.54104443528763</v>
      </c>
      <c r="F140" s="26">
        <v>637.15168806248209</v>
      </c>
      <c r="G140" s="26">
        <v>588.26741578135591</v>
      </c>
      <c r="H140" s="26">
        <v>644.28785251407089</v>
      </c>
      <c r="I140" s="26">
        <v>603.91665300665738</v>
      </c>
      <c r="J140" s="26">
        <v>532.04468241555139</v>
      </c>
      <c r="K140" s="26">
        <v>599.79935729579097</v>
      </c>
      <c r="L140" s="26">
        <v>719.70652869248363</v>
      </c>
      <c r="M140" s="26">
        <v>676.69330009819146</v>
      </c>
      <c r="N140" s="26">
        <v>762.07056983489963</v>
      </c>
      <c r="O140" s="26">
        <v>676.08429698498355</v>
      </c>
      <c r="P140" s="26">
        <v>617.16977773756241</v>
      </c>
      <c r="Q140" s="26">
        <v>625.88482514298198</v>
      </c>
      <c r="R140" s="26">
        <v>626.79899698750785</v>
      </c>
      <c r="S140" s="26">
        <v>722.22983931481144</v>
      </c>
      <c r="T140" s="26">
        <v>803.75285576989893</v>
      </c>
      <c r="U140" s="26">
        <v>758.01825809010563</v>
      </c>
      <c r="V140" s="26">
        <v>805.3310234164378</v>
      </c>
      <c r="W140" s="26">
        <v>737.24542217166368</v>
      </c>
    </row>
    <row r="141" spans="1:23" x14ac:dyDescent="0.35">
      <c r="A141" s="7" t="s">
        <v>14</v>
      </c>
      <c r="B141" s="26">
        <v>269.17024795108927</v>
      </c>
      <c r="C141" s="26">
        <v>312.8682704988725</v>
      </c>
      <c r="D141" s="26">
        <v>276.716613519031</v>
      </c>
      <c r="E141" s="26">
        <v>286.89096617550013</v>
      </c>
      <c r="F141" s="26">
        <v>295.64303672107275</v>
      </c>
      <c r="G141" s="26">
        <v>265.73154398102452</v>
      </c>
      <c r="H141" s="26">
        <v>311.49731252080397</v>
      </c>
      <c r="I141" s="26">
        <v>293.1798762180257</v>
      </c>
      <c r="J141" s="26">
        <v>255.86013318714424</v>
      </c>
      <c r="K141" s="26">
        <v>223.8407490525934</v>
      </c>
      <c r="L141" s="26">
        <v>271.31565477231629</v>
      </c>
      <c r="M141" s="26">
        <v>277.95178665237609</v>
      </c>
      <c r="N141" s="26">
        <v>353.12341230097468</v>
      </c>
      <c r="O141" s="26">
        <v>367.06979647057744</v>
      </c>
      <c r="P141" s="26">
        <v>331.50937681055052</v>
      </c>
      <c r="Q141" s="26">
        <v>322.05168097358086</v>
      </c>
      <c r="R141" s="26">
        <v>313.47730885099486</v>
      </c>
      <c r="S141" s="26">
        <v>282.66165433812984</v>
      </c>
      <c r="T141" s="26">
        <v>297.14729617171145</v>
      </c>
      <c r="U141" s="26">
        <v>293.64453421094652</v>
      </c>
      <c r="V141" s="26">
        <v>253.93413435544397</v>
      </c>
      <c r="W141" s="26">
        <v>240.11526872455707</v>
      </c>
    </row>
    <row r="142" spans="1:23" x14ac:dyDescent="0.35">
      <c r="A142" s="6" t="s">
        <v>15</v>
      </c>
      <c r="B142" s="27">
        <v>64.175563763346673</v>
      </c>
      <c r="C142" s="27">
        <v>74.915715633427027</v>
      </c>
      <c r="D142" s="27">
        <v>75.150785617380379</v>
      </c>
      <c r="E142" s="27">
        <v>82.984997254870493</v>
      </c>
      <c r="F142" s="27">
        <v>89.38182312783897</v>
      </c>
      <c r="G142" s="27">
        <v>90.272896875408705</v>
      </c>
      <c r="H142" s="27">
        <v>92.704981931056835</v>
      </c>
      <c r="I142" s="27">
        <v>91.354423826536575</v>
      </c>
      <c r="J142" s="27">
        <v>109.68006643996117</v>
      </c>
      <c r="K142" s="27">
        <v>126.26009660860976</v>
      </c>
      <c r="L142" s="27">
        <v>153.31545767266437</v>
      </c>
      <c r="M142" s="27">
        <v>148.84003953706983</v>
      </c>
      <c r="N142" s="27">
        <v>119.19574934822316</v>
      </c>
      <c r="O142" s="27">
        <v>116.35613488090245</v>
      </c>
      <c r="P142" s="27">
        <v>92.852820134027368</v>
      </c>
      <c r="Q142" s="27">
        <v>95.563575371326223</v>
      </c>
      <c r="R142" s="27">
        <v>74.757289209100136</v>
      </c>
      <c r="S142" s="27">
        <v>76.413537590329554</v>
      </c>
      <c r="T142" s="27">
        <v>92.860378681315794</v>
      </c>
      <c r="U142" s="27">
        <v>82.991533371148108</v>
      </c>
      <c r="V142" s="27">
        <v>86.271475184516007</v>
      </c>
      <c r="W142" s="27">
        <v>80.835809388346391</v>
      </c>
    </row>
    <row r="143" spans="1:23" x14ac:dyDescent="0.35">
      <c r="A143" s="7" t="s">
        <v>16</v>
      </c>
      <c r="B143" s="26" t="s">
        <v>62</v>
      </c>
      <c r="C143" s="26" t="s">
        <v>62</v>
      </c>
      <c r="D143" s="26" t="s">
        <v>62</v>
      </c>
      <c r="E143" s="26" t="s">
        <v>62</v>
      </c>
      <c r="F143" s="26" t="s">
        <v>62</v>
      </c>
      <c r="G143" s="26" t="s">
        <v>62</v>
      </c>
      <c r="H143" s="26" t="s">
        <v>62</v>
      </c>
      <c r="I143" s="26" t="s">
        <v>62</v>
      </c>
      <c r="J143" s="26">
        <v>4318.2073655750401</v>
      </c>
      <c r="K143" s="26">
        <v>4484.1657930641586</v>
      </c>
      <c r="L143" s="26">
        <v>5134.45757856812</v>
      </c>
      <c r="M143" s="26">
        <v>4822.7134616039239</v>
      </c>
      <c r="N143" s="26">
        <v>3641.357889549377</v>
      </c>
      <c r="O143" s="26">
        <v>3678.522106888111</v>
      </c>
      <c r="P143" s="26">
        <v>2937.8814032008736</v>
      </c>
      <c r="Q143" s="26">
        <v>2715.8106492799202</v>
      </c>
      <c r="R143" s="26">
        <v>2208.0776155266958</v>
      </c>
      <c r="S143" s="26">
        <v>2233.0066356467837</v>
      </c>
      <c r="T143" s="26">
        <v>2694.8201975817665</v>
      </c>
      <c r="U143" s="26">
        <v>2229.1076947554971</v>
      </c>
      <c r="V143" s="26">
        <v>2071.6176613309644</v>
      </c>
      <c r="W143" s="26">
        <v>1845.071589240036</v>
      </c>
    </row>
    <row r="144" spans="1:23" x14ac:dyDescent="0.35">
      <c r="A144" s="7" t="s">
        <v>17</v>
      </c>
      <c r="B144" s="26">
        <v>151.15135909088846</v>
      </c>
      <c r="C144" s="26">
        <v>163.52417087968743</v>
      </c>
      <c r="D144" s="26">
        <v>159.83768244839223</v>
      </c>
      <c r="E144" s="26">
        <v>176.69787707937525</v>
      </c>
      <c r="F144" s="26">
        <v>198.49115864011807</v>
      </c>
      <c r="G144" s="26">
        <v>206.78551319822105</v>
      </c>
      <c r="H144" s="26">
        <v>212.78763194245593</v>
      </c>
      <c r="I144" s="26">
        <v>204.71884320386206</v>
      </c>
      <c r="J144" s="26">
        <v>262.18227629777851</v>
      </c>
      <c r="K144" s="26">
        <v>272.26569432735442</v>
      </c>
      <c r="L144" s="26">
        <v>308.96439482387177</v>
      </c>
      <c r="M144" s="26">
        <v>292.58830169716879</v>
      </c>
      <c r="N144" s="26">
        <v>218.43711130429304</v>
      </c>
      <c r="O144" s="26">
        <v>225.95562960128598</v>
      </c>
      <c r="P144" s="26">
        <v>178.92709195479904</v>
      </c>
      <c r="Q144" s="26">
        <v>164.06822592485435</v>
      </c>
      <c r="R144" s="26">
        <v>129.71596650607293</v>
      </c>
      <c r="S144" s="26">
        <v>133.64846749544873</v>
      </c>
      <c r="T144" s="26">
        <v>164.51105783541681</v>
      </c>
      <c r="U144" s="26">
        <v>136.26810062242853</v>
      </c>
      <c r="V144" s="26">
        <v>127.75472342264513</v>
      </c>
      <c r="W144" s="26">
        <v>113.78383906367092</v>
      </c>
    </row>
    <row r="145" spans="1:23" x14ac:dyDescent="0.35">
      <c r="A145" s="7" t="s">
        <v>18</v>
      </c>
      <c r="B145" s="26">
        <v>11.233775303103858</v>
      </c>
      <c r="C145" s="26">
        <v>13.776531930355219</v>
      </c>
      <c r="D145" s="26">
        <v>14.074923346993645</v>
      </c>
      <c r="E145" s="26">
        <v>15.529656941576176</v>
      </c>
      <c r="F145" s="26">
        <v>16.245278795107996</v>
      </c>
      <c r="G145" s="26">
        <v>16.078080432374474</v>
      </c>
      <c r="H145" s="26">
        <v>16.489977839196904</v>
      </c>
      <c r="I145" s="26">
        <v>16.503986809513584</v>
      </c>
      <c r="J145" s="26">
        <v>18.670991906163959</v>
      </c>
      <c r="K145" s="26">
        <v>22.897225370730819</v>
      </c>
      <c r="L145" s="26">
        <v>28.919974594241015</v>
      </c>
      <c r="M145" s="26">
        <v>28.887323635907194</v>
      </c>
      <c r="N145" s="26">
        <v>23.961491473993419</v>
      </c>
      <c r="O145" s="26">
        <v>18.566528544125042</v>
      </c>
      <c r="P145" s="26">
        <v>15.991142813174521</v>
      </c>
      <c r="Q145" s="26">
        <v>19.63234569183771</v>
      </c>
      <c r="R145" s="26">
        <v>18.426807450513174</v>
      </c>
      <c r="S145" s="26">
        <v>16.280009737717226</v>
      </c>
      <c r="T145" s="26">
        <v>16.924449932766848</v>
      </c>
      <c r="U145" s="26">
        <v>15.928442271147498</v>
      </c>
      <c r="V145" s="26">
        <v>17.201146547953684</v>
      </c>
      <c r="W145" s="26">
        <v>17.448321205701415</v>
      </c>
    </row>
    <row r="146" spans="1:23" x14ac:dyDescent="0.35">
      <c r="A146" s="8" t="s">
        <v>19</v>
      </c>
      <c r="B146" s="28">
        <v>132.20790436756258</v>
      </c>
      <c r="C146" s="28">
        <v>133.19704037872214</v>
      </c>
      <c r="D146" s="28">
        <v>120.50011137294187</v>
      </c>
      <c r="E146" s="28">
        <v>120.24752171877904</v>
      </c>
      <c r="F146" s="28">
        <v>123.84206706860238</v>
      </c>
      <c r="G146" s="28">
        <v>131.51222453711407</v>
      </c>
      <c r="H146" s="28">
        <v>148.25719450726962</v>
      </c>
      <c r="I146" s="28">
        <v>143.48504200214654</v>
      </c>
      <c r="J146" s="28">
        <v>159.59117955979835</v>
      </c>
      <c r="K146" s="28">
        <v>140.94174177258543</v>
      </c>
      <c r="L146" s="28">
        <v>164.92084700691947</v>
      </c>
      <c r="M146" s="28">
        <v>168.30474738137724</v>
      </c>
      <c r="N146" s="28">
        <v>168.20807280738623</v>
      </c>
      <c r="O146" s="28">
        <v>154.53662896143885</v>
      </c>
      <c r="P146" s="28">
        <v>157.84444825711552</v>
      </c>
      <c r="Q146" s="28">
        <v>145.04639288493212</v>
      </c>
      <c r="R146" s="28">
        <v>141.77033316338017</v>
      </c>
      <c r="S146" s="28">
        <v>160.70050107560556</v>
      </c>
      <c r="T146" s="28">
        <v>157.6765904375838</v>
      </c>
      <c r="U146" s="28">
        <v>151.97719923719379</v>
      </c>
      <c r="V146" s="28">
        <v>157.91824538932897</v>
      </c>
      <c r="W146" s="28">
        <v>157.62577708819839</v>
      </c>
    </row>
    <row r="147" spans="1:23" x14ac:dyDescent="0.35">
      <c r="A147" s="5" t="s">
        <v>20</v>
      </c>
      <c r="B147" s="26">
        <v>39.009670861209067</v>
      </c>
      <c r="C147" s="26">
        <v>41.441314939404023</v>
      </c>
      <c r="D147" s="26">
        <v>41.72698499746501</v>
      </c>
      <c r="E147" s="26">
        <v>41.669665846741097</v>
      </c>
      <c r="F147" s="26">
        <v>50.692362469374423</v>
      </c>
      <c r="G147" s="26">
        <v>50.724595785290944</v>
      </c>
      <c r="H147" s="26">
        <v>53.586982266777341</v>
      </c>
      <c r="I147" s="26">
        <v>68.812557526654004</v>
      </c>
      <c r="J147" s="26">
        <v>52.260489451948402</v>
      </c>
      <c r="K147" s="26">
        <v>73.06968567550463</v>
      </c>
      <c r="L147" s="26">
        <v>63.806897369032434</v>
      </c>
      <c r="M147" s="26">
        <v>43.534409282309319</v>
      </c>
      <c r="N147" s="26">
        <v>31.247732550617378</v>
      </c>
      <c r="O147" s="26">
        <v>44.508491070762773</v>
      </c>
      <c r="P147" s="26">
        <v>37.061675744393611</v>
      </c>
      <c r="Q147" s="26">
        <v>28.267774625271183</v>
      </c>
      <c r="R147" s="26">
        <v>22.548717075346229</v>
      </c>
      <c r="S147" s="26">
        <v>23.370203897487279</v>
      </c>
      <c r="T147" s="26">
        <v>27.881781690602772</v>
      </c>
      <c r="U147" s="26">
        <v>24.589383403845055</v>
      </c>
      <c r="V147" s="26">
        <v>27.07944389999653</v>
      </c>
      <c r="W147" s="26">
        <v>31.643240260585639</v>
      </c>
    </row>
    <row r="148" spans="1:23" x14ac:dyDescent="0.35">
      <c r="A148" s="5" t="s">
        <v>21</v>
      </c>
      <c r="B148" s="26">
        <v>25.88782335902545</v>
      </c>
      <c r="C148" s="26">
        <v>26.686048613830486</v>
      </c>
      <c r="D148" s="26">
        <v>25.16750277764039</v>
      </c>
      <c r="E148" s="26">
        <v>29.115801748744495</v>
      </c>
      <c r="F148" s="26">
        <v>29.556208463428185</v>
      </c>
      <c r="G148" s="26">
        <v>30.374922790387565</v>
      </c>
      <c r="H148" s="26">
        <v>28.019450939201569</v>
      </c>
      <c r="I148" s="26">
        <v>26.726425711247245</v>
      </c>
      <c r="J148" s="26">
        <v>28.559197961931154</v>
      </c>
      <c r="K148" s="26">
        <v>30.52717653987542</v>
      </c>
      <c r="L148" s="26">
        <v>32.513726926326257</v>
      </c>
      <c r="M148" s="26">
        <v>27.931267830646313</v>
      </c>
      <c r="N148" s="26">
        <v>26.423231891479507</v>
      </c>
      <c r="O148" s="26">
        <v>22.280095532425456</v>
      </c>
      <c r="P148" s="26">
        <v>21.010648769539547</v>
      </c>
      <c r="Q148" s="26">
        <v>20.650126142799198</v>
      </c>
      <c r="R148" s="26">
        <v>17.209382270454451</v>
      </c>
      <c r="S148" s="26">
        <v>16.559215961301408</v>
      </c>
      <c r="T148" s="26">
        <v>17.661431423490097</v>
      </c>
      <c r="U148" s="26">
        <v>15.603009867448586</v>
      </c>
      <c r="V148" s="26">
        <v>19.045294754306127</v>
      </c>
      <c r="W148" s="26">
        <v>20.925672027172297</v>
      </c>
    </row>
    <row r="149" spans="1:23" x14ac:dyDescent="0.35">
      <c r="A149" s="5" t="s">
        <v>22</v>
      </c>
      <c r="B149" s="26">
        <v>60.29702546975507</v>
      </c>
      <c r="C149" s="26">
        <v>69.613939114318384</v>
      </c>
      <c r="D149" s="26">
        <v>72.483571889949417</v>
      </c>
      <c r="E149" s="26">
        <v>74.466447313220357</v>
      </c>
      <c r="F149" s="26">
        <v>81.786717167695798</v>
      </c>
      <c r="G149" s="26">
        <v>69.745605849356778</v>
      </c>
      <c r="H149" s="26">
        <v>63.680691381140228</v>
      </c>
      <c r="I149" s="26">
        <v>56.532142577351436</v>
      </c>
      <c r="J149" s="26">
        <v>63.450508678017783</v>
      </c>
      <c r="K149" s="26">
        <v>71.117643035788163</v>
      </c>
      <c r="L149" s="26">
        <v>82.817276540295794</v>
      </c>
      <c r="M149" s="26">
        <v>74.704255501343155</v>
      </c>
      <c r="N149" s="26">
        <v>63.989192869030518</v>
      </c>
      <c r="O149" s="26">
        <v>53.548399301542077</v>
      </c>
      <c r="P149" s="26">
        <v>46.679474152232324</v>
      </c>
      <c r="Q149" s="26">
        <v>42.478817108311254</v>
      </c>
      <c r="R149" s="26">
        <v>42.912566226483527</v>
      </c>
      <c r="S149" s="26">
        <v>41.962956268195981</v>
      </c>
      <c r="T149" s="26">
        <v>34.684179537513735</v>
      </c>
      <c r="U149" s="26">
        <v>35.92429805066638</v>
      </c>
      <c r="V149" s="26">
        <v>40.196584407883961</v>
      </c>
      <c r="W149" s="26">
        <v>45.180848833263681</v>
      </c>
    </row>
    <row r="150" spans="1:23" x14ac:dyDescent="0.35">
      <c r="A150" s="5" t="s">
        <v>23</v>
      </c>
      <c r="B150" s="26">
        <v>132.14129424890038</v>
      </c>
      <c r="C150" s="26">
        <v>131.88808042615423</v>
      </c>
      <c r="D150" s="26">
        <v>112.40038552210716</v>
      </c>
      <c r="E150" s="26">
        <v>97.613625416076829</v>
      </c>
      <c r="F150" s="26">
        <v>95.928614400795382</v>
      </c>
      <c r="G150" s="26">
        <v>95.582838021586241</v>
      </c>
      <c r="H150" s="26">
        <v>101.29746534401836</v>
      </c>
      <c r="I150" s="26">
        <v>112.11556199514683</v>
      </c>
      <c r="J150" s="26">
        <v>129.1588798868614</v>
      </c>
      <c r="K150" s="26">
        <v>148.62834084704724</v>
      </c>
      <c r="L150" s="26">
        <v>159.86146235699104</v>
      </c>
      <c r="M150" s="26">
        <v>150.7618485055217</v>
      </c>
      <c r="N150" s="26">
        <v>123.32406066302896</v>
      </c>
      <c r="O150" s="26">
        <v>112.29751534306729</v>
      </c>
      <c r="P150" s="26">
        <v>93.939919105946814</v>
      </c>
      <c r="Q150" s="26">
        <v>103.5000821557815</v>
      </c>
      <c r="R150" s="26">
        <v>124.72389723386327</v>
      </c>
      <c r="S150" s="26">
        <v>132.92915693438113</v>
      </c>
      <c r="T150" s="26">
        <v>149.09312531220098</v>
      </c>
      <c r="U150" s="26">
        <v>134.98738177683239</v>
      </c>
      <c r="V150" s="26">
        <v>97.038270764381238</v>
      </c>
      <c r="W150" s="26">
        <v>96.544837344775857</v>
      </c>
    </row>
    <row r="151" spans="1:23" x14ac:dyDescent="0.35">
      <c r="A151" s="9" t="s">
        <v>24</v>
      </c>
      <c r="B151" s="29">
        <v>23.521304294121929</v>
      </c>
      <c r="C151" s="29">
        <v>26.949706272869562</v>
      </c>
      <c r="D151" s="29">
        <v>26.180764384644007</v>
      </c>
      <c r="E151" s="29">
        <v>27.183256651786749</v>
      </c>
      <c r="F151" s="29">
        <v>25.525542896114082</v>
      </c>
      <c r="G151" s="29">
        <v>22.698497805130806</v>
      </c>
      <c r="H151" s="29">
        <v>19.797813421769288</v>
      </c>
      <c r="I151" s="29">
        <v>19.129099369745546</v>
      </c>
      <c r="J151" s="29">
        <v>17.616786422132201</v>
      </c>
      <c r="K151" s="29">
        <v>19.595215365268384</v>
      </c>
      <c r="L151" s="29">
        <v>20.68558740607418</v>
      </c>
      <c r="M151" s="29">
        <v>18.914147536089356</v>
      </c>
      <c r="N151" s="29">
        <v>17.01223319872145</v>
      </c>
      <c r="O151" s="29">
        <v>17.242950974943991</v>
      </c>
      <c r="P151" s="29">
        <v>16.670263416744312</v>
      </c>
      <c r="Q151" s="29">
        <v>18.634367057938892</v>
      </c>
      <c r="R151" s="29">
        <v>16.788205400565559</v>
      </c>
      <c r="S151" s="29">
        <v>17.27637558966558</v>
      </c>
      <c r="T151" s="29">
        <v>16.42501850463454</v>
      </c>
      <c r="U151" s="29">
        <v>16.695796604293506</v>
      </c>
      <c r="V151" s="29">
        <v>19.303940331201296</v>
      </c>
      <c r="W151" s="29">
        <v>21.360982068219634</v>
      </c>
    </row>
    <row r="152" spans="1:23" x14ac:dyDescent="0.35">
      <c r="A152" s="4"/>
    </row>
    <row r="153" spans="1:23" x14ac:dyDescent="0.35">
      <c r="A153" s="23" t="s">
        <v>63</v>
      </c>
      <c r="B153" s="37">
        <v>2.4625423116812648</v>
      </c>
      <c r="C153" s="37">
        <v>2.4477157235058793</v>
      </c>
      <c r="D153" s="37">
        <v>2.4692805323722005</v>
      </c>
      <c r="E153" s="37">
        <v>2.4253965362431491</v>
      </c>
      <c r="F153" s="37">
        <v>2.4746225027569637</v>
      </c>
      <c r="G153" s="37">
        <v>2.4169550415189027</v>
      </c>
      <c r="H153" s="37">
        <v>2.4471838770941421</v>
      </c>
      <c r="I153" s="37">
        <v>2.453377035110083</v>
      </c>
      <c r="J153" s="37">
        <v>2.2635471887212</v>
      </c>
      <c r="K153" s="37">
        <v>2.0622835446915073</v>
      </c>
      <c r="L153" s="37">
        <v>2.0407852575962511</v>
      </c>
      <c r="M153" s="37">
        <v>2.1121320820727001</v>
      </c>
      <c r="N153" s="37">
        <v>2.1045114896178574</v>
      </c>
      <c r="O153" s="37">
        <v>2.1237395066775187</v>
      </c>
      <c r="P153" s="37">
        <v>2.1910643100327714</v>
      </c>
      <c r="Q153" s="37">
        <v>2.183499517055421</v>
      </c>
      <c r="R153" s="37">
        <v>2.2642165243434329</v>
      </c>
      <c r="S153" s="37">
        <v>2.3010511089171559</v>
      </c>
      <c r="T153" s="37">
        <v>2.2471975754033666</v>
      </c>
      <c r="U153" s="37">
        <v>2.2369193582163769</v>
      </c>
      <c r="V153" s="37">
        <v>2.2809781550023085</v>
      </c>
      <c r="W153" s="37">
        <v>2.2635240348754371</v>
      </c>
    </row>
    <row r="154" spans="1:23" x14ac:dyDescent="0.35">
      <c r="A154" s="18" t="s">
        <v>2</v>
      </c>
      <c r="B154" s="38">
        <v>1.2117849652282318</v>
      </c>
      <c r="C154" s="38">
        <v>1.2754078229635113</v>
      </c>
      <c r="D154" s="38">
        <v>0.97990711941154918</v>
      </c>
      <c r="E154" s="38">
        <v>1.2212500556351527</v>
      </c>
      <c r="F154" s="38">
        <v>1.1900140635323799</v>
      </c>
      <c r="G154" s="38">
        <v>1.23080430903037</v>
      </c>
      <c r="H154" s="38">
        <v>1.2034071766724586</v>
      </c>
      <c r="I154" s="38">
        <v>1.361688179550701</v>
      </c>
      <c r="J154" s="38">
        <v>1.3301218264052965</v>
      </c>
      <c r="K154" s="38">
        <v>1.302124702248374</v>
      </c>
      <c r="L154" s="38">
        <v>1.3192314671009091</v>
      </c>
      <c r="M154" s="38">
        <v>1.2901551705542775</v>
      </c>
      <c r="N154" s="38">
        <v>1.1320794772399825</v>
      </c>
      <c r="O154" s="38">
        <v>1.1818859048567547</v>
      </c>
      <c r="P154" s="38">
        <v>1.1890193876487354</v>
      </c>
      <c r="Q154" s="38">
        <v>1.1791975478956986</v>
      </c>
      <c r="R154" s="38">
        <v>1.2143170647509534</v>
      </c>
      <c r="S154" s="38">
        <v>1.2502553890211283</v>
      </c>
      <c r="T154" s="38">
        <v>1.22712656128407</v>
      </c>
      <c r="U154" s="38">
        <v>1.2512327392783051</v>
      </c>
      <c r="V154" s="38">
        <v>1.2591720325650042</v>
      </c>
      <c r="W154" s="38">
        <v>1.2523371153131253</v>
      </c>
    </row>
    <row r="155" spans="1:23" x14ac:dyDescent="0.35">
      <c r="A155" s="7" t="s">
        <v>49</v>
      </c>
      <c r="B155" s="39" t="s">
        <v>62</v>
      </c>
      <c r="C155" s="39" t="s">
        <v>62</v>
      </c>
      <c r="D155" s="39" t="s">
        <v>62</v>
      </c>
      <c r="E155" s="39" t="s">
        <v>62</v>
      </c>
      <c r="F155" s="39" t="s">
        <v>62</v>
      </c>
      <c r="G155" s="39" t="s">
        <v>62</v>
      </c>
      <c r="H155" s="39" t="s">
        <v>62</v>
      </c>
      <c r="I155" s="39" t="s">
        <v>62</v>
      </c>
      <c r="J155" s="39" t="s">
        <v>62</v>
      </c>
      <c r="K155" s="39" t="s">
        <v>62</v>
      </c>
      <c r="L155" s="39" t="s">
        <v>62</v>
      </c>
      <c r="M155" s="39" t="s">
        <v>62</v>
      </c>
      <c r="N155" s="39" t="s">
        <v>62</v>
      </c>
      <c r="O155" s="39" t="s">
        <v>62</v>
      </c>
      <c r="P155" s="39" t="s">
        <v>62</v>
      </c>
      <c r="Q155" s="39" t="s">
        <v>62</v>
      </c>
      <c r="R155" s="39" t="s">
        <v>62</v>
      </c>
      <c r="S155" s="39" t="s">
        <v>62</v>
      </c>
      <c r="T155" s="39" t="s">
        <v>62</v>
      </c>
      <c r="U155" s="39" t="s">
        <v>62</v>
      </c>
      <c r="V155" s="39" t="s">
        <v>62</v>
      </c>
      <c r="W155" s="39" t="s">
        <v>62</v>
      </c>
    </row>
    <row r="156" spans="1:23" x14ac:dyDescent="0.35">
      <c r="A156" s="7" t="s">
        <v>50</v>
      </c>
      <c r="B156" s="39">
        <v>1.2117849652282318</v>
      </c>
      <c r="C156" s="39">
        <v>1.2754078229635113</v>
      </c>
      <c r="D156" s="39">
        <v>0.97990711941154918</v>
      </c>
      <c r="E156" s="39">
        <v>1.2212500556351527</v>
      </c>
      <c r="F156" s="39">
        <v>1.1900140635323799</v>
      </c>
      <c r="G156" s="39">
        <v>1.23080430903037</v>
      </c>
      <c r="H156" s="39">
        <v>1.2034071766724586</v>
      </c>
      <c r="I156" s="39">
        <v>1.361688179550701</v>
      </c>
      <c r="J156" s="39">
        <v>1.3301218264052965</v>
      </c>
      <c r="K156" s="39">
        <v>1.302124702248374</v>
      </c>
      <c r="L156" s="39">
        <v>1.3192314671009091</v>
      </c>
      <c r="M156" s="39">
        <v>1.2901551705542775</v>
      </c>
      <c r="N156" s="39">
        <v>1.1320794772399825</v>
      </c>
      <c r="O156" s="39">
        <v>1.1818859048567547</v>
      </c>
      <c r="P156" s="39">
        <v>1.1890193876487354</v>
      </c>
      <c r="Q156" s="39">
        <v>1.1791975478956986</v>
      </c>
      <c r="R156" s="39">
        <v>1.2143170647509534</v>
      </c>
      <c r="S156" s="39">
        <v>1.2502553890211283</v>
      </c>
      <c r="T156" s="39">
        <v>1.22712656128407</v>
      </c>
      <c r="U156" s="39">
        <v>1.2512327392783051</v>
      </c>
      <c r="V156" s="39">
        <v>1.2591720325650042</v>
      </c>
      <c r="W156" s="39">
        <v>1.2523371153131253</v>
      </c>
    </row>
    <row r="157" spans="1:23" x14ac:dyDescent="0.35">
      <c r="A157" s="6" t="s">
        <v>3</v>
      </c>
      <c r="B157" s="40" t="s">
        <v>62</v>
      </c>
      <c r="C157" s="40" t="s">
        <v>62</v>
      </c>
      <c r="D157" s="40" t="s">
        <v>62</v>
      </c>
      <c r="E157" s="40" t="s">
        <v>62</v>
      </c>
      <c r="F157" s="40" t="s">
        <v>62</v>
      </c>
      <c r="G157" s="40" t="s">
        <v>62</v>
      </c>
      <c r="H157" s="40" t="s">
        <v>62</v>
      </c>
      <c r="I157" s="40" t="s">
        <v>62</v>
      </c>
      <c r="J157" s="40" t="s">
        <v>62</v>
      </c>
      <c r="K157" s="40" t="s">
        <v>62</v>
      </c>
      <c r="L157" s="40" t="s">
        <v>62</v>
      </c>
      <c r="M157" s="40" t="s">
        <v>62</v>
      </c>
      <c r="N157" s="40" t="s">
        <v>62</v>
      </c>
      <c r="O157" s="40" t="s">
        <v>62</v>
      </c>
      <c r="P157" s="40" t="s">
        <v>62</v>
      </c>
      <c r="Q157" s="40" t="s">
        <v>62</v>
      </c>
      <c r="R157" s="40" t="s">
        <v>62</v>
      </c>
      <c r="S157" s="40" t="s">
        <v>62</v>
      </c>
      <c r="T157" s="40" t="s">
        <v>62</v>
      </c>
      <c r="U157" s="40" t="s">
        <v>62</v>
      </c>
      <c r="V157" s="40" t="s">
        <v>62</v>
      </c>
      <c r="W157" s="40" t="s">
        <v>62</v>
      </c>
    </row>
    <row r="158" spans="1:23" x14ac:dyDescent="0.35">
      <c r="A158" s="7" t="s">
        <v>4</v>
      </c>
      <c r="B158" s="39" t="s">
        <v>62</v>
      </c>
      <c r="C158" s="39" t="s">
        <v>62</v>
      </c>
      <c r="D158" s="39" t="s">
        <v>62</v>
      </c>
      <c r="E158" s="39" t="s">
        <v>62</v>
      </c>
      <c r="F158" s="39" t="s">
        <v>62</v>
      </c>
      <c r="G158" s="39" t="s">
        <v>62</v>
      </c>
      <c r="H158" s="39" t="s">
        <v>62</v>
      </c>
      <c r="I158" s="39" t="s">
        <v>62</v>
      </c>
      <c r="J158" s="39" t="s">
        <v>62</v>
      </c>
      <c r="K158" s="39" t="s">
        <v>62</v>
      </c>
      <c r="L158" s="39" t="s">
        <v>62</v>
      </c>
      <c r="M158" s="39" t="s">
        <v>62</v>
      </c>
      <c r="N158" s="39" t="s">
        <v>62</v>
      </c>
      <c r="O158" s="39" t="s">
        <v>62</v>
      </c>
      <c r="P158" s="39" t="s">
        <v>62</v>
      </c>
      <c r="Q158" s="39" t="s">
        <v>62</v>
      </c>
      <c r="R158" s="39" t="s">
        <v>62</v>
      </c>
      <c r="S158" s="39" t="s">
        <v>62</v>
      </c>
      <c r="T158" s="39" t="s">
        <v>62</v>
      </c>
      <c r="U158" s="39" t="s">
        <v>62</v>
      </c>
      <c r="V158" s="39" t="s">
        <v>62</v>
      </c>
      <c r="W158" s="39" t="s">
        <v>62</v>
      </c>
    </row>
    <row r="159" spans="1:23" x14ac:dyDescent="0.35">
      <c r="A159" s="7" t="s">
        <v>5</v>
      </c>
      <c r="B159" s="39" t="s">
        <v>62</v>
      </c>
      <c r="C159" s="39" t="s">
        <v>62</v>
      </c>
      <c r="D159" s="39" t="s">
        <v>62</v>
      </c>
      <c r="E159" s="39" t="s">
        <v>62</v>
      </c>
      <c r="F159" s="39" t="s">
        <v>62</v>
      </c>
      <c r="G159" s="39" t="s">
        <v>62</v>
      </c>
      <c r="H159" s="39" t="s">
        <v>62</v>
      </c>
      <c r="I159" s="39" t="s">
        <v>62</v>
      </c>
      <c r="J159" s="39" t="s">
        <v>62</v>
      </c>
      <c r="K159" s="39" t="s">
        <v>62</v>
      </c>
      <c r="L159" s="39" t="s">
        <v>62</v>
      </c>
      <c r="M159" s="39" t="s">
        <v>62</v>
      </c>
      <c r="N159" s="39" t="s">
        <v>62</v>
      </c>
      <c r="O159" s="39" t="s">
        <v>62</v>
      </c>
      <c r="P159" s="39" t="s">
        <v>62</v>
      </c>
      <c r="Q159" s="39" t="s">
        <v>62</v>
      </c>
      <c r="R159" s="39" t="s">
        <v>62</v>
      </c>
      <c r="S159" s="39" t="s">
        <v>62</v>
      </c>
      <c r="T159" s="39" t="s">
        <v>62</v>
      </c>
      <c r="U159" s="39" t="s">
        <v>62</v>
      </c>
      <c r="V159" s="39" t="s">
        <v>62</v>
      </c>
      <c r="W159" s="39" t="s">
        <v>62</v>
      </c>
    </row>
    <row r="160" spans="1:23" x14ac:dyDescent="0.35">
      <c r="A160" s="19" t="s">
        <v>51</v>
      </c>
      <c r="B160" s="41" t="s">
        <v>62</v>
      </c>
      <c r="C160" s="41" t="s">
        <v>62</v>
      </c>
      <c r="D160" s="41" t="s">
        <v>62</v>
      </c>
      <c r="E160" s="41" t="s">
        <v>62</v>
      </c>
      <c r="F160" s="41" t="s">
        <v>62</v>
      </c>
      <c r="G160" s="41" t="s">
        <v>62</v>
      </c>
      <c r="H160" s="41" t="s">
        <v>62</v>
      </c>
      <c r="I160" s="41" t="s">
        <v>62</v>
      </c>
      <c r="J160" s="41" t="s">
        <v>62</v>
      </c>
      <c r="K160" s="41" t="s">
        <v>62</v>
      </c>
      <c r="L160" s="41" t="s">
        <v>62</v>
      </c>
      <c r="M160" s="41" t="s">
        <v>62</v>
      </c>
      <c r="N160" s="41" t="s">
        <v>62</v>
      </c>
      <c r="O160" s="41" t="s">
        <v>62</v>
      </c>
      <c r="P160" s="41" t="s">
        <v>62</v>
      </c>
      <c r="Q160" s="41" t="s">
        <v>62</v>
      </c>
      <c r="R160" s="41" t="s">
        <v>62</v>
      </c>
      <c r="S160" s="41" t="s">
        <v>62</v>
      </c>
      <c r="T160" s="41" t="s">
        <v>62</v>
      </c>
      <c r="U160" s="41" t="s">
        <v>62</v>
      </c>
      <c r="V160" s="41" t="s">
        <v>62</v>
      </c>
      <c r="W160" s="41" t="s">
        <v>62</v>
      </c>
    </row>
    <row r="161" spans="1:23" x14ac:dyDescent="0.35">
      <c r="A161" s="20" t="s">
        <v>52</v>
      </c>
      <c r="B161" s="42" t="s">
        <v>62</v>
      </c>
      <c r="C161" s="42" t="s">
        <v>62</v>
      </c>
      <c r="D161" s="42" t="s">
        <v>62</v>
      </c>
      <c r="E161" s="42" t="s">
        <v>62</v>
      </c>
      <c r="F161" s="42" t="s">
        <v>62</v>
      </c>
      <c r="G161" s="42" t="s">
        <v>62</v>
      </c>
      <c r="H161" s="42" t="s">
        <v>62</v>
      </c>
      <c r="I161" s="42" t="s">
        <v>62</v>
      </c>
      <c r="J161" s="42" t="s">
        <v>62</v>
      </c>
      <c r="K161" s="42" t="s">
        <v>62</v>
      </c>
      <c r="L161" s="42" t="s">
        <v>62</v>
      </c>
      <c r="M161" s="42" t="s">
        <v>62</v>
      </c>
      <c r="N161" s="42" t="s">
        <v>62</v>
      </c>
      <c r="O161" s="42" t="s">
        <v>62</v>
      </c>
      <c r="P161" s="42" t="s">
        <v>62</v>
      </c>
      <c r="Q161" s="42" t="s">
        <v>62</v>
      </c>
      <c r="R161" s="42" t="s">
        <v>62</v>
      </c>
      <c r="S161" s="42" t="s">
        <v>62</v>
      </c>
      <c r="T161" s="42" t="s">
        <v>62</v>
      </c>
      <c r="U161" s="42" t="s">
        <v>62</v>
      </c>
      <c r="V161" s="42" t="s">
        <v>62</v>
      </c>
      <c r="W161" s="42" t="s">
        <v>62</v>
      </c>
    </row>
    <row r="162" spans="1:23" x14ac:dyDescent="0.35">
      <c r="A162" s="7" t="s">
        <v>6</v>
      </c>
      <c r="B162" s="39" t="s">
        <v>62</v>
      </c>
      <c r="C162" s="39" t="s">
        <v>62</v>
      </c>
      <c r="D162" s="39" t="s">
        <v>62</v>
      </c>
      <c r="E162" s="39" t="s">
        <v>62</v>
      </c>
      <c r="F162" s="39" t="s">
        <v>62</v>
      </c>
      <c r="G162" s="39" t="s">
        <v>62</v>
      </c>
      <c r="H162" s="39" t="s">
        <v>62</v>
      </c>
      <c r="I162" s="39" t="s">
        <v>62</v>
      </c>
      <c r="J162" s="39" t="s">
        <v>62</v>
      </c>
      <c r="K162" s="39" t="s">
        <v>62</v>
      </c>
      <c r="L162" s="39" t="s">
        <v>62</v>
      </c>
      <c r="M162" s="39" t="s">
        <v>62</v>
      </c>
      <c r="N162" s="39" t="s">
        <v>62</v>
      </c>
      <c r="O162" s="39" t="s">
        <v>62</v>
      </c>
      <c r="P162" s="39" t="s">
        <v>62</v>
      </c>
      <c r="Q162" s="39" t="s">
        <v>62</v>
      </c>
      <c r="R162" s="39" t="s">
        <v>62</v>
      </c>
      <c r="S162" s="39" t="s">
        <v>62</v>
      </c>
      <c r="T162" s="39" t="s">
        <v>62</v>
      </c>
      <c r="U162" s="39" t="s">
        <v>62</v>
      </c>
      <c r="V162" s="39" t="s">
        <v>62</v>
      </c>
      <c r="W162" s="39" t="s">
        <v>62</v>
      </c>
    </row>
    <row r="163" spans="1:23" x14ac:dyDescent="0.35">
      <c r="A163" s="6" t="s">
        <v>7</v>
      </c>
      <c r="B163" s="40">
        <v>1.3411328549609973</v>
      </c>
      <c r="C163" s="40">
        <v>1.360914511243436</v>
      </c>
      <c r="D163" s="40">
        <v>1.2879633148208207</v>
      </c>
      <c r="E163" s="40">
        <v>1.3392926385684805</v>
      </c>
      <c r="F163" s="40">
        <v>1.3094783814617337</v>
      </c>
      <c r="G163" s="40">
        <v>1.2023008149031027</v>
      </c>
      <c r="H163" s="40">
        <v>1.1511063810258102</v>
      </c>
      <c r="I163" s="40">
        <v>1.0800673465711714</v>
      </c>
      <c r="J163" s="40">
        <v>1.1571450880327019</v>
      </c>
      <c r="K163" s="40">
        <v>1.1892800935925116</v>
      </c>
      <c r="L163" s="40">
        <v>1.2554936232526135</v>
      </c>
      <c r="M163" s="40">
        <v>1.3056812256218591</v>
      </c>
      <c r="N163" s="40">
        <v>1.2405944100667805</v>
      </c>
      <c r="O163" s="40">
        <v>1.2566290067001595</v>
      </c>
      <c r="P163" s="40">
        <v>1.3008777007643291</v>
      </c>
      <c r="Q163" s="40">
        <v>1.2721127524455424</v>
      </c>
      <c r="R163" s="40">
        <v>1.1019415323840089</v>
      </c>
      <c r="S163" s="40">
        <v>1.0719671334476031</v>
      </c>
      <c r="T163" s="40">
        <v>1.0173861054932305</v>
      </c>
      <c r="U163" s="40">
        <v>1.0197897674690435</v>
      </c>
      <c r="V163" s="40">
        <v>0.98268756730808537</v>
      </c>
      <c r="W163" s="40">
        <v>1.1187587372431371</v>
      </c>
    </row>
    <row r="164" spans="1:23" x14ac:dyDescent="0.35">
      <c r="A164" s="7" t="s">
        <v>64</v>
      </c>
      <c r="B164" s="39" t="s">
        <v>62</v>
      </c>
      <c r="C164" s="39" t="s">
        <v>62</v>
      </c>
      <c r="D164" s="39" t="s">
        <v>62</v>
      </c>
      <c r="E164" s="39" t="s">
        <v>62</v>
      </c>
      <c r="F164" s="39" t="s">
        <v>62</v>
      </c>
      <c r="G164" s="39" t="s">
        <v>62</v>
      </c>
      <c r="H164" s="39" t="s">
        <v>62</v>
      </c>
      <c r="I164" s="39" t="s">
        <v>62</v>
      </c>
      <c r="J164" s="39" t="s">
        <v>62</v>
      </c>
      <c r="K164" s="39" t="s">
        <v>62</v>
      </c>
      <c r="L164" s="39" t="s">
        <v>62</v>
      </c>
      <c r="M164" s="39" t="s">
        <v>62</v>
      </c>
      <c r="N164" s="39" t="s">
        <v>62</v>
      </c>
      <c r="O164" s="39" t="s">
        <v>62</v>
      </c>
      <c r="P164" s="39" t="s">
        <v>62</v>
      </c>
      <c r="Q164" s="39" t="s">
        <v>62</v>
      </c>
      <c r="R164" s="39" t="s">
        <v>62</v>
      </c>
      <c r="S164" s="39" t="s">
        <v>62</v>
      </c>
      <c r="T164" s="39" t="s">
        <v>62</v>
      </c>
      <c r="U164" s="39" t="s">
        <v>62</v>
      </c>
      <c r="V164" s="39" t="s">
        <v>62</v>
      </c>
      <c r="W164" s="39" t="s">
        <v>62</v>
      </c>
    </row>
    <row r="165" spans="1:23" x14ac:dyDescent="0.35">
      <c r="A165" s="7" t="s">
        <v>9</v>
      </c>
      <c r="B165" s="39">
        <v>1.4283214904779724</v>
      </c>
      <c r="C165" s="39">
        <v>1.4512252709923938</v>
      </c>
      <c r="D165" s="39">
        <v>1.3697342462139748</v>
      </c>
      <c r="E165" s="39">
        <v>1.4368185352835963</v>
      </c>
      <c r="F165" s="39">
        <v>1.4155735913978171</v>
      </c>
      <c r="G165" s="39">
        <v>1.3076064869543627</v>
      </c>
      <c r="H165" s="39">
        <v>1.2540493624537361</v>
      </c>
      <c r="I165" s="39">
        <v>1.1801131034661403</v>
      </c>
      <c r="J165" s="39">
        <v>1.2545122816081462</v>
      </c>
      <c r="K165" s="39">
        <v>1.2946084847996726</v>
      </c>
      <c r="L165" s="39">
        <v>1.3163086737022933</v>
      </c>
      <c r="M165" s="39">
        <v>1.3604469155274048</v>
      </c>
      <c r="N165" s="39">
        <v>1.3005079198632779</v>
      </c>
      <c r="O165" s="39">
        <v>1.3436605714785745</v>
      </c>
      <c r="P165" s="39">
        <v>1.4125737971291752</v>
      </c>
      <c r="Q165" s="39">
        <v>1.4001079089851254</v>
      </c>
      <c r="R165" s="39">
        <v>1.1879491132106932</v>
      </c>
      <c r="S165" s="39">
        <v>1.1546913254945199</v>
      </c>
      <c r="T165" s="39">
        <v>1.1029874221022391</v>
      </c>
      <c r="U165" s="39">
        <v>1.1002584831933486</v>
      </c>
      <c r="V165" s="39">
        <v>1.052496468897608</v>
      </c>
      <c r="W165" s="39">
        <v>1.1868530016291572</v>
      </c>
    </row>
    <row r="166" spans="1:23" x14ac:dyDescent="0.35">
      <c r="A166" s="7" t="s">
        <v>10</v>
      </c>
      <c r="B166" s="39">
        <v>1.0030968735835781</v>
      </c>
      <c r="C166" s="39">
        <v>1.032801078126921</v>
      </c>
      <c r="D166" s="39">
        <v>0.95491674665651671</v>
      </c>
      <c r="E166" s="39">
        <v>1.0245459780969222</v>
      </c>
      <c r="F166" s="39">
        <v>0.98403505398865621</v>
      </c>
      <c r="G166" s="39">
        <v>0.88537428257753625</v>
      </c>
      <c r="H166" s="39">
        <v>0.84438802761154974</v>
      </c>
      <c r="I166" s="39">
        <v>0.79057273504419545</v>
      </c>
      <c r="J166" s="39">
        <v>0.85934603214671779</v>
      </c>
      <c r="K166" s="39">
        <v>0.91263706290301883</v>
      </c>
      <c r="L166" s="39">
        <v>1.1337938053957026</v>
      </c>
      <c r="M166" s="39">
        <v>1.1798728843686577</v>
      </c>
      <c r="N166" s="39">
        <v>1.0724896932371268</v>
      </c>
      <c r="O166" s="39">
        <v>1.0216595122789687</v>
      </c>
      <c r="P166" s="39">
        <v>0.98356792906124224</v>
      </c>
      <c r="Q166" s="39">
        <v>0.91444314396141435</v>
      </c>
      <c r="R166" s="39">
        <v>0.87441708949605157</v>
      </c>
      <c r="S166" s="39">
        <v>0.84084820204301924</v>
      </c>
      <c r="T166" s="39">
        <v>0.80986326916169948</v>
      </c>
      <c r="U166" s="39">
        <v>0.83363386328885458</v>
      </c>
      <c r="V166" s="39">
        <v>0.82790110648440596</v>
      </c>
      <c r="W166" s="39">
        <v>0.96044269937081728</v>
      </c>
    </row>
    <row r="167" spans="1:23" x14ac:dyDescent="0.35">
      <c r="A167" s="6" t="s">
        <v>11</v>
      </c>
      <c r="B167" s="40">
        <v>5.6084046013339162</v>
      </c>
      <c r="C167" s="40">
        <v>5.6257224910725121</v>
      </c>
      <c r="D167" s="40">
        <v>5.8069629845268089</v>
      </c>
      <c r="E167" s="40">
        <v>5.4724603961254221</v>
      </c>
      <c r="F167" s="40">
        <v>5.5517476180304044</v>
      </c>
      <c r="G167" s="40">
        <v>5.4281886841142226</v>
      </c>
      <c r="H167" s="40">
        <v>5.4264608492626341</v>
      </c>
      <c r="I167" s="40">
        <v>5.3512608970847086</v>
      </c>
      <c r="J167" s="40">
        <v>5.4302904705643584</v>
      </c>
      <c r="K167" s="40">
        <v>4.891321720097852</v>
      </c>
      <c r="L167" s="40">
        <v>4.7026575820366494</v>
      </c>
      <c r="M167" s="40">
        <v>4.9310099391973994</v>
      </c>
      <c r="N167" s="40">
        <v>4.7723364620778721</v>
      </c>
      <c r="O167" s="40">
        <v>4.893504097347777</v>
      </c>
      <c r="P167" s="40">
        <v>5.0181475863080687</v>
      </c>
      <c r="Q167" s="40">
        <v>5.063661624015471</v>
      </c>
      <c r="R167" s="40">
        <v>5.1629489214376392</v>
      </c>
      <c r="S167" s="40">
        <v>5.1332201565101947</v>
      </c>
      <c r="T167" s="40">
        <v>4.8696974772131982</v>
      </c>
      <c r="U167" s="40">
        <v>4.8804133609824687</v>
      </c>
      <c r="V167" s="40">
        <v>4.9397454080456633</v>
      </c>
      <c r="W167" s="40">
        <v>4.8866137218414627</v>
      </c>
    </row>
    <row r="168" spans="1:23" x14ac:dyDescent="0.35">
      <c r="A168" s="7" t="s">
        <v>12</v>
      </c>
      <c r="B168" s="39">
        <v>11.807307012761404</v>
      </c>
      <c r="C168" s="39">
        <v>10.855321227469926</v>
      </c>
      <c r="D168" s="39">
        <v>11.474347729201131</v>
      </c>
      <c r="E168" s="39">
        <v>10.972150775720152</v>
      </c>
      <c r="F168" s="39">
        <v>10.777199569559349</v>
      </c>
      <c r="G168" s="39">
        <v>11.160683999393443</v>
      </c>
      <c r="H168" s="39">
        <v>9.3200583649761235</v>
      </c>
      <c r="I168" s="39">
        <v>9.7501345614817083</v>
      </c>
      <c r="J168" s="39">
        <v>8.6565450422635823</v>
      </c>
      <c r="K168" s="39">
        <v>8.9281946232250622</v>
      </c>
      <c r="L168" s="39">
        <v>8.4998540528575983</v>
      </c>
      <c r="M168" s="39">
        <v>9.0885930760988671</v>
      </c>
      <c r="N168" s="39">
        <v>8.9177394270408179</v>
      </c>
      <c r="O168" s="39">
        <v>8.8231257205211335</v>
      </c>
      <c r="P168" s="39">
        <v>8.8206706781600595</v>
      </c>
      <c r="Q168" s="39">
        <v>8.7276074287678149</v>
      </c>
      <c r="R168" s="39">
        <v>8.8449245384353912</v>
      </c>
      <c r="S168" s="39">
        <v>9.2126755376425624</v>
      </c>
      <c r="T168" s="39">
        <v>9.1844265858741547</v>
      </c>
      <c r="U168" s="39">
        <v>8.8276983166268455</v>
      </c>
      <c r="V168" s="39">
        <v>9.3051561897526334</v>
      </c>
      <c r="W168" s="39">
        <v>9.2006523074521329</v>
      </c>
    </row>
    <row r="169" spans="1:23" x14ac:dyDescent="0.35">
      <c r="A169" s="7" t="s">
        <v>13</v>
      </c>
      <c r="B169" s="39">
        <v>3.2912998743405506</v>
      </c>
      <c r="C169" s="39">
        <v>3.2809574366858016</v>
      </c>
      <c r="D169" s="39">
        <v>3.2410659371980115</v>
      </c>
      <c r="E169" s="39">
        <v>3.2015879941027636</v>
      </c>
      <c r="F169" s="39">
        <v>3.20593132143701</v>
      </c>
      <c r="G169" s="39">
        <v>3.1810715825559548</v>
      </c>
      <c r="H169" s="39">
        <v>3.3034983573912169</v>
      </c>
      <c r="I169" s="39">
        <v>3.2641790791697698</v>
      </c>
      <c r="J169" s="39">
        <v>3.1766146282782204</v>
      </c>
      <c r="K169" s="39">
        <v>2.9739644203977362</v>
      </c>
      <c r="L169" s="39">
        <v>2.987521508234313</v>
      </c>
      <c r="M169" s="39">
        <v>2.9870299521261034</v>
      </c>
      <c r="N169" s="39">
        <v>2.8355054636054495</v>
      </c>
      <c r="O169" s="39">
        <v>2.8794398522893911</v>
      </c>
      <c r="P169" s="39">
        <v>2.9594881129067936</v>
      </c>
      <c r="Q169" s="39">
        <v>2.8806568021642387</v>
      </c>
      <c r="R169" s="39">
        <v>2.9109746688411349</v>
      </c>
      <c r="S169" s="39">
        <v>2.8976713233996021</v>
      </c>
      <c r="T169" s="39">
        <v>2.8239335622672082</v>
      </c>
      <c r="U169" s="39">
        <v>2.8200989542115034</v>
      </c>
      <c r="V169" s="39">
        <v>2.7750215113055718</v>
      </c>
      <c r="W169" s="39">
        <v>2.7640191996815386</v>
      </c>
    </row>
    <row r="170" spans="1:23" x14ac:dyDescent="0.35">
      <c r="A170" s="7" t="s">
        <v>14</v>
      </c>
      <c r="B170" s="39">
        <v>2.8347449099297037</v>
      </c>
      <c r="C170" s="39">
        <v>2.7563428884531929</v>
      </c>
      <c r="D170" s="39">
        <v>2.7090448543722832</v>
      </c>
      <c r="E170" s="39">
        <v>2.7719720551684457</v>
      </c>
      <c r="F170" s="39">
        <v>2.8202544183621638</v>
      </c>
      <c r="G170" s="39">
        <v>2.8237792649567806</v>
      </c>
      <c r="H170" s="39">
        <v>2.6892186219383727</v>
      </c>
      <c r="I170" s="39">
        <v>2.7258743754584245</v>
      </c>
      <c r="J170" s="39">
        <v>2.5812859486080719</v>
      </c>
      <c r="K170" s="39">
        <v>2.3993146561341194</v>
      </c>
      <c r="L170" s="39">
        <v>2.4100652208311599</v>
      </c>
      <c r="M170" s="39">
        <v>2.4226182143456616</v>
      </c>
      <c r="N170" s="39">
        <v>2.2522549670426986</v>
      </c>
      <c r="O170" s="39">
        <v>2.1656381148950228</v>
      </c>
      <c r="P170" s="39">
        <v>2.2059002949264435</v>
      </c>
      <c r="Q170" s="39">
        <v>2.2478956271246466</v>
      </c>
      <c r="R170" s="39">
        <v>2.2698501057315359</v>
      </c>
      <c r="S170" s="39">
        <v>2.3439903247420273</v>
      </c>
      <c r="T170" s="39">
        <v>2.4145327020067913</v>
      </c>
      <c r="U170" s="39">
        <v>2.4128753629271622</v>
      </c>
      <c r="V170" s="39">
        <v>2.4791620558774166</v>
      </c>
      <c r="W170" s="39">
        <v>2.5429116632436721</v>
      </c>
    </row>
    <row r="171" spans="1:23" x14ac:dyDescent="0.35">
      <c r="A171" s="6" t="s">
        <v>15</v>
      </c>
      <c r="B171" s="40">
        <v>1.2195022458290887</v>
      </c>
      <c r="C171" s="40">
        <v>1.2608843032143475</v>
      </c>
      <c r="D171" s="40">
        <v>1.1983536071777372</v>
      </c>
      <c r="E171" s="40">
        <v>1.2146720652383485</v>
      </c>
      <c r="F171" s="40">
        <v>1.1906875376358665</v>
      </c>
      <c r="G171" s="40">
        <v>1.2796263271405055</v>
      </c>
      <c r="H171" s="40">
        <v>1.2556847844250867</v>
      </c>
      <c r="I171" s="40">
        <v>1.1777883183472637</v>
      </c>
      <c r="J171" s="40">
        <v>0.85806521106552525</v>
      </c>
      <c r="K171" s="40">
        <v>0.76922617496532608</v>
      </c>
      <c r="L171" s="40">
        <v>0.81828645376820985</v>
      </c>
      <c r="M171" s="40">
        <v>0.79319793670164351</v>
      </c>
      <c r="N171" s="40">
        <v>1.0052136428394649</v>
      </c>
      <c r="O171" s="40">
        <v>1.0227219218602053</v>
      </c>
      <c r="P171" s="40">
        <v>1.1721411572324223</v>
      </c>
      <c r="Q171" s="40">
        <v>1.2013098136109872</v>
      </c>
      <c r="R171" s="40">
        <v>1.1005681647700742</v>
      </c>
      <c r="S171" s="40">
        <v>1.0601511084009936</v>
      </c>
      <c r="T171" s="40">
        <v>1.0483014524500935</v>
      </c>
      <c r="U171" s="40">
        <v>0.99036478278117268</v>
      </c>
      <c r="V171" s="40">
        <v>0.86478316739802019</v>
      </c>
      <c r="W171" s="40">
        <v>0.80920256397892776</v>
      </c>
    </row>
    <row r="172" spans="1:23" x14ac:dyDescent="0.35">
      <c r="A172" s="7" t="s">
        <v>16</v>
      </c>
      <c r="B172" s="39" t="s">
        <v>62</v>
      </c>
      <c r="C172" s="39" t="s">
        <v>62</v>
      </c>
      <c r="D172" s="39" t="s">
        <v>62</v>
      </c>
      <c r="E172" s="39" t="s">
        <v>62</v>
      </c>
      <c r="F172" s="39" t="s">
        <v>62</v>
      </c>
      <c r="G172" s="39" t="s">
        <v>62</v>
      </c>
      <c r="H172" s="39" t="s">
        <v>62</v>
      </c>
      <c r="I172" s="39" t="s">
        <v>62</v>
      </c>
      <c r="J172" s="39">
        <v>0.61106708818012756</v>
      </c>
      <c r="K172" s="39">
        <v>0.59871471727758685</v>
      </c>
      <c r="L172" s="39">
        <v>0.65722326439690149</v>
      </c>
      <c r="M172" s="39">
        <v>0.62895037236723983</v>
      </c>
      <c r="N172" s="39">
        <v>0.83158456536817915</v>
      </c>
      <c r="O172" s="39">
        <v>0.6940311414495971</v>
      </c>
      <c r="P172" s="39">
        <v>0.79535932275281662</v>
      </c>
      <c r="Q172" s="39">
        <v>0.79173171357258687</v>
      </c>
      <c r="R172" s="39">
        <v>0.69120575376367932</v>
      </c>
      <c r="S172" s="39">
        <v>0.6870164065352069</v>
      </c>
      <c r="T172" s="39">
        <v>0.66695533282204822</v>
      </c>
      <c r="U172" s="39">
        <v>0.6219677347442274</v>
      </c>
      <c r="V172" s="39">
        <v>0.54384542504287625</v>
      </c>
      <c r="W172" s="39">
        <v>0.48877138321757901</v>
      </c>
    </row>
    <row r="173" spans="1:23" x14ac:dyDescent="0.35">
      <c r="A173" s="7" t="s">
        <v>17</v>
      </c>
      <c r="B173" s="39">
        <v>1.3618234335627206</v>
      </c>
      <c r="C173" s="39">
        <v>1.4066547236084594</v>
      </c>
      <c r="D173" s="39">
        <v>1.3384914349053851</v>
      </c>
      <c r="E173" s="39">
        <v>1.3557349103886918</v>
      </c>
      <c r="F173" s="39">
        <v>1.3299650512850056</v>
      </c>
      <c r="G173" s="39">
        <v>1.4268470371857578</v>
      </c>
      <c r="H173" s="39">
        <v>1.4017762366153605</v>
      </c>
      <c r="I173" s="39">
        <v>1.3175105107157086</v>
      </c>
      <c r="J173" s="39">
        <v>0.96554424122158089</v>
      </c>
      <c r="K173" s="39">
        <v>0.85539508860286784</v>
      </c>
      <c r="L173" s="39">
        <v>0.90914977094461102</v>
      </c>
      <c r="M173" s="39">
        <v>0.87929566406524229</v>
      </c>
      <c r="N173" s="39">
        <v>1.1190819103319103</v>
      </c>
      <c r="O173" s="39">
        <v>1.129721476452485</v>
      </c>
      <c r="P173" s="39">
        <v>1.3035692631878559</v>
      </c>
      <c r="Q173" s="39">
        <v>1.3517805954629172</v>
      </c>
      <c r="R173" s="39">
        <v>1.2879739287217729</v>
      </c>
      <c r="S173" s="39">
        <v>1.2111479174068669</v>
      </c>
      <c r="T173" s="39">
        <v>1.1752877038692191</v>
      </c>
      <c r="U173" s="39">
        <v>1.1076262428959063</v>
      </c>
      <c r="V173" s="39">
        <v>0.95712902793955357</v>
      </c>
      <c r="W173" s="39">
        <v>0.89714548963486751</v>
      </c>
    </row>
    <row r="174" spans="1:23" x14ac:dyDescent="0.35">
      <c r="A174" s="7" t="s">
        <v>18</v>
      </c>
      <c r="B174" s="39">
        <v>5.388468232981606E-2</v>
      </c>
      <c r="C174" s="39">
        <v>6.7017353705343563E-2</v>
      </c>
      <c r="D174" s="39">
        <v>5.0617870066674259E-2</v>
      </c>
      <c r="E174" s="39">
        <v>5.9360389705139217E-2</v>
      </c>
      <c r="F174" s="39">
        <v>4.9997815359310686E-2</v>
      </c>
      <c r="G174" s="39">
        <v>7.3881433690403966E-2</v>
      </c>
      <c r="H174" s="39">
        <v>5.9188568634603818E-2</v>
      </c>
      <c r="I174" s="39">
        <v>3.3456655375921442E-2</v>
      </c>
      <c r="J174" s="39">
        <v>7.7485112451518859E-2</v>
      </c>
      <c r="K174" s="39">
        <v>0.13550970677449278</v>
      </c>
      <c r="L174" s="39">
        <v>0.16887010646175205</v>
      </c>
      <c r="M174" s="39">
        <v>0.15546679106885314</v>
      </c>
      <c r="N174" s="39">
        <v>0.21472729270512214</v>
      </c>
      <c r="O174" s="39">
        <v>6.2823699078381229E-2</v>
      </c>
      <c r="P174" s="39">
        <v>6.4181488769217518E-2</v>
      </c>
      <c r="Q174" s="39">
        <v>4.9195807963210589E-2</v>
      </c>
      <c r="R174" s="39">
        <v>2.5158922467338581E-2</v>
      </c>
      <c r="S174" s="39">
        <v>3.5618554741903563E-2</v>
      </c>
      <c r="T174" s="39">
        <v>3.4498223142497259E-2</v>
      </c>
      <c r="U174" s="39">
        <v>2.9095919896123149E-2</v>
      </c>
      <c r="V174" s="39">
        <v>2.6765755505842391E-2</v>
      </c>
      <c r="W174" s="39">
        <v>1.8718209079231503E-2</v>
      </c>
    </row>
    <row r="175" spans="1:23" x14ac:dyDescent="0.35">
      <c r="A175" s="8" t="s">
        <v>19</v>
      </c>
      <c r="B175" s="43">
        <v>1.9074468446927746</v>
      </c>
      <c r="C175" s="43">
        <v>1.92171884131719</v>
      </c>
      <c r="D175" s="43">
        <v>1.8709395500266439</v>
      </c>
      <c r="E175" s="43">
        <v>1.8159173087262277</v>
      </c>
      <c r="F175" s="43">
        <v>1.8224074899170164</v>
      </c>
      <c r="G175" s="43">
        <v>1.7724500575511219</v>
      </c>
      <c r="H175" s="43">
        <v>1.8430373004799048</v>
      </c>
      <c r="I175" s="43">
        <v>1.7724661459991375</v>
      </c>
      <c r="J175" s="43">
        <v>1.8033406860918639</v>
      </c>
      <c r="K175" s="43">
        <v>1.7023432013680992</v>
      </c>
      <c r="L175" s="43">
        <v>1.7590795475676992</v>
      </c>
      <c r="M175" s="43">
        <v>1.680003125667255</v>
      </c>
      <c r="N175" s="43">
        <v>1.5757900041789707</v>
      </c>
      <c r="O175" s="43">
        <v>1.5410987846511091</v>
      </c>
      <c r="P175" s="43">
        <v>1.5681579730489383</v>
      </c>
      <c r="Q175" s="43">
        <v>1.5344211236000003</v>
      </c>
      <c r="R175" s="43">
        <v>1.4897196371629606</v>
      </c>
      <c r="S175" s="43">
        <v>1.5646128458712445</v>
      </c>
      <c r="T175" s="43">
        <v>1.5067291103080385</v>
      </c>
      <c r="U175" s="43">
        <v>1.458710212312329</v>
      </c>
      <c r="V175" s="43">
        <v>1.4378201658289504</v>
      </c>
      <c r="W175" s="43">
        <v>1.4636096449399623</v>
      </c>
    </row>
    <row r="176" spans="1:23" x14ac:dyDescent="0.35">
      <c r="A176" s="5" t="s">
        <v>20</v>
      </c>
      <c r="B176" s="39">
        <v>1.0738772885730619</v>
      </c>
      <c r="C176" s="39">
        <v>1.2269610812683331</v>
      </c>
      <c r="D176" s="39">
        <v>1.1288999927678511</v>
      </c>
      <c r="E176" s="39">
        <v>1.2976558729975454</v>
      </c>
      <c r="F176" s="39">
        <v>1.270504013381397</v>
      </c>
      <c r="G176" s="39">
        <v>1.2705503949685615</v>
      </c>
      <c r="H176" s="39">
        <v>1.1509883832851868</v>
      </c>
      <c r="I176" s="39">
        <v>1.1217300723204895</v>
      </c>
      <c r="J176" s="39">
        <v>0.97482760821728176</v>
      </c>
      <c r="K176" s="39">
        <v>0.98860611199267767</v>
      </c>
      <c r="L176" s="39">
        <v>1.0344618320149406</v>
      </c>
      <c r="M176" s="39">
        <v>0.92628149826794492</v>
      </c>
      <c r="N176" s="39">
        <v>0.80146013707128272</v>
      </c>
      <c r="O176" s="39">
        <v>0.63720052394744109</v>
      </c>
      <c r="P176" s="39">
        <v>0.96736254872613558</v>
      </c>
      <c r="Q176" s="39">
        <v>0.95625233552779765</v>
      </c>
      <c r="R176" s="39">
        <v>0.86253518937656881</v>
      </c>
      <c r="S176" s="39">
        <v>0.88847641368881225</v>
      </c>
      <c r="T176" s="39">
        <v>0.82795658260819183</v>
      </c>
      <c r="U176" s="39">
        <v>0.79155597128557753</v>
      </c>
      <c r="V176" s="39">
        <v>0.72102052229405855</v>
      </c>
      <c r="W176" s="39">
        <v>0.88126582811782705</v>
      </c>
    </row>
    <row r="177" spans="1:105" x14ac:dyDescent="0.35">
      <c r="A177" s="5" t="s">
        <v>21</v>
      </c>
      <c r="B177" s="39">
        <v>1.2159534448059206</v>
      </c>
      <c r="C177" s="39">
        <v>1.2259732872542781</v>
      </c>
      <c r="D177" s="39">
        <v>1.1617494860941269</v>
      </c>
      <c r="E177" s="39">
        <v>1.2098290679917156</v>
      </c>
      <c r="F177" s="39">
        <v>1.2028497544957188</v>
      </c>
      <c r="G177" s="39">
        <v>1.0847304994002762</v>
      </c>
      <c r="H177" s="39">
        <v>1.0858190655659046</v>
      </c>
      <c r="I177" s="39">
        <v>1.0848202763523709</v>
      </c>
      <c r="J177" s="39">
        <v>1.2258662673974046</v>
      </c>
      <c r="K177" s="39">
        <v>1.1683442742982821</v>
      </c>
      <c r="L177" s="39">
        <v>1.2051061466703958</v>
      </c>
      <c r="M177" s="39">
        <v>1.0645745141255982</v>
      </c>
      <c r="N177" s="39">
        <v>1.0274609071223519</v>
      </c>
      <c r="O177" s="39">
        <v>0.92015130777498311</v>
      </c>
      <c r="P177" s="39">
        <v>0.75525317305726669</v>
      </c>
      <c r="Q177" s="39">
        <v>0.78544560973692823</v>
      </c>
      <c r="R177" s="39">
        <v>0.79418998621343362</v>
      </c>
      <c r="S177" s="39">
        <v>0.80917250689511355</v>
      </c>
      <c r="T177" s="39">
        <v>0.78905324361310503</v>
      </c>
      <c r="U177" s="39">
        <v>0.77411297416799441</v>
      </c>
      <c r="V177" s="39">
        <v>0.72811776268936068</v>
      </c>
      <c r="W177" s="39">
        <v>0.79640793585181491</v>
      </c>
    </row>
    <row r="178" spans="1:105" x14ac:dyDescent="0.35">
      <c r="A178" s="5" t="s">
        <v>22</v>
      </c>
      <c r="B178" s="39">
        <v>1.4631893539416627</v>
      </c>
      <c r="C178" s="39">
        <v>1.4907664457476819</v>
      </c>
      <c r="D178" s="39">
        <v>1.4372769744660086</v>
      </c>
      <c r="E178" s="39">
        <v>1.3751460207811341</v>
      </c>
      <c r="F178" s="39">
        <v>1.3452345914482904</v>
      </c>
      <c r="G178" s="39">
        <v>1.1618697732277716</v>
      </c>
      <c r="H178" s="39">
        <v>1.154284072612386</v>
      </c>
      <c r="I178" s="39">
        <v>0.98969822728697598</v>
      </c>
      <c r="J178" s="39">
        <v>0.98031370051082189</v>
      </c>
      <c r="K178" s="39">
        <v>0.95854302627299748</v>
      </c>
      <c r="L178" s="39">
        <v>1.0034290290765209</v>
      </c>
      <c r="M178" s="39">
        <v>0.92682518021567206</v>
      </c>
      <c r="N178" s="39">
        <v>0.80640306258489947</v>
      </c>
      <c r="O178" s="39">
        <v>0.73644056846255546</v>
      </c>
      <c r="P178" s="39">
        <v>0.76016542982811508</v>
      </c>
      <c r="Q178" s="39">
        <v>0.78108269465011726</v>
      </c>
      <c r="R178" s="39">
        <v>0.72321865859848522</v>
      </c>
      <c r="S178" s="39">
        <v>0.75862613074273177</v>
      </c>
      <c r="T178" s="39">
        <v>0.7289657745255369</v>
      </c>
      <c r="U178" s="39">
        <v>0.73282281337977062</v>
      </c>
      <c r="V178" s="39">
        <v>0.71831993892023849</v>
      </c>
      <c r="W178" s="39">
        <v>0.86743181597051056</v>
      </c>
    </row>
    <row r="179" spans="1:105" x14ac:dyDescent="0.35">
      <c r="A179" s="5" t="s">
        <v>23</v>
      </c>
      <c r="B179" s="39">
        <v>0.50610229665026973</v>
      </c>
      <c r="C179" s="39">
        <v>0.46956770961530186</v>
      </c>
      <c r="D179" s="39">
        <v>0.54301373268992326</v>
      </c>
      <c r="E179" s="39">
        <v>0.60724807687577853</v>
      </c>
      <c r="F179" s="39">
        <v>0.63980926485407241</v>
      </c>
      <c r="G179" s="39">
        <v>0.50269453887956728</v>
      </c>
      <c r="H179" s="39">
        <v>0.55302251854408702</v>
      </c>
      <c r="I179" s="39">
        <v>0.40578435015765074</v>
      </c>
      <c r="J179" s="39">
        <v>0.4594251186936385</v>
      </c>
      <c r="K179" s="39">
        <v>0.43310980397187326</v>
      </c>
      <c r="L179" s="39">
        <v>0.48955384616755004</v>
      </c>
      <c r="M179" s="39">
        <v>0.35223992839048862</v>
      </c>
      <c r="N179" s="39">
        <v>0.24055475678244864</v>
      </c>
      <c r="O179" s="39">
        <v>0.20403376828114142</v>
      </c>
      <c r="P179" s="39">
        <v>0.27215756845932021</v>
      </c>
      <c r="Q179" s="39">
        <v>0.23472906822161327</v>
      </c>
      <c r="R179" s="39">
        <v>0.19463376616257788</v>
      </c>
      <c r="S179" s="39">
        <v>0.17759999888222111</v>
      </c>
      <c r="T179" s="39">
        <v>0.18597187564816692</v>
      </c>
      <c r="U179" s="39">
        <v>0.17963558200179211</v>
      </c>
      <c r="V179" s="39">
        <v>0.2268112214257984</v>
      </c>
      <c r="W179" s="39">
        <v>0.28155524824856282</v>
      </c>
    </row>
    <row r="180" spans="1:105" x14ac:dyDescent="0.35">
      <c r="A180" s="9" t="s">
        <v>24</v>
      </c>
      <c r="B180" s="44">
        <v>1.8281365611385545</v>
      </c>
      <c r="C180" s="44">
        <v>1.868716796032214</v>
      </c>
      <c r="D180" s="44">
        <v>1.8461861659783143</v>
      </c>
      <c r="E180" s="44">
        <v>1.7218235119660132</v>
      </c>
      <c r="F180" s="44">
        <v>1.7233825015370161</v>
      </c>
      <c r="G180" s="44">
        <v>1.7374728980485279</v>
      </c>
      <c r="H180" s="44">
        <v>1.6963229580565564</v>
      </c>
      <c r="I180" s="44">
        <v>1.6939223554420637</v>
      </c>
      <c r="J180" s="44">
        <v>1.6471738549173345</v>
      </c>
      <c r="K180" s="44">
        <v>1.6109295304922033</v>
      </c>
      <c r="L180" s="44">
        <v>1.6097442087421712</v>
      </c>
      <c r="M180" s="44">
        <v>1.5628663509704708</v>
      </c>
      <c r="N180" s="44">
        <v>1.4861991082334174</v>
      </c>
      <c r="O180" s="44">
        <v>1.5350911324022676</v>
      </c>
      <c r="P180" s="44">
        <v>1.5868632332130257</v>
      </c>
      <c r="Q180" s="44">
        <v>1.519084851805931</v>
      </c>
      <c r="R180" s="44">
        <v>1.631388477205409</v>
      </c>
      <c r="S180" s="44">
        <v>1.6240301684257192</v>
      </c>
      <c r="T180" s="44">
        <v>1.719730098262138</v>
      </c>
      <c r="U180" s="44">
        <v>1.7151422288571883</v>
      </c>
      <c r="V180" s="44">
        <v>1.7351781010418259</v>
      </c>
      <c r="W180" s="44">
        <v>1.8326016769684654</v>
      </c>
    </row>
    <row r="182" spans="1:105" s="88" customFormat="1" ht="12" customHeight="1" x14ac:dyDescent="0.35">
      <c r="A182" s="23" t="s">
        <v>296</v>
      </c>
      <c r="B182" s="25">
        <f>SUM(B183:B184)</f>
        <v>801</v>
      </c>
      <c r="C182" s="25">
        <f t="shared" ref="C182:W182" si="0">SUM(C183:C184)</f>
        <v>751</v>
      </c>
      <c r="D182" s="25">
        <f t="shared" si="0"/>
        <v>392</v>
      </c>
      <c r="E182" s="25">
        <f t="shared" si="0"/>
        <v>310</v>
      </c>
      <c r="F182" s="25">
        <f t="shared" si="0"/>
        <v>310</v>
      </c>
      <c r="G182" s="25">
        <f t="shared" si="0"/>
        <v>400</v>
      </c>
      <c r="H182" s="25">
        <f t="shared" si="0"/>
        <v>405</v>
      </c>
      <c r="I182" s="25">
        <f t="shared" si="0"/>
        <v>492.75841494567851</v>
      </c>
      <c r="J182" s="25">
        <f t="shared" si="0"/>
        <v>473.15705922912628</v>
      </c>
      <c r="K182" s="25">
        <f t="shared" si="0"/>
        <v>250.7032359780541</v>
      </c>
      <c r="L182" s="25">
        <f t="shared" si="0"/>
        <v>316.07205726331762</v>
      </c>
      <c r="M182" s="25">
        <f t="shared" si="0"/>
        <v>372.08278919615208</v>
      </c>
      <c r="N182" s="25">
        <f t="shared" si="0"/>
        <v>368.05519279743481</v>
      </c>
      <c r="O182" s="25">
        <f t="shared" si="0"/>
        <v>384.07359039657968</v>
      </c>
      <c r="P182" s="25">
        <f t="shared" si="0"/>
        <v>392.07512352984179</v>
      </c>
      <c r="Q182" s="25">
        <f t="shared" si="0"/>
        <v>460.08815516256948</v>
      </c>
      <c r="R182" s="25">
        <f t="shared" si="0"/>
        <v>492.09428769561782</v>
      </c>
      <c r="S182" s="25">
        <f t="shared" si="0"/>
        <v>472.09045486246259</v>
      </c>
      <c r="T182" s="25">
        <f t="shared" si="0"/>
        <v>524.10042022866605</v>
      </c>
      <c r="U182" s="25">
        <f t="shared" si="0"/>
        <v>504.10042022866611</v>
      </c>
      <c r="V182" s="25">
        <f t="shared" si="0"/>
        <v>484.10042022866611</v>
      </c>
      <c r="W182" s="25">
        <f t="shared" si="0"/>
        <v>524.10042022866605</v>
      </c>
      <c r="DA182" s="89"/>
    </row>
    <row r="183" spans="1:105" s="88" customFormat="1" ht="12" customHeight="1" x14ac:dyDescent="0.35">
      <c r="A183" s="90" t="s">
        <v>295</v>
      </c>
      <c r="B183" s="91">
        <v>0</v>
      </c>
      <c r="C183" s="91">
        <v>0</v>
      </c>
      <c r="D183" s="91">
        <v>0</v>
      </c>
      <c r="E183" s="91">
        <v>0</v>
      </c>
      <c r="F183" s="91">
        <v>0</v>
      </c>
      <c r="G183" s="91">
        <v>0</v>
      </c>
      <c r="H183" s="91">
        <v>0</v>
      </c>
      <c r="I183" s="91">
        <v>0</v>
      </c>
      <c r="J183" s="91">
        <v>0</v>
      </c>
      <c r="K183" s="91">
        <v>0</v>
      </c>
      <c r="L183" s="91">
        <v>0</v>
      </c>
      <c r="M183" s="91">
        <v>0</v>
      </c>
      <c r="N183" s="91">
        <v>0</v>
      </c>
      <c r="O183" s="91">
        <v>0</v>
      </c>
      <c r="P183" s="91">
        <v>0</v>
      </c>
      <c r="Q183" s="91">
        <v>0</v>
      </c>
      <c r="R183" s="91">
        <v>0</v>
      </c>
      <c r="S183" s="91">
        <v>0</v>
      </c>
      <c r="T183" s="91">
        <v>0</v>
      </c>
      <c r="U183" s="91">
        <v>0</v>
      </c>
      <c r="V183" s="91">
        <v>0</v>
      </c>
      <c r="W183" s="91">
        <v>0</v>
      </c>
      <c r="DA183" s="92" t="s">
        <v>267</v>
      </c>
    </row>
    <row r="184" spans="1:105" s="88" customFormat="1" ht="12" customHeight="1" x14ac:dyDescent="0.35">
      <c r="A184" s="93" t="s">
        <v>294</v>
      </c>
      <c r="B184" s="94">
        <v>801</v>
      </c>
      <c r="C184" s="94">
        <v>751</v>
      </c>
      <c r="D184" s="94">
        <v>392</v>
      </c>
      <c r="E184" s="94">
        <v>310</v>
      </c>
      <c r="F184" s="94">
        <v>310</v>
      </c>
      <c r="G184" s="94">
        <v>400</v>
      </c>
      <c r="H184" s="94">
        <v>405</v>
      </c>
      <c r="I184" s="94">
        <v>492.75841494567851</v>
      </c>
      <c r="J184" s="94">
        <v>473.15705922912628</v>
      </c>
      <c r="K184" s="94">
        <v>250.7032359780541</v>
      </c>
      <c r="L184" s="94">
        <v>316.07205726331762</v>
      </c>
      <c r="M184" s="94">
        <v>372.08278919615208</v>
      </c>
      <c r="N184" s="94">
        <v>368.05519279743481</v>
      </c>
      <c r="O184" s="94">
        <v>384.07359039657968</v>
      </c>
      <c r="P184" s="94">
        <v>392.07512352984179</v>
      </c>
      <c r="Q184" s="94">
        <v>460.08815516256948</v>
      </c>
      <c r="R184" s="94">
        <v>492.09428769561782</v>
      </c>
      <c r="S184" s="94">
        <v>472.09045486246259</v>
      </c>
      <c r="T184" s="94">
        <v>524.10042022866605</v>
      </c>
      <c r="U184" s="94">
        <v>504.10042022866611</v>
      </c>
      <c r="V184" s="94">
        <v>484.10042022866611</v>
      </c>
      <c r="W184" s="94">
        <v>524.10042022866605</v>
      </c>
      <c r="DA184" s="95" t="s">
        <v>268</v>
      </c>
    </row>
    <row r="185" spans="1:105" s="99" customFormat="1" ht="12" customHeight="1" x14ac:dyDescent="0.35">
      <c r="A185" s="100" t="s">
        <v>269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02" t="s">
        <v>270</v>
      </c>
    </row>
    <row r="186" spans="1:105" s="99" customFormat="1" ht="12" customHeight="1" x14ac:dyDescent="0.35">
      <c r="A186" s="103" t="s">
        <v>271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05"/>
    </row>
    <row r="187" spans="1:105" s="99" customFormat="1" ht="12" customHeight="1" x14ac:dyDescent="0.35">
      <c r="A187" s="106" t="s">
        <v>51</v>
      </c>
      <c r="B187" s="104">
        <v>0</v>
      </c>
      <c r="C187" s="104">
        <v>0</v>
      </c>
      <c r="D187" s="104">
        <v>0</v>
      </c>
      <c r="E187" s="104">
        <v>0</v>
      </c>
      <c r="F187" s="104">
        <v>0</v>
      </c>
      <c r="G187" s="104">
        <v>0</v>
      </c>
      <c r="H187" s="104">
        <v>0</v>
      </c>
      <c r="I187" s="104">
        <v>0</v>
      </c>
      <c r="J187" s="104">
        <v>0</v>
      </c>
      <c r="K187" s="104">
        <v>0</v>
      </c>
      <c r="L187" s="104">
        <v>0</v>
      </c>
      <c r="M187" s="104">
        <v>0</v>
      </c>
      <c r="N187" s="104">
        <v>0</v>
      </c>
      <c r="O187" s="104">
        <v>0</v>
      </c>
      <c r="P187" s="104">
        <v>0</v>
      </c>
      <c r="Q187" s="104">
        <v>0</v>
      </c>
      <c r="R187" s="104">
        <v>0</v>
      </c>
      <c r="S187" s="104">
        <v>0</v>
      </c>
      <c r="T187" s="104">
        <v>0</v>
      </c>
      <c r="U187" s="104">
        <v>0</v>
      </c>
      <c r="V187" s="104">
        <v>0</v>
      </c>
      <c r="W187" s="104">
        <v>0</v>
      </c>
      <c r="DA187" s="105" t="s">
        <v>272</v>
      </c>
    </row>
    <row r="188" spans="1:105" s="99" customFormat="1" ht="12" customHeight="1" x14ac:dyDescent="0.35">
      <c r="A188" s="106" t="s">
        <v>52</v>
      </c>
      <c r="B188" s="104">
        <v>0</v>
      </c>
      <c r="C188" s="104">
        <v>0</v>
      </c>
      <c r="D188" s="104">
        <v>0</v>
      </c>
      <c r="E188" s="104">
        <v>0</v>
      </c>
      <c r="F188" s="104">
        <v>0</v>
      </c>
      <c r="G188" s="104">
        <v>0</v>
      </c>
      <c r="H188" s="104">
        <v>0</v>
      </c>
      <c r="I188" s="104">
        <v>0</v>
      </c>
      <c r="J188" s="104">
        <v>0</v>
      </c>
      <c r="K188" s="104">
        <v>0</v>
      </c>
      <c r="L188" s="104">
        <v>0</v>
      </c>
      <c r="M188" s="104">
        <v>0</v>
      </c>
      <c r="N188" s="104">
        <v>0</v>
      </c>
      <c r="O188" s="104">
        <v>0</v>
      </c>
      <c r="P188" s="104">
        <v>0</v>
      </c>
      <c r="Q188" s="104">
        <v>0</v>
      </c>
      <c r="R188" s="104">
        <v>0</v>
      </c>
      <c r="S188" s="104">
        <v>0</v>
      </c>
      <c r="T188" s="104">
        <v>0</v>
      </c>
      <c r="U188" s="104">
        <v>0</v>
      </c>
      <c r="V188" s="104">
        <v>0</v>
      </c>
      <c r="W188" s="104">
        <v>0</v>
      </c>
      <c r="DA188" s="105" t="s">
        <v>273</v>
      </c>
    </row>
    <row r="189" spans="1:105" s="99" customFormat="1" ht="12" customHeight="1" x14ac:dyDescent="0.35">
      <c r="A189" s="107" t="s">
        <v>274</v>
      </c>
      <c r="B189" s="108">
        <v>0</v>
      </c>
      <c r="C189" s="108">
        <v>0</v>
      </c>
      <c r="D189" s="108">
        <v>0</v>
      </c>
      <c r="E189" s="108">
        <v>0</v>
      </c>
      <c r="F189" s="108">
        <v>0</v>
      </c>
      <c r="G189" s="108">
        <v>0</v>
      </c>
      <c r="H189" s="108">
        <v>0</v>
      </c>
      <c r="I189" s="108">
        <v>0</v>
      </c>
      <c r="J189" s="108">
        <v>0</v>
      </c>
      <c r="K189" s="108">
        <v>0</v>
      </c>
      <c r="L189" s="108">
        <v>0</v>
      </c>
      <c r="M189" s="108">
        <v>0</v>
      </c>
      <c r="N189" s="108">
        <v>0</v>
      </c>
      <c r="O189" s="108">
        <v>0</v>
      </c>
      <c r="P189" s="108">
        <v>0</v>
      </c>
      <c r="Q189" s="108">
        <v>0</v>
      </c>
      <c r="R189" s="108">
        <v>0</v>
      </c>
      <c r="S189" s="108">
        <v>0</v>
      </c>
      <c r="T189" s="108">
        <v>0</v>
      </c>
      <c r="U189" s="108">
        <v>0</v>
      </c>
      <c r="V189" s="108">
        <v>0</v>
      </c>
      <c r="W189" s="108">
        <v>0</v>
      </c>
      <c r="DA189" s="109" t="s">
        <v>275</v>
      </c>
    </row>
    <row r="190" spans="1:105" s="88" customFormat="1" ht="12" customHeight="1" x14ac:dyDescent="0.35">
      <c r="A190" s="90" t="s">
        <v>276</v>
      </c>
      <c r="B190" s="91">
        <v>0</v>
      </c>
      <c r="C190" s="91">
        <v>0</v>
      </c>
      <c r="D190" s="91">
        <v>0</v>
      </c>
      <c r="E190" s="91">
        <v>0</v>
      </c>
      <c r="F190" s="91">
        <v>0</v>
      </c>
      <c r="G190" s="91">
        <v>0</v>
      </c>
      <c r="H190" s="91">
        <v>0</v>
      </c>
      <c r="I190" s="91">
        <v>0</v>
      </c>
      <c r="J190" s="91">
        <v>0</v>
      </c>
      <c r="K190" s="91">
        <v>0</v>
      </c>
      <c r="L190" s="91">
        <v>0</v>
      </c>
      <c r="M190" s="91">
        <v>0</v>
      </c>
      <c r="N190" s="91">
        <v>0</v>
      </c>
      <c r="O190" s="91">
        <v>0</v>
      </c>
      <c r="P190" s="91">
        <v>0</v>
      </c>
      <c r="Q190" s="91">
        <v>0</v>
      </c>
      <c r="R190" s="91">
        <v>0</v>
      </c>
      <c r="S190" s="91">
        <v>0</v>
      </c>
      <c r="T190" s="91">
        <v>0</v>
      </c>
      <c r="U190" s="91">
        <v>0</v>
      </c>
      <c r="V190" s="91">
        <v>0</v>
      </c>
      <c r="W190" s="91">
        <v>0</v>
      </c>
      <c r="DA190" s="92" t="s">
        <v>277</v>
      </c>
    </row>
    <row r="191" spans="1:105" s="88" customFormat="1" ht="12" customHeight="1" x14ac:dyDescent="0.35">
      <c r="A191" s="96" t="s">
        <v>278</v>
      </c>
      <c r="B191" s="97">
        <v>408.8830505880718</v>
      </c>
      <c r="C191" s="97">
        <v>424.28763522168168</v>
      </c>
      <c r="D191" s="97">
        <v>413.71307576328871</v>
      </c>
      <c r="E191" s="97">
        <v>401.19071552860748</v>
      </c>
      <c r="F191" s="97">
        <v>387.39935215495319</v>
      </c>
      <c r="G191" s="97">
        <v>395.73299247482822</v>
      </c>
      <c r="H191" s="97">
        <v>383.05693863640698</v>
      </c>
      <c r="I191" s="97">
        <v>356.42601612316429</v>
      </c>
      <c r="J191" s="97">
        <v>401.82891698523798</v>
      </c>
      <c r="K191" s="97">
        <v>422.29010150532019</v>
      </c>
      <c r="L191" s="97">
        <v>456.12782152776481</v>
      </c>
      <c r="M191" s="97">
        <v>474.63387927008017</v>
      </c>
      <c r="N191" s="97">
        <v>496.17030926761839</v>
      </c>
      <c r="O191" s="97">
        <v>469.00970320619712</v>
      </c>
      <c r="P191" s="97">
        <v>526.18682541679209</v>
      </c>
      <c r="Q191" s="97">
        <v>554.92817445053322</v>
      </c>
      <c r="R191" s="97">
        <v>565.8758103317499</v>
      </c>
      <c r="S191" s="97">
        <v>556.14668772577011</v>
      </c>
      <c r="T191" s="97">
        <v>514.81366324679402</v>
      </c>
      <c r="U191" s="97">
        <v>434.82400600542792</v>
      </c>
      <c r="V191" s="97">
        <v>553.65354070677188</v>
      </c>
      <c r="W191" s="97">
        <v>579.26097315570144</v>
      </c>
      <c r="DA191" s="98" t="s">
        <v>279</v>
      </c>
    </row>
    <row r="192" spans="1:105" s="88" customFormat="1" ht="12" customHeight="1" x14ac:dyDescent="0.35">
      <c r="A192" s="93" t="s">
        <v>280</v>
      </c>
      <c r="B192" s="94">
        <v>65.54336365858785</v>
      </c>
      <c r="C192" s="94">
        <v>76.908057909767223</v>
      </c>
      <c r="D192" s="94">
        <v>72.103413661946973</v>
      </c>
      <c r="E192" s="94">
        <v>80.562580466797485</v>
      </c>
      <c r="F192" s="94">
        <v>78.939815650125411</v>
      </c>
      <c r="G192" s="94">
        <v>81.754410881784651</v>
      </c>
      <c r="H192" s="94">
        <v>78.029799071645328</v>
      </c>
      <c r="I192" s="94">
        <v>71.869518216678117</v>
      </c>
      <c r="J192" s="94">
        <v>79.274162159159118</v>
      </c>
      <c r="K192" s="94">
        <v>90.795047096683732</v>
      </c>
      <c r="L192" s="94">
        <v>108.1559933405276</v>
      </c>
      <c r="M192" s="94">
        <v>126.26883435081361</v>
      </c>
      <c r="N192" s="94">
        <v>148.58874645353481</v>
      </c>
      <c r="O192" s="94">
        <v>170.9974322757609</v>
      </c>
      <c r="P192" s="94">
        <v>171.3051520033946</v>
      </c>
      <c r="Q192" s="94">
        <v>192.2023271829589</v>
      </c>
      <c r="R192" s="94">
        <v>211.12393986385879</v>
      </c>
      <c r="S192" s="94">
        <v>227.76136033517909</v>
      </c>
      <c r="T192" s="94">
        <v>226.9527511139641</v>
      </c>
      <c r="U192" s="94">
        <v>265.89200406088258</v>
      </c>
      <c r="V192" s="94">
        <v>273.52837580365349</v>
      </c>
      <c r="W192" s="94">
        <v>310.20066088167027</v>
      </c>
      <c r="DA192" s="95" t="s">
        <v>281</v>
      </c>
    </row>
    <row r="193" spans="1:105" s="88" customFormat="1" ht="12" customHeight="1" x14ac:dyDescent="0.35">
      <c r="A193" s="90" t="s">
        <v>282</v>
      </c>
      <c r="B193" s="91">
        <v>2009</v>
      </c>
      <c r="C193" s="91">
        <v>2047</v>
      </c>
      <c r="D193" s="91">
        <v>2028</v>
      </c>
      <c r="E193" s="91">
        <v>1953</v>
      </c>
      <c r="F193" s="91">
        <v>2150</v>
      </c>
      <c r="G193" s="91">
        <v>2120</v>
      </c>
      <c r="H193" s="91">
        <v>2937</v>
      </c>
      <c r="I193" s="91">
        <v>2871</v>
      </c>
      <c r="J193" s="91">
        <v>2494</v>
      </c>
      <c r="K193" s="91">
        <v>1575</v>
      </c>
      <c r="L193" s="91">
        <v>1553</v>
      </c>
      <c r="M193" s="91">
        <v>1811</v>
      </c>
      <c r="N193" s="91">
        <v>1798</v>
      </c>
      <c r="O193" s="91">
        <v>1830</v>
      </c>
      <c r="P193" s="91">
        <v>1876.095</v>
      </c>
      <c r="Q193" s="91">
        <v>2027.8430000000001</v>
      </c>
      <c r="R193" s="91">
        <v>2259.902</v>
      </c>
      <c r="S193" s="91">
        <v>2359.1309999999999</v>
      </c>
      <c r="T193" s="91">
        <v>2372.2460000000001</v>
      </c>
      <c r="U193" s="91">
        <v>2440.6</v>
      </c>
      <c r="V193" s="91">
        <v>2497.6799999999998</v>
      </c>
      <c r="W193" s="91">
        <v>2509.2269999999999</v>
      </c>
      <c r="DA193" s="92" t="s">
        <v>291</v>
      </c>
    </row>
    <row r="194" spans="1:105" s="88" customFormat="1" ht="12" customHeight="1" x14ac:dyDescent="0.35">
      <c r="A194" s="110" t="s">
        <v>283</v>
      </c>
      <c r="B194" s="97">
        <v>8505.582800000002</v>
      </c>
      <c r="C194" s="97">
        <v>6883.4972000000016</v>
      </c>
      <c r="D194" s="97">
        <v>6824.1536000000006</v>
      </c>
      <c r="E194" s="97">
        <v>7353.2488500000009</v>
      </c>
      <c r="F194" s="97">
        <v>7502.4808000000012</v>
      </c>
      <c r="G194" s="97">
        <v>8539.7485499999984</v>
      </c>
      <c r="H194" s="97">
        <v>7024.979699999999</v>
      </c>
      <c r="I194" s="97">
        <v>8298.4394999999986</v>
      </c>
      <c r="J194" s="97">
        <v>4530.8782500000007</v>
      </c>
      <c r="K194" s="97">
        <v>4487.0479999999998</v>
      </c>
      <c r="L194" s="97">
        <v>4601.6279999999997</v>
      </c>
      <c r="M194" s="97">
        <v>5237.1211499999999</v>
      </c>
      <c r="N194" s="97">
        <v>5105.7035000000014</v>
      </c>
      <c r="O194" s="97">
        <v>4499.5191999999997</v>
      </c>
      <c r="P194" s="97">
        <v>4326.1753849999996</v>
      </c>
      <c r="Q194" s="97">
        <v>4468.1984000000002</v>
      </c>
      <c r="R194" s="97">
        <v>5345.6364000000003</v>
      </c>
      <c r="S194" s="97">
        <v>6481.7464</v>
      </c>
      <c r="T194" s="97">
        <v>7168.1588000000011</v>
      </c>
      <c r="U194" s="97">
        <v>7209.5368000000008</v>
      </c>
      <c r="V194" s="97">
        <v>8800.585500000001</v>
      </c>
      <c r="W194" s="97">
        <v>8938.5708316334385</v>
      </c>
      <c r="DA194" s="98" t="s">
        <v>292</v>
      </c>
    </row>
    <row r="195" spans="1:105" s="88" customFormat="1" ht="12" customHeight="1" x14ac:dyDescent="0.35">
      <c r="A195" s="93" t="s">
        <v>284</v>
      </c>
      <c r="B195" s="94">
        <v>222.989</v>
      </c>
      <c r="C195" s="94">
        <v>228.911</v>
      </c>
      <c r="D195" s="94">
        <v>219.11199999999999</v>
      </c>
      <c r="E195" s="94">
        <v>209.80199999999999</v>
      </c>
      <c r="F195" s="94">
        <v>214.68700000000001</v>
      </c>
      <c r="G195" s="94">
        <v>205.51900000000001</v>
      </c>
      <c r="H195" s="94">
        <v>278.81299999999999</v>
      </c>
      <c r="I195" s="94">
        <v>308.15300000000002</v>
      </c>
      <c r="J195" s="94">
        <v>276.13900000000001</v>
      </c>
      <c r="K195" s="94">
        <v>185.15299999999999</v>
      </c>
      <c r="L195" s="94">
        <v>197.839</v>
      </c>
      <c r="M195" s="94">
        <v>216.27</v>
      </c>
      <c r="N195" s="94">
        <v>236.31200000000001</v>
      </c>
      <c r="O195" s="94">
        <v>267.822</v>
      </c>
      <c r="P195" s="94">
        <v>271.67899999999997</v>
      </c>
      <c r="Q195" s="94">
        <v>228.649</v>
      </c>
      <c r="R195" s="94">
        <v>232.65805</v>
      </c>
      <c r="S195" s="94">
        <v>222.78782000000001</v>
      </c>
      <c r="T195" s="94">
        <v>234.66200000000001</v>
      </c>
      <c r="U195" s="94">
        <v>202.61799999999999</v>
      </c>
      <c r="V195" s="94">
        <v>182.5</v>
      </c>
      <c r="W195" s="94">
        <v>182.40794857730111</v>
      </c>
      <c r="DA195" s="95" t="s">
        <v>293</v>
      </c>
    </row>
    <row r="196" spans="1:105" s="88" customFormat="1" ht="12" customHeight="1" x14ac:dyDescent="0.35">
      <c r="A196" s="90" t="s">
        <v>285</v>
      </c>
      <c r="B196" s="91">
        <v>0</v>
      </c>
      <c r="C196" s="91">
        <v>0</v>
      </c>
      <c r="D196" s="91">
        <v>0</v>
      </c>
      <c r="E196" s="91">
        <v>0</v>
      </c>
      <c r="F196" s="91">
        <v>0</v>
      </c>
      <c r="G196" s="91">
        <v>0</v>
      </c>
      <c r="H196" s="91">
        <v>0</v>
      </c>
      <c r="I196" s="91">
        <v>0</v>
      </c>
      <c r="J196" s="91">
        <v>5</v>
      </c>
      <c r="K196" s="91">
        <v>5</v>
      </c>
      <c r="L196" s="91">
        <v>7</v>
      </c>
      <c r="M196" s="91">
        <v>4.83</v>
      </c>
      <c r="N196" s="91">
        <v>7.2554293461886106</v>
      </c>
      <c r="O196" s="91">
        <v>4.83</v>
      </c>
      <c r="P196" s="91">
        <v>4.83</v>
      </c>
      <c r="Q196" s="91">
        <v>4.83</v>
      </c>
      <c r="R196" s="91">
        <v>4.83</v>
      </c>
      <c r="S196" s="91">
        <v>4.83</v>
      </c>
      <c r="T196" s="91">
        <v>4.83</v>
      </c>
      <c r="U196" s="91">
        <v>4.83</v>
      </c>
      <c r="V196" s="91">
        <v>4.83</v>
      </c>
      <c r="W196" s="91">
        <v>4.83</v>
      </c>
      <c r="DA196" s="92" t="s">
        <v>286</v>
      </c>
    </row>
    <row r="197" spans="1:105" s="88" customFormat="1" ht="12" customHeight="1" x14ac:dyDescent="0.35">
      <c r="A197" s="96" t="s">
        <v>287</v>
      </c>
      <c r="B197" s="97">
        <v>263</v>
      </c>
      <c r="C197" s="97">
        <v>389</v>
      </c>
      <c r="D197" s="97">
        <v>383.83</v>
      </c>
      <c r="E197" s="97">
        <v>388</v>
      </c>
      <c r="F197" s="97">
        <v>402</v>
      </c>
      <c r="G197" s="97">
        <v>423</v>
      </c>
      <c r="H197" s="97">
        <v>441.92</v>
      </c>
      <c r="I197" s="97">
        <v>416.94</v>
      </c>
      <c r="J197" s="97">
        <v>417.94</v>
      </c>
      <c r="K197" s="97">
        <v>418.94</v>
      </c>
      <c r="L197" s="97">
        <v>434.93</v>
      </c>
      <c r="M197" s="97">
        <v>422.7</v>
      </c>
      <c r="N197" s="97">
        <v>337.77894658302392</v>
      </c>
      <c r="O197" s="97">
        <v>385.21600000000001</v>
      </c>
      <c r="P197" s="97">
        <v>418.16800000000012</v>
      </c>
      <c r="Q197" s="97">
        <v>385.21600000000001</v>
      </c>
      <c r="R197" s="97">
        <v>288.91199999999998</v>
      </c>
      <c r="S197" s="97">
        <v>288.91199999999998</v>
      </c>
      <c r="T197" s="97">
        <v>298.73893877551018</v>
      </c>
      <c r="U197" s="97">
        <v>298.73893877551018</v>
      </c>
      <c r="V197" s="97">
        <v>298.73893877551018</v>
      </c>
      <c r="W197" s="97">
        <v>298.73893877551018</v>
      </c>
      <c r="DA197" s="98" t="s">
        <v>288</v>
      </c>
    </row>
    <row r="198" spans="1:105" s="88" customFormat="1" ht="12" customHeight="1" x14ac:dyDescent="0.35">
      <c r="A198" s="93" t="s">
        <v>289</v>
      </c>
      <c r="B198" s="94">
        <v>74.258823529411757</v>
      </c>
      <c r="C198" s="94">
        <v>73.705263157894734</v>
      </c>
      <c r="D198" s="94">
        <v>72.725684210526296</v>
      </c>
      <c r="E198" s="94">
        <v>73.515789473684194</v>
      </c>
      <c r="F198" s="94">
        <v>72.046753246753241</v>
      </c>
      <c r="G198" s="94">
        <v>71.584615384615375</v>
      </c>
      <c r="H198" s="94">
        <v>74.786461538461523</v>
      </c>
      <c r="I198" s="94">
        <v>70.559076923076915</v>
      </c>
      <c r="J198" s="94">
        <v>71.57446153846152</v>
      </c>
      <c r="K198" s="94">
        <v>71.743692307692285</v>
      </c>
      <c r="L198" s="94">
        <v>74.788153846153818</v>
      </c>
      <c r="M198" s="94">
        <v>81.005684210526312</v>
      </c>
      <c r="N198" s="94">
        <v>61.837329711988758</v>
      </c>
      <c r="O198" s="94">
        <v>51.371912195121972</v>
      </c>
      <c r="P198" s="94">
        <v>51.982886746987973</v>
      </c>
      <c r="Q198" s="94">
        <v>51.371912195121972</v>
      </c>
      <c r="R198" s="94">
        <v>49.710184615384613</v>
      </c>
      <c r="S198" s="94">
        <v>44.061299999999981</v>
      </c>
      <c r="T198" s="94">
        <v>45.535340816326503</v>
      </c>
      <c r="U198" s="94">
        <v>42.72451730914586</v>
      </c>
      <c r="V198" s="94">
        <v>39.982250472872082</v>
      </c>
      <c r="W198" s="94">
        <v>39.982250472872089</v>
      </c>
      <c r="DA198" s="95" t="s">
        <v>290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E8ECD-3170-4BB6-B2B4-049ED627B06D}">
  <dimension ref="A1:DA243"/>
  <sheetViews>
    <sheetView workbookViewId="0">
      <selection activeCell="A29" sqref="A29"/>
    </sheetView>
  </sheetViews>
  <sheetFormatPr defaultColWidth="9.08984375" defaultRowHeight="10.5" x14ac:dyDescent="0.35"/>
  <cols>
    <col min="1" max="1" width="50.6328125" style="46" customWidth="1"/>
    <col min="2" max="23" width="9.6328125" style="46" customWidth="1"/>
    <col min="24" max="103" width="0" style="46" hidden="1" customWidth="1"/>
    <col min="104" max="104" width="2.6328125" style="46" customWidth="1"/>
    <col min="105" max="105" width="9.6328125" style="86" customWidth="1"/>
    <col min="106" max="16384" width="9.08984375" style="46"/>
  </cols>
  <sheetData>
    <row r="1" spans="1:105" ht="13.5" customHeight="1" x14ac:dyDescent="0.35">
      <c r="A1" s="1" t="s">
        <v>65</v>
      </c>
      <c r="B1" s="45">
        <v>2000</v>
      </c>
      <c r="C1" s="45">
        <v>2001</v>
      </c>
      <c r="D1" s="45">
        <v>2002</v>
      </c>
      <c r="E1" s="45">
        <v>2003</v>
      </c>
      <c r="F1" s="45">
        <v>2004</v>
      </c>
      <c r="G1" s="45">
        <v>2005</v>
      </c>
      <c r="H1" s="45">
        <v>2006</v>
      </c>
      <c r="I1" s="45">
        <v>2007</v>
      </c>
      <c r="J1" s="45">
        <v>2008</v>
      </c>
      <c r="K1" s="45">
        <v>2009</v>
      </c>
      <c r="L1" s="45">
        <v>2010</v>
      </c>
      <c r="M1" s="45">
        <v>2011</v>
      </c>
      <c r="N1" s="45">
        <v>2012</v>
      </c>
      <c r="O1" s="45">
        <v>2013</v>
      </c>
      <c r="P1" s="45">
        <v>2014</v>
      </c>
      <c r="Q1" s="45">
        <v>2015</v>
      </c>
      <c r="R1" s="45">
        <v>2016</v>
      </c>
      <c r="S1" s="45">
        <v>2017</v>
      </c>
      <c r="T1" s="45">
        <v>2018</v>
      </c>
      <c r="U1" s="45">
        <v>2019</v>
      </c>
      <c r="V1" s="45">
        <v>2020</v>
      </c>
      <c r="W1" s="45">
        <v>2021</v>
      </c>
      <c r="DA1" s="47" t="s">
        <v>66</v>
      </c>
    </row>
    <row r="2" spans="1:105" x14ac:dyDescent="0.3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DA2" s="49"/>
    </row>
    <row r="3" spans="1:105" ht="11.4" customHeight="1" x14ac:dyDescent="0.35">
      <c r="A3" s="50" t="s">
        <v>67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DA3" s="52"/>
    </row>
    <row r="4" spans="1:105" ht="11.4" customHeight="1" x14ac:dyDescent="0.35">
      <c r="A4" s="53" t="s">
        <v>68</v>
      </c>
      <c r="B4" s="54">
        <f t="shared" ref="B4:V4" si="0">B5+B9+B13</f>
        <v>80919.581507835625</v>
      </c>
      <c r="C4" s="54">
        <f t="shared" si="0"/>
        <v>80579.96396374375</v>
      </c>
      <c r="D4" s="54">
        <f t="shared" si="0"/>
        <v>80402.728083107213</v>
      </c>
      <c r="E4" s="54">
        <f t="shared" si="0"/>
        <v>80277.971023660823</v>
      </c>
      <c r="F4" s="54">
        <f t="shared" si="0"/>
        <v>82886.694961819099</v>
      </c>
      <c r="G4" s="54">
        <f t="shared" si="0"/>
        <v>83444.354685175698</v>
      </c>
      <c r="H4" s="54">
        <f t="shared" si="0"/>
        <v>84016.094115133892</v>
      </c>
      <c r="I4" s="54">
        <f t="shared" si="0"/>
        <v>85003.082820169948</v>
      </c>
      <c r="J4" s="54">
        <f t="shared" si="0"/>
        <v>85215.981708547974</v>
      </c>
      <c r="K4" s="54">
        <f t="shared" si="0"/>
        <v>84399.565669406991</v>
      </c>
      <c r="L4" s="54">
        <f t="shared" si="0"/>
        <v>86427.264981181957</v>
      </c>
      <c r="M4" s="54">
        <f t="shared" si="0"/>
        <v>88126.695835555176</v>
      </c>
      <c r="N4" s="54">
        <f t="shared" si="0"/>
        <v>88953.706677609589</v>
      </c>
      <c r="O4" s="54">
        <f t="shared" si="0"/>
        <v>90280.063040474604</v>
      </c>
      <c r="P4" s="54">
        <f t="shared" si="0"/>
        <v>93375.023999704252</v>
      </c>
      <c r="Q4" s="54">
        <f t="shared" si="0"/>
        <v>96605.569306612801</v>
      </c>
      <c r="R4" s="54">
        <f t="shared" si="0"/>
        <v>101011.12372373854</v>
      </c>
      <c r="S4" s="54">
        <f t="shared" si="0"/>
        <v>103154.59012260375</v>
      </c>
      <c r="T4" s="54">
        <f t="shared" si="0"/>
        <v>105752.94982192415</v>
      </c>
      <c r="U4" s="54">
        <f t="shared" si="0"/>
        <v>106701.38943492602</v>
      </c>
      <c r="V4" s="54">
        <f t="shared" si="0"/>
        <v>75039.269380706683</v>
      </c>
      <c r="W4" s="54">
        <f>W5+W9+W13</f>
        <v>77844.91172551924</v>
      </c>
      <c r="DA4" s="55" t="s">
        <v>69</v>
      </c>
    </row>
    <row r="5" spans="1:105" ht="11.4" customHeight="1" x14ac:dyDescent="0.35">
      <c r="A5" s="56" t="s">
        <v>70</v>
      </c>
      <c r="B5" s="57">
        <f t="shared" ref="B5:V5" si="1">B6+B7+B8</f>
        <v>58651.062706545621</v>
      </c>
      <c r="C5" s="57">
        <f t="shared" si="1"/>
        <v>57538.673938765714</v>
      </c>
      <c r="D5" s="57">
        <f t="shared" si="1"/>
        <v>57358.878439561966</v>
      </c>
      <c r="E5" s="57">
        <f t="shared" si="1"/>
        <v>57583.2164668306</v>
      </c>
      <c r="F5" s="57">
        <f t="shared" si="1"/>
        <v>58472.64630201563</v>
      </c>
      <c r="G5" s="57">
        <f t="shared" si="1"/>
        <v>57558.849513423927</v>
      </c>
      <c r="H5" s="57">
        <f t="shared" si="1"/>
        <v>57367.74426072889</v>
      </c>
      <c r="I5" s="57">
        <f t="shared" si="1"/>
        <v>58290.090034796391</v>
      </c>
      <c r="J5" s="57">
        <f t="shared" si="1"/>
        <v>58910.46479061657</v>
      </c>
      <c r="K5" s="57">
        <f t="shared" si="1"/>
        <v>59316.377606143418</v>
      </c>
      <c r="L5" s="57">
        <f t="shared" si="1"/>
        <v>59198.811995750977</v>
      </c>
      <c r="M5" s="57">
        <f t="shared" si="1"/>
        <v>60311.669321103225</v>
      </c>
      <c r="N5" s="57">
        <f t="shared" si="1"/>
        <v>59813.953548350539</v>
      </c>
      <c r="O5" s="57">
        <f t="shared" si="1"/>
        <v>60061.823698539723</v>
      </c>
      <c r="P5" s="57">
        <f t="shared" si="1"/>
        <v>61666.5877501547</v>
      </c>
      <c r="Q5" s="57">
        <f t="shared" si="1"/>
        <v>64412.810214905207</v>
      </c>
      <c r="R5" s="57">
        <f t="shared" si="1"/>
        <v>66821.707315306645</v>
      </c>
      <c r="S5" s="57">
        <f t="shared" si="1"/>
        <v>68014.26693266767</v>
      </c>
      <c r="T5" s="57">
        <f t="shared" si="1"/>
        <v>68955.482530725712</v>
      </c>
      <c r="U5" s="57">
        <f t="shared" si="1"/>
        <v>70107.307906861024</v>
      </c>
      <c r="V5" s="57">
        <f t="shared" si="1"/>
        <v>63619.12828382678</v>
      </c>
      <c r="W5" s="57">
        <f>W6+W7+W8</f>
        <v>64357.248742507552</v>
      </c>
      <c r="DA5" s="58" t="s">
        <v>71</v>
      </c>
    </row>
    <row r="6" spans="1:105" ht="11.4" customHeight="1" x14ac:dyDescent="0.35">
      <c r="A6" s="59" t="str">
        <f>[1]TrRoad_act!$A$5</f>
        <v>Powered two-wheelers</v>
      </c>
      <c r="B6" s="60">
        <f>[1]TrRoad_act!B$5</f>
        <v>618.06270654561922</v>
      </c>
      <c r="C6" s="60">
        <f>[1]TrRoad_act!C$5</f>
        <v>586.67393876571521</v>
      </c>
      <c r="D6" s="60">
        <f>[1]TrRoad_act!D$5</f>
        <v>609.87843956196923</v>
      </c>
      <c r="E6" s="60">
        <f>[1]TrRoad_act!E$5</f>
        <v>616.21646683060271</v>
      </c>
      <c r="F6" s="60">
        <f>[1]TrRoad_act!F$5</f>
        <v>615.64630201562716</v>
      </c>
      <c r="G6" s="60">
        <f>[1]TrRoad_act!G$5</f>
        <v>631.84951342392662</v>
      </c>
      <c r="H6" s="60">
        <f>[1]TrRoad_act!H$5</f>
        <v>665.74426072888741</v>
      </c>
      <c r="I6" s="60">
        <f>[1]TrRoad_act!I$5</f>
        <v>712.09003479639296</v>
      </c>
      <c r="J6" s="60">
        <f>[1]TrRoad_act!J$5</f>
        <v>712.46479061656851</v>
      </c>
      <c r="K6" s="60">
        <f>[1]TrRoad_act!K$5</f>
        <v>686.37760614342062</v>
      </c>
      <c r="L6" s="60">
        <f>[1]TrRoad_act!L$5</f>
        <v>686.81199575097514</v>
      </c>
      <c r="M6" s="60">
        <f>[1]TrRoad_act!M$5</f>
        <v>681.66932110322557</v>
      </c>
      <c r="N6" s="60">
        <f>[1]TrRoad_act!N$5</f>
        <v>682.95354835054661</v>
      </c>
      <c r="O6" s="60">
        <f>[1]TrRoad_act!O$5</f>
        <v>691.82369853973353</v>
      </c>
      <c r="P6" s="60">
        <f>[1]TrRoad_act!P$5</f>
        <v>706.58775015468939</v>
      </c>
      <c r="Q6" s="60">
        <f>[1]TrRoad_act!Q$5</f>
        <v>713.81021490519925</v>
      </c>
      <c r="R6" s="60">
        <f>[1]TrRoad_act!R$5</f>
        <v>711.70731530665489</v>
      </c>
      <c r="S6" s="60">
        <f>[1]TrRoad_act!S$5</f>
        <v>668.26693266766108</v>
      </c>
      <c r="T6" s="60">
        <f>[1]TrRoad_act!T$5</f>
        <v>634.48253072571617</v>
      </c>
      <c r="U6" s="60">
        <f>[1]TrRoad_act!U$5</f>
        <v>665.30790686102102</v>
      </c>
      <c r="V6" s="60">
        <f>[1]TrRoad_act!V$5</f>
        <v>593.12828382677617</v>
      </c>
      <c r="W6" s="60">
        <f>[1]TrRoad_act!W$5</f>
        <v>613.24874250755204</v>
      </c>
      <c r="DA6" s="49" t="s">
        <v>72</v>
      </c>
    </row>
    <row r="7" spans="1:105" ht="11.4" customHeight="1" x14ac:dyDescent="0.35">
      <c r="A7" s="59" t="str">
        <f>[1]TrRoad_act!$A$6</f>
        <v>Passenger cars</v>
      </c>
      <c r="B7" s="60">
        <f>[1]TrRoad_act!B$6</f>
        <v>50615</v>
      </c>
      <c r="C7" s="60">
        <f>[1]TrRoad_act!C$6</f>
        <v>49620</v>
      </c>
      <c r="D7" s="60">
        <f>[1]TrRoad_act!D$6</f>
        <v>49454</v>
      </c>
      <c r="E7" s="60">
        <f>[1]TrRoad_act!E$6</f>
        <v>49695</v>
      </c>
      <c r="F7" s="60">
        <f>[1]TrRoad_act!F$6</f>
        <v>50557</v>
      </c>
      <c r="G7" s="60">
        <f>[1]TrRoad_act!G$6</f>
        <v>49758</v>
      </c>
      <c r="H7" s="60">
        <f>[1]TrRoad_act!H$6</f>
        <v>49648</v>
      </c>
      <c r="I7" s="60">
        <f>[1]TrRoad_act!I$6</f>
        <v>50733</v>
      </c>
      <c r="J7" s="60">
        <f>[1]TrRoad_act!J$6</f>
        <v>51459</v>
      </c>
      <c r="K7" s="60">
        <f>[1]TrRoad_act!K$6</f>
        <v>51884</v>
      </c>
      <c r="L7" s="60">
        <f>[1]TrRoad_act!L$6</f>
        <v>51691</v>
      </c>
      <c r="M7" s="60">
        <f>[1]TrRoad_act!M$6</f>
        <v>52957</v>
      </c>
      <c r="N7" s="60">
        <f>[1]TrRoad_act!N$6</f>
        <v>52664.999999999993</v>
      </c>
      <c r="O7" s="60">
        <f>[1]TrRoad_act!O$6</f>
        <v>52903.999999999993</v>
      </c>
      <c r="P7" s="60">
        <f>[1]TrRoad_act!P$6</f>
        <v>54402.000000000007</v>
      </c>
      <c r="Q7" s="60">
        <f>[1]TrRoad_act!Q$6</f>
        <v>56844.000000000007</v>
      </c>
      <c r="R7" s="60">
        <f>[1]TrRoad_act!R$6</f>
        <v>59041</v>
      </c>
      <c r="S7" s="60">
        <f>[1]TrRoad_act!S$6</f>
        <v>60046</v>
      </c>
      <c r="T7" s="60">
        <f>[1]TrRoad_act!T$6</f>
        <v>61213</v>
      </c>
      <c r="U7" s="60">
        <f>[1]TrRoad_act!U$6</f>
        <v>62513</v>
      </c>
      <c r="V7" s="60">
        <f>[1]TrRoad_act!V$6</f>
        <v>58479</v>
      </c>
      <c r="W7" s="60">
        <f>[1]TrRoad_act!W$6</f>
        <v>58910</v>
      </c>
      <c r="DA7" s="49" t="s">
        <v>73</v>
      </c>
    </row>
    <row r="8" spans="1:105" ht="11.4" customHeight="1" x14ac:dyDescent="0.35">
      <c r="A8" s="59" t="str">
        <f>[1]TrRoad_act!$A$13</f>
        <v>Motor coaches, buses and trolley buses</v>
      </c>
      <c r="B8" s="60">
        <f>[1]TrRoad_act!B$13</f>
        <v>7418</v>
      </c>
      <c r="C8" s="60">
        <f>[1]TrRoad_act!C$13</f>
        <v>7332</v>
      </c>
      <c r="D8" s="60">
        <f>[1]TrRoad_act!D$13</f>
        <v>7295</v>
      </c>
      <c r="E8" s="60">
        <f>[1]TrRoad_act!E$13</f>
        <v>7272</v>
      </c>
      <c r="F8" s="60">
        <f>[1]TrRoad_act!F$13</f>
        <v>7300</v>
      </c>
      <c r="G8" s="60">
        <f>[1]TrRoad_act!G$13</f>
        <v>7169</v>
      </c>
      <c r="H8" s="60">
        <f>[1]TrRoad_act!H$13</f>
        <v>7054</v>
      </c>
      <c r="I8" s="60">
        <f>[1]TrRoad_act!I$13</f>
        <v>6845</v>
      </c>
      <c r="J8" s="60">
        <f>[1]TrRoad_act!J$13</f>
        <v>6739</v>
      </c>
      <c r="K8" s="60">
        <f>[1]TrRoad_act!K$13</f>
        <v>6746.0000000000009</v>
      </c>
      <c r="L8" s="60">
        <f>[1]TrRoad_act!L$13</f>
        <v>6821</v>
      </c>
      <c r="M8" s="60">
        <f>[1]TrRoad_act!M$13</f>
        <v>6673</v>
      </c>
      <c r="N8" s="60">
        <f>[1]TrRoad_act!N$13</f>
        <v>6466</v>
      </c>
      <c r="O8" s="60">
        <f>[1]TrRoad_act!O$13</f>
        <v>6466</v>
      </c>
      <c r="P8" s="60">
        <f>[1]TrRoad_act!P$13</f>
        <v>6558</v>
      </c>
      <c r="Q8" s="60">
        <f>[1]TrRoad_act!Q$13</f>
        <v>6854.9999999999991</v>
      </c>
      <c r="R8" s="60">
        <f>[1]TrRoad_act!R$13</f>
        <v>7069</v>
      </c>
      <c r="S8" s="60">
        <f>[1]TrRoad_act!S$13</f>
        <v>7300</v>
      </c>
      <c r="T8" s="60">
        <f>[1]TrRoad_act!T$13</f>
        <v>7107.9999999999991</v>
      </c>
      <c r="U8" s="60">
        <f>[1]TrRoad_act!U$13</f>
        <v>6929</v>
      </c>
      <c r="V8" s="60">
        <f>[1]TrRoad_act!V$13</f>
        <v>4547</v>
      </c>
      <c r="W8" s="60">
        <f>[1]TrRoad_act!W$13</f>
        <v>4834</v>
      </c>
      <c r="DA8" s="49" t="s">
        <v>74</v>
      </c>
    </row>
    <row r="9" spans="1:105" ht="11.4" customHeight="1" x14ac:dyDescent="0.35">
      <c r="A9" s="61" t="s">
        <v>75</v>
      </c>
      <c r="B9" s="62">
        <f t="shared" ref="B9:W9" si="2">B10+B11+B12</f>
        <v>5537</v>
      </c>
      <c r="C9" s="62">
        <f t="shared" si="2"/>
        <v>5721</v>
      </c>
      <c r="D9" s="62">
        <f t="shared" si="2"/>
        <v>5754</v>
      </c>
      <c r="E9" s="62">
        <f t="shared" si="2"/>
        <v>5893</v>
      </c>
      <c r="F9" s="62">
        <f t="shared" si="2"/>
        <v>6074</v>
      </c>
      <c r="G9" s="62">
        <f t="shared" si="2"/>
        <v>6136</v>
      </c>
      <c r="H9" s="62">
        <f t="shared" si="2"/>
        <v>6274</v>
      </c>
      <c r="I9" s="62">
        <f t="shared" si="2"/>
        <v>6353</v>
      </c>
      <c r="J9" s="62">
        <f t="shared" si="2"/>
        <v>6475</v>
      </c>
      <c r="K9" s="62">
        <f t="shared" si="2"/>
        <v>6367</v>
      </c>
      <c r="L9" s="62">
        <f t="shared" si="2"/>
        <v>6577</v>
      </c>
      <c r="M9" s="62">
        <f t="shared" si="2"/>
        <v>6643</v>
      </c>
      <c r="N9" s="62">
        <f t="shared" si="2"/>
        <v>6791</v>
      </c>
      <c r="O9" s="62">
        <f t="shared" si="2"/>
        <v>6835</v>
      </c>
      <c r="P9" s="62">
        <f t="shared" si="2"/>
        <v>6808</v>
      </c>
      <c r="Q9" s="62">
        <f t="shared" si="2"/>
        <v>6808</v>
      </c>
      <c r="R9" s="62">
        <f t="shared" si="2"/>
        <v>6653</v>
      </c>
      <c r="S9" s="62">
        <f t="shared" si="2"/>
        <v>6621</v>
      </c>
      <c r="T9" s="62">
        <f t="shared" si="2"/>
        <v>6549</v>
      </c>
      <c r="U9" s="62">
        <f t="shared" si="2"/>
        <v>6574</v>
      </c>
      <c r="V9" s="62">
        <f t="shared" si="2"/>
        <v>4229</v>
      </c>
      <c r="W9" s="62">
        <f t="shared" si="2"/>
        <v>4512</v>
      </c>
      <c r="DA9" s="63" t="s">
        <v>76</v>
      </c>
    </row>
    <row r="10" spans="1:105" ht="11.4" customHeight="1" x14ac:dyDescent="0.35">
      <c r="A10" s="59" t="str">
        <f>[1]TrRail_act!$A$5</f>
        <v>Metro and tram, urban light rail</v>
      </c>
      <c r="B10" s="60">
        <f>[1]TrRail_act!B$5</f>
        <v>0</v>
      </c>
      <c r="C10" s="60">
        <f>[1]TrRail_act!C$5</f>
        <v>0</v>
      </c>
      <c r="D10" s="60">
        <f>[1]TrRail_act!D$5</f>
        <v>9</v>
      </c>
      <c r="E10" s="60">
        <f>[1]TrRail_act!E$5</f>
        <v>67</v>
      </c>
      <c r="F10" s="60">
        <f>[1]TrRail_act!F$5</f>
        <v>128</v>
      </c>
      <c r="G10" s="60">
        <f>[1]TrRail_act!G$5</f>
        <v>162</v>
      </c>
      <c r="H10" s="60">
        <f>[1]TrRail_act!H$5</f>
        <v>164</v>
      </c>
      <c r="I10" s="60">
        <f>[1]TrRail_act!I$5</f>
        <v>177</v>
      </c>
      <c r="J10" s="60">
        <f>[1]TrRail_act!J$5</f>
        <v>195</v>
      </c>
      <c r="K10" s="60">
        <f>[1]TrRail_act!K$5</f>
        <v>215</v>
      </c>
      <c r="L10" s="60">
        <f>[1]TrRail_act!L$5</f>
        <v>239</v>
      </c>
      <c r="M10" s="60">
        <f>[1]TrRail_act!M$5</f>
        <v>278</v>
      </c>
      <c r="N10" s="60">
        <f>[1]TrRail_act!N$5</f>
        <v>274</v>
      </c>
      <c r="O10" s="60">
        <f>[1]TrRail_act!O$5</f>
        <v>284</v>
      </c>
      <c r="P10" s="60">
        <f>[1]TrRail_act!P$5</f>
        <v>295</v>
      </c>
      <c r="Q10" s="60">
        <f>[1]TrRail_act!Q$5</f>
        <v>302</v>
      </c>
      <c r="R10" s="60">
        <f>[1]TrRail_act!R$5</f>
        <v>321</v>
      </c>
      <c r="S10" s="60">
        <f>[1]TrRail_act!S$5</f>
        <v>341</v>
      </c>
      <c r="T10" s="60">
        <f>[1]TrRail_act!T$5</f>
        <v>352</v>
      </c>
      <c r="U10" s="60">
        <f>[1]TrRail_act!U$5</f>
        <v>400</v>
      </c>
      <c r="V10" s="60">
        <f>[1]TrRail_act!V$5</f>
        <v>289</v>
      </c>
      <c r="W10" s="60">
        <f>[1]TrRail_act!W$5</f>
        <v>331</v>
      </c>
      <c r="DA10" s="49" t="s">
        <v>77</v>
      </c>
    </row>
    <row r="11" spans="1:105" ht="11.4" customHeight="1" x14ac:dyDescent="0.35">
      <c r="A11" s="59" t="str">
        <f>[1]TrRail_act!$A$6</f>
        <v>Conventional passenger trains</v>
      </c>
      <c r="B11" s="60">
        <f>[1]TrRail_act!B$6</f>
        <v>5537</v>
      </c>
      <c r="C11" s="60">
        <f>[1]TrRail_act!C$6</f>
        <v>5721</v>
      </c>
      <c r="D11" s="60">
        <f>[1]TrRail_act!D$6</f>
        <v>5745</v>
      </c>
      <c r="E11" s="60">
        <f>[1]TrRail_act!E$6</f>
        <v>5826</v>
      </c>
      <c r="F11" s="60">
        <f>[1]TrRail_act!F$6</f>
        <v>5946</v>
      </c>
      <c r="G11" s="60">
        <f>[1]TrRail_act!G$6</f>
        <v>5974</v>
      </c>
      <c r="H11" s="60">
        <f>[1]TrRail_act!H$6</f>
        <v>6110</v>
      </c>
      <c r="I11" s="60">
        <f>[1]TrRail_act!I$6</f>
        <v>6176</v>
      </c>
      <c r="J11" s="60">
        <f>[1]TrRail_act!J$6</f>
        <v>6280</v>
      </c>
      <c r="K11" s="60">
        <f>[1]TrRail_act!K$6</f>
        <v>6152</v>
      </c>
      <c r="L11" s="60">
        <f>[1]TrRail_act!L$6</f>
        <v>6338</v>
      </c>
      <c r="M11" s="60">
        <f>[1]TrRail_act!M$6</f>
        <v>6365</v>
      </c>
      <c r="N11" s="60">
        <f>[1]TrRail_act!N$6</f>
        <v>6517</v>
      </c>
      <c r="O11" s="60">
        <f>[1]TrRail_act!O$6</f>
        <v>6551</v>
      </c>
      <c r="P11" s="60">
        <f>[1]TrRail_act!P$6</f>
        <v>6513</v>
      </c>
      <c r="Q11" s="60">
        <f>[1]TrRail_act!Q$6</f>
        <v>6506</v>
      </c>
      <c r="R11" s="60">
        <f>[1]TrRail_act!R$6</f>
        <v>6332</v>
      </c>
      <c r="S11" s="60">
        <f>[1]TrRail_act!S$6</f>
        <v>6280</v>
      </c>
      <c r="T11" s="60">
        <f>[1]TrRail_act!T$6</f>
        <v>6197</v>
      </c>
      <c r="U11" s="60">
        <f>[1]TrRail_act!U$6</f>
        <v>6174</v>
      </c>
      <c r="V11" s="60">
        <f>[1]TrRail_act!V$6</f>
        <v>3940</v>
      </c>
      <c r="W11" s="60">
        <f>[1]TrRail_act!W$6</f>
        <v>4181</v>
      </c>
      <c r="DA11" s="49" t="s">
        <v>78</v>
      </c>
    </row>
    <row r="12" spans="1:105" ht="11.4" customHeight="1" x14ac:dyDescent="0.35">
      <c r="A12" s="59" t="str">
        <f>[1]TrRail_act!$A$9</f>
        <v>High speed passenger trains</v>
      </c>
      <c r="B12" s="60">
        <f>[1]TrRail_act!B$9</f>
        <v>0</v>
      </c>
      <c r="C12" s="60">
        <f>[1]TrRail_act!C$9</f>
        <v>0</v>
      </c>
      <c r="D12" s="60">
        <f>[1]TrRail_act!D$9</f>
        <v>0</v>
      </c>
      <c r="E12" s="60">
        <f>[1]TrRail_act!E$9</f>
        <v>0</v>
      </c>
      <c r="F12" s="60">
        <f>[1]TrRail_act!F$9</f>
        <v>0</v>
      </c>
      <c r="G12" s="60">
        <f>[1]TrRail_act!G$9</f>
        <v>0</v>
      </c>
      <c r="H12" s="60">
        <f>[1]TrRail_act!H$9</f>
        <v>0</v>
      </c>
      <c r="I12" s="60">
        <f>[1]TrRail_act!I$9</f>
        <v>0</v>
      </c>
      <c r="J12" s="60">
        <f>[1]TrRail_act!J$9</f>
        <v>0</v>
      </c>
      <c r="K12" s="60">
        <f>[1]TrRail_act!K$9</f>
        <v>0</v>
      </c>
      <c r="L12" s="60">
        <f>[1]TrRail_act!L$9</f>
        <v>0</v>
      </c>
      <c r="M12" s="60">
        <f>[1]TrRail_act!M$9</f>
        <v>0</v>
      </c>
      <c r="N12" s="60">
        <f>[1]TrRail_act!N$9</f>
        <v>0</v>
      </c>
      <c r="O12" s="60">
        <f>[1]TrRail_act!O$9</f>
        <v>0</v>
      </c>
      <c r="P12" s="60">
        <f>[1]TrRail_act!P$9</f>
        <v>0</v>
      </c>
      <c r="Q12" s="60">
        <f>[1]TrRail_act!Q$9</f>
        <v>0</v>
      </c>
      <c r="R12" s="60">
        <f>[1]TrRail_act!R$9</f>
        <v>0</v>
      </c>
      <c r="S12" s="60">
        <f>[1]TrRail_act!S$9</f>
        <v>0</v>
      </c>
      <c r="T12" s="60">
        <f>[1]TrRail_act!T$9</f>
        <v>0</v>
      </c>
      <c r="U12" s="60">
        <f>[1]TrRail_act!U$9</f>
        <v>0</v>
      </c>
      <c r="V12" s="60">
        <f>[1]TrRail_act!V$9</f>
        <v>0</v>
      </c>
      <c r="W12" s="60">
        <f>[1]TrRail_act!W$9</f>
        <v>0</v>
      </c>
      <c r="DA12" s="49" t="s">
        <v>79</v>
      </c>
    </row>
    <row r="13" spans="1:105" ht="11.4" customHeight="1" x14ac:dyDescent="0.35">
      <c r="A13" s="61" t="s">
        <v>80</v>
      </c>
      <c r="B13" s="62">
        <f t="shared" ref="B13:W13" si="3">B14+B15+B16</f>
        <v>16731.518801289996</v>
      </c>
      <c r="C13" s="62">
        <f t="shared" si="3"/>
        <v>17320.29002497804</v>
      </c>
      <c r="D13" s="62">
        <f t="shared" si="3"/>
        <v>17289.84964354524</v>
      </c>
      <c r="E13" s="62">
        <f t="shared" si="3"/>
        <v>16801.754556830216</v>
      </c>
      <c r="F13" s="62">
        <f t="shared" si="3"/>
        <v>18340.048659803462</v>
      </c>
      <c r="G13" s="62">
        <f t="shared" si="3"/>
        <v>19749.505171751778</v>
      </c>
      <c r="H13" s="62">
        <f t="shared" si="3"/>
        <v>20374.349854404994</v>
      </c>
      <c r="I13" s="62">
        <f t="shared" si="3"/>
        <v>20359.992785373553</v>
      </c>
      <c r="J13" s="62">
        <f t="shared" si="3"/>
        <v>19830.516917931407</v>
      </c>
      <c r="K13" s="62">
        <f t="shared" si="3"/>
        <v>18716.188063263569</v>
      </c>
      <c r="L13" s="62">
        <f t="shared" si="3"/>
        <v>20651.45298543098</v>
      </c>
      <c r="M13" s="62">
        <f t="shared" si="3"/>
        <v>21172.026514451958</v>
      </c>
      <c r="N13" s="62">
        <f t="shared" si="3"/>
        <v>22348.753129259039</v>
      </c>
      <c r="O13" s="62">
        <f t="shared" si="3"/>
        <v>23383.239341934881</v>
      </c>
      <c r="P13" s="62">
        <f t="shared" si="3"/>
        <v>24900.436249549559</v>
      </c>
      <c r="Q13" s="62">
        <f t="shared" si="3"/>
        <v>25384.75909170759</v>
      </c>
      <c r="R13" s="62">
        <f t="shared" si="3"/>
        <v>27536.416408431891</v>
      </c>
      <c r="S13" s="62">
        <f t="shared" si="3"/>
        <v>28519.323189936091</v>
      </c>
      <c r="T13" s="62">
        <f t="shared" si="3"/>
        <v>30248.467291198445</v>
      </c>
      <c r="U13" s="62">
        <f t="shared" si="3"/>
        <v>30020.081528064999</v>
      </c>
      <c r="V13" s="62">
        <f t="shared" si="3"/>
        <v>7191.14109687991</v>
      </c>
      <c r="W13" s="62">
        <f t="shared" si="3"/>
        <v>8975.6629830116872</v>
      </c>
      <c r="DA13" s="63" t="s">
        <v>81</v>
      </c>
    </row>
    <row r="14" spans="1:105" ht="11.4" customHeight="1" x14ac:dyDescent="0.35">
      <c r="A14" s="59" t="s">
        <v>82</v>
      </c>
      <c r="B14" s="60">
        <f>[1]TrAvia_act!B$5</f>
        <v>291.40924396035859</v>
      </c>
      <c r="C14" s="60">
        <f>[1]TrAvia_act!C$5</f>
        <v>299.46483133744471</v>
      </c>
      <c r="D14" s="60">
        <f>[1]TrAvia_act!D$5</f>
        <v>270.63505047752295</v>
      </c>
      <c r="E14" s="60">
        <f>[1]TrAvia_act!E$5</f>
        <v>294.26581108181898</v>
      </c>
      <c r="F14" s="60">
        <f>[1]TrAvia_act!F$5</f>
        <v>369.96532619028915</v>
      </c>
      <c r="G14" s="60">
        <f>[1]TrAvia_act!G$5</f>
        <v>371.63024424271703</v>
      </c>
      <c r="H14" s="60">
        <f>[1]TrAvia_act!H$5</f>
        <v>403.57690740271437</v>
      </c>
      <c r="I14" s="60">
        <f>[1]TrAvia_act!I$5</f>
        <v>446.8763170177379</v>
      </c>
      <c r="J14" s="60">
        <f>[1]TrAvia_act!J$5</f>
        <v>458.44665437170937</v>
      </c>
      <c r="K14" s="60">
        <f>[1]TrAvia_act!K$5</f>
        <v>464.32366596496422</v>
      </c>
      <c r="L14" s="60">
        <f>[1]TrAvia_act!L$5</f>
        <v>563.06762945161995</v>
      </c>
      <c r="M14" s="60">
        <f>[1]TrAvia_act!M$5</f>
        <v>519.51037812927541</v>
      </c>
      <c r="N14" s="60">
        <f>[1]TrAvia_act!N$5</f>
        <v>405.46675317223634</v>
      </c>
      <c r="O14" s="60">
        <f>[1]TrAvia_act!O$5</f>
        <v>408.17099991910067</v>
      </c>
      <c r="P14" s="60">
        <f>[1]TrAvia_act!P$5</f>
        <v>421.85946758049505</v>
      </c>
      <c r="Q14" s="60">
        <f>[1]TrAvia_act!Q$5</f>
        <v>412.07747383764882</v>
      </c>
      <c r="R14" s="60">
        <f>[1]TrAvia_act!R$5</f>
        <v>437.606250558174</v>
      </c>
      <c r="S14" s="60">
        <f>[1]TrAvia_act!S$5</f>
        <v>422.72749352524494</v>
      </c>
      <c r="T14" s="60">
        <f>[1]TrAvia_act!T$5</f>
        <v>418.01654063879562</v>
      </c>
      <c r="U14" s="60">
        <f>[1]TrAvia_act!U$5</f>
        <v>393.61794485666769</v>
      </c>
      <c r="V14" s="60">
        <f>[1]TrAvia_act!V$5</f>
        <v>165.67190867400353</v>
      </c>
      <c r="W14" s="60">
        <f>[1]TrAvia_act!W$5</f>
        <v>231.30369073079234</v>
      </c>
      <c r="DA14" s="49" t="s">
        <v>83</v>
      </c>
    </row>
    <row r="15" spans="1:105" ht="11.4" customHeight="1" x14ac:dyDescent="0.35">
      <c r="A15" s="59" t="s">
        <v>84</v>
      </c>
      <c r="B15" s="60">
        <f>[1]TrAvia_act!B$6</f>
        <v>10186.297917202788</v>
      </c>
      <c r="C15" s="60">
        <f>[1]TrAvia_act!C$6</f>
        <v>10566.784446657559</v>
      </c>
      <c r="D15" s="60">
        <f>[1]TrAvia_act!D$6</f>
        <v>10520.060983530002</v>
      </c>
      <c r="E15" s="60">
        <f>[1]TrAvia_act!E$6</f>
        <v>10218.513228038924</v>
      </c>
      <c r="F15" s="60">
        <f>[1]TrAvia_act!F$6</f>
        <v>10696.838536596297</v>
      </c>
      <c r="G15" s="60">
        <f>[1]TrAvia_act!G$6</f>
        <v>11149.757139233894</v>
      </c>
      <c r="H15" s="60">
        <f>[1]TrAvia_act!H$6</f>
        <v>11392.01850836867</v>
      </c>
      <c r="I15" s="60">
        <f>[1]TrAvia_act!I$6</f>
        <v>11336.021346299245</v>
      </c>
      <c r="J15" s="60">
        <f>[1]TrAvia_act!J$6</f>
        <v>10757.313683987757</v>
      </c>
      <c r="K15" s="60">
        <f>[1]TrAvia_act!K$6</f>
        <v>10035.434119026262</v>
      </c>
      <c r="L15" s="60">
        <f>[1]TrAvia_act!L$6</f>
        <v>10883.842524756506</v>
      </c>
      <c r="M15" s="60">
        <f>[1]TrAvia_act!M$6</f>
        <v>11526.969338168174</v>
      </c>
      <c r="N15" s="60">
        <f>[1]TrAvia_act!N$6</f>
        <v>11914.287257611903</v>
      </c>
      <c r="O15" s="60">
        <f>[1]TrAvia_act!O$6</f>
        <v>12547.638627097454</v>
      </c>
      <c r="P15" s="60">
        <f>[1]TrAvia_act!P$6</f>
        <v>13032.859656212773</v>
      </c>
      <c r="Q15" s="60">
        <f>[1]TrAvia_act!Q$6</f>
        <v>13353.18808062169</v>
      </c>
      <c r="R15" s="60">
        <f>[1]TrAvia_act!R$6</f>
        <v>15101.974100752148</v>
      </c>
      <c r="S15" s="60">
        <f>[1]TrAvia_act!S$6</f>
        <v>15751.286250439953</v>
      </c>
      <c r="T15" s="60">
        <f>[1]TrAvia_act!T$6</f>
        <v>16295.38997882581</v>
      </c>
      <c r="U15" s="60">
        <f>[1]TrAvia_act!U$6</f>
        <v>15686.817297998425</v>
      </c>
      <c r="V15" s="60">
        <f>[1]TrAvia_act!V$6</f>
        <v>3816.1926543588661</v>
      </c>
      <c r="W15" s="60">
        <f>[1]TrAvia_act!W$6</f>
        <v>5724.8426153984155</v>
      </c>
      <c r="DA15" s="49" t="s">
        <v>85</v>
      </c>
    </row>
    <row r="16" spans="1:105" ht="11.4" customHeight="1" x14ac:dyDescent="0.35">
      <c r="A16" s="59" t="s">
        <v>86</v>
      </c>
      <c r="B16" s="60">
        <f>[1]TrAvia_act!B$7</f>
        <v>6253.811640126848</v>
      </c>
      <c r="C16" s="60">
        <f>[1]TrAvia_act!C$7</f>
        <v>6454.0407469830343</v>
      </c>
      <c r="D16" s="60">
        <f>[1]TrAvia_act!D$7</f>
        <v>6499.1536095377141</v>
      </c>
      <c r="E16" s="60">
        <f>[1]TrAvia_act!E$7</f>
        <v>6288.9755177094721</v>
      </c>
      <c r="F16" s="60">
        <f>[1]TrAvia_act!F$7</f>
        <v>7273.244797016876</v>
      </c>
      <c r="G16" s="60">
        <f>[1]TrAvia_act!G$7</f>
        <v>8228.1177882751672</v>
      </c>
      <c r="H16" s="60">
        <f>[1]TrAvia_act!H$7</f>
        <v>8578.7544386336103</v>
      </c>
      <c r="I16" s="60">
        <f>[1]TrAvia_act!I$7</f>
        <v>8577.0951220565712</v>
      </c>
      <c r="J16" s="60">
        <f>[1]TrAvia_act!J$7</f>
        <v>8614.7565795719402</v>
      </c>
      <c r="K16" s="60">
        <f>[1]TrAvia_act!K$7</f>
        <v>8216.4302782723425</v>
      </c>
      <c r="L16" s="60">
        <f>[1]TrAvia_act!L$7</f>
        <v>9204.542831222856</v>
      </c>
      <c r="M16" s="60">
        <f>[1]TrAvia_act!M$7</f>
        <v>9125.5467981545098</v>
      </c>
      <c r="N16" s="60">
        <f>[1]TrAvia_act!N$7</f>
        <v>10028.9991184749</v>
      </c>
      <c r="O16" s="60">
        <f>[1]TrAvia_act!O$7</f>
        <v>10427.429714918328</v>
      </c>
      <c r="P16" s="60">
        <f>[1]TrAvia_act!P$7</f>
        <v>11445.717125756293</v>
      </c>
      <c r="Q16" s="60">
        <f>[1]TrAvia_act!Q$7</f>
        <v>11619.493537248251</v>
      </c>
      <c r="R16" s="60">
        <f>[1]TrAvia_act!R$7</f>
        <v>11996.836057121571</v>
      </c>
      <c r="S16" s="60">
        <f>[1]TrAvia_act!S$7</f>
        <v>12345.309445970895</v>
      </c>
      <c r="T16" s="60">
        <f>[1]TrAvia_act!T$7</f>
        <v>13535.060771733841</v>
      </c>
      <c r="U16" s="60">
        <f>[1]TrAvia_act!U$7</f>
        <v>13939.646285209907</v>
      </c>
      <c r="V16" s="60">
        <f>[1]TrAvia_act!V$7</f>
        <v>3209.2765338470399</v>
      </c>
      <c r="W16" s="60">
        <f>[1]TrAvia_act!W$7</f>
        <v>3019.5166768824793</v>
      </c>
      <c r="DA16" s="49" t="s">
        <v>87</v>
      </c>
    </row>
    <row r="17" spans="1:105" ht="11.4" customHeight="1" x14ac:dyDescent="0.35">
      <c r="A17" s="53" t="s">
        <v>88</v>
      </c>
      <c r="B17" s="54">
        <f t="shared" ref="B17:W17" si="4">B18+B21+B22+B26</f>
        <v>19712.316089401364</v>
      </c>
      <c r="C17" s="54">
        <f t="shared" si="4"/>
        <v>20383.758591789669</v>
      </c>
      <c r="D17" s="54">
        <f t="shared" si="4"/>
        <v>20424.270377156496</v>
      </c>
      <c r="E17" s="54">
        <f t="shared" si="4"/>
        <v>20856.597485400685</v>
      </c>
      <c r="F17" s="54">
        <f t="shared" si="4"/>
        <v>21493.43421996279</v>
      </c>
      <c r="G17" s="54">
        <f t="shared" si="4"/>
        <v>22191.911525213505</v>
      </c>
      <c r="H17" s="54">
        <f t="shared" si="4"/>
        <v>23434.226241070144</v>
      </c>
      <c r="I17" s="54">
        <f t="shared" si="4"/>
        <v>24314.303729870022</v>
      </c>
      <c r="J17" s="54">
        <f t="shared" si="4"/>
        <v>25258.753809799458</v>
      </c>
      <c r="K17" s="54">
        <f t="shared" si="4"/>
        <v>22401.577599360433</v>
      </c>
      <c r="L17" s="54">
        <f t="shared" si="4"/>
        <v>23505.518622230491</v>
      </c>
      <c r="M17" s="54">
        <f t="shared" si="4"/>
        <v>24986.543598165321</v>
      </c>
      <c r="N17" s="54">
        <f t="shared" si="4"/>
        <v>24828.962634004114</v>
      </c>
      <c r="O17" s="54">
        <f t="shared" si="4"/>
        <v>25141.654896001113</v>
      </c>
      <c r="P17" s="54">
        <f t="shared" si="4"/>
        <v>25487.012860900941</v>
      </c>
      <c r="Q17" s="54">
        <f t="shared" si="4"/>
        <v>25325.079189292021</v>
      </c>
      <c r="R17" s="54">
        <f t="shared" si="4"/>
        <v>26811.769634615488</v>
      </c>
      <c r="S17" s="54">
        <f t="shared" si="4"/>
        <v>26525.699220244231</v>
      </c>
      <c r="T17" s="54">
        <f t="shared" si="4"/>
        <v>25217.622894286167</v>
      </c>
      <c r="U17" s="54">
        <f t="shared" si="4"/>
        <v>25366.455085612411</v>
      </c>
      <c r="V17" s="54">
        <f t="shared" si="4"/>
        <v>25574.478145491736</v>
      </c>
      <c r="W17" s="54">
        <f t="shared" si="4"/>
        <v>25902.463039702339</v>
      </c>
      <c r="DA17" s="55" t="s">
        <v>89</v>
      </c>
    </row>
    <row r="18" spans="1:105" ht="11.4" customHeight="1" x14ac:dyDescent="0.35">
      <c r="A18" s="56" t="s">
        <v>70</v>
      </c>
      <c r="B18" s="57">
        <f t="shared" ref="B18:W18" si="5">B19+B20</f>
        <v>16102.825803694617</v>
      </c>
      <c r="C18" s="57">
        <f t="shared" si="5"/>
        <v>16355.707153045834</v>
      </c>
      <c r="D18" s="57">
        <f t="shared" si="5"/>
        <v>16829.378201802039</v>
      </c>
      <c r="E18" s="57">
        <f t="shared" si="5"/>
        <v>16923.344719354514</v>
      </c>
      <c r="F18" s="57">
        <f t="shared" si="5"/>
        <v>17328.699423064456</v>
      </c>
      <c r="G18" s="57">
        <f t="shared" si="5"/>
        <v>18144.322437491363</v>
      </c>
      <c r="H18" s="57">
        <f t="shared" si="5"/>
        <v>19191.163695864903</v>
      </c>
      <c r="I18" s="57">
        <f t="shared" si="5"/>
        <v>20029.931318275878</v>
      </c>
      <c r="J18" s="57">
        <f t="shared" si="5"/>
        <v>20556.519011216318</v>
      </c>
      <c r="K18" s="57">
        <f t="shared" si="5"/>
        <v>18472.092585620561</v>
      </c>
      <c r="L18" s="57">
        <f t="shared" si="5"/>
        <v>18758.472985390181</v>
      </c>
      <c r="M18" s="57">
        <f t="shared" si="5"/>
        <v>19817.018828586704</v>
      </c>
      <c r="N18" s="57">
        <f t="shared" si="5"/>
        <v>19849.078278026496</v>
      </c>
      <c r="O18" s="57">
        <f t="shared" si="5"/>
        <v>20508.3929700796</v>
      </c>
      <c r="P18" s="57">
        <f t="shared" si="5"/>
        <v>20688.053561330256</v>
      </c>
      <c r="Q18" s="57">
        <f t="shared" si="5"/>
        <v>20318.062767255164</v>
      </c>
      <c r="R18" s="57">
        <f t="shared" si="5"/>
        <v>21797.133025806252</v>
      </c>
      <c r="S18" s="57">
        <f t="shared" si="5"/>
        <v>21579.315571500047</v>
      </c>
      <c r="T18" s="57">
        <f t="shared" si="5"/>
        <v>20558.588921723807</v>
      </c>
      <c r="U18" s="57">
        <f t="shared" si="5"/>
        <v>20679.157322018225</v>
      </c>
      <c r="V18" s="57">
        <f t="shared" si="5"/>
        <v>21354.084442872299</v>
      </c>
      <c r="W18" s="57">
        <f t="shared" si="5"/>
        <v>21986.87928498839</v>
      </c>
      <c r="DA18" s="58" t="s">
        <v>90</v>
      </c>
    </row>
    <row r="19" spans="1:105" ht="11.4" customHeight="1" x14ac:dyDescent="0.35">
      <c r="A19" s="59" t="str">
        <f>[1]TrRoad_act!$A$20</f>
        <v>Light commercial vehicles</v>
      </c>
      <c r="B19" s="60">
        <f>[1]TrRoad_act!B$20</f>
        <v>967.69161960842871</v>
      </c>
      <c r="C19" s="60">
        <f>[1]TrRoad_act!C$20</f>
        <v>1039.2803571428108</v>
      </c>
      <c r="D19" s="60">
        <f>[1]TrRoad_act!D$20</f>
        <v>1081.8775655784996</v>
      </c>
      <c r="E19" s="60">
        <f>[1]TrRoad_act!E$20</f>
        <v>1145.365920751447</v>
      </c>
      <c r="F19" s="60">
        <f>[1]TrRoad_act!F$20</f>
        <v>1259.0690910860051</v>
      </c>
      <c r="G19" s="60">
        <f>[1]TrRoad_act!G$20</f>
        <v>1357.8092139001092</v>
      </c>
      <c r="H19" s="60">
        <f>[1]TrRoad_act!H$20</f>
        <v>1498.9049667236454</v>
      </c>
      <c r="I19" s="60">
        <f>[1]TrRoad_act!I$20</f>
        <v>1642.3372972945608</v>
      </c>
      <c r="J19" s="60">
        <f>[1]TrRoad_act!J$20</f>
        <v>1642.100932238998</v>
      </c>
      <c r="K19" s="60">
        <f>[1]TrRoad_act!K$20</f>
        <v>1556.3443418001732</v>
      </c>
      <c r="L19" s="60">
        <f>[1]TrRoad_act!L$20</f>
        <v>1514.7237158435612</v>
      </c>
      <c r="M19" s="60">
        <f>[1]TrRoad_act!M$20</f>
        <v>1378.623661996241</v>
      </c>
      <c r="N19" s="60">
        <f>[1]TrRoad_act!N$20</f>
        <v>1278.0406604003247</v>
      </c>
      <c r="O19" s="60">
        <f>[1]TrRoad_act!O$20</f>
        <v>1211.6717668725753</v>
      </c>
      <c r="P19" s="60">
        <f>[1]TrRoad_act!P$20</f>
        <v>1170.7877713172372</v>
      </c>
      <c r="Q19" s="60">
        <f>[1]TrRoad_act!Q$20</f>
        <v>1189.4401413442174</v>
      </c>
      <c r="R19" s="60">
        <f>[1]TrRoad_act!R$20</f>
        <v>1198.2699444678321</v>
      </c>
      <c r="S19" s="60">
        <f>[1]TrRoad_act!S$20</f>
        <v>1227.2141511383193</v>
      </c>
      <c r="T19" s="60">
        <f>[1]TrRoad_act!T$20</f>
        <v>1252.5889217238089</v>
      </c>
      <c r="U19" s="60">
        <f>[1]TrRoad_act!U$20</f>
        <v>1218.1573220182254</v>
      </c>
      <c r="V19" s="60">
        <f>[1]TrRoad_act!V$20</f>
        <v>1145.084442872298</v>
      </c>
      <c r="W19" s="60">
        <f>[1]TrRoad_act!W$20</f>
        <v>1167.879284988391</v>
      </c>
      <c r="DA19" s="49" t="s">
        <v>91</v>
      </c>
    </row>
    <row r="20" spans="1:105" ht="11.4" customHeight="1" x14ac:dyDescent="0.35">
      <c r="A20" s="59" t="str">
        <f>[1]TrRoad_act!$A$26</f>
        <v>Heavy goods vehicles</v>
      </c>
      <c r="B20" s="60">
        <f>[1]TrRoad_act!B$26</f>
        <v>15135.134184086188</v>
      </c>
      <c r="C20" s="60">
        <f>[1]TrRoad_act!C$26</f>
        <v>15316.426795903024</v>
      </c>
      <c r="D20" s="60">
        <f>[1]TrRoad_act!D$26</f>
        <v>15747.50063622354</v>
      </c>
      <c r="E20" s="60">
        <f>[1]TrRoad_act!E$26</f>
        <v>15777.978798603068</v>
      </c>
      <c r="F20" s="60">
        <f>[1]TrRoad_act!F$26</f>
        <v>16069.630331978449</v>
      </c>
      <c r="G20" s="60">
        <f>[1]TrRoad_act!G$26</f>
        <v>16786.513223591253</v>
      </c>
      <c r="H20" s="60">
        <f>[1]TrRoad_act!H$26</f>
        <v>17692.258729141256</v>
      </c>
      <c r="I20" s="60">
        <f>[1]TrRoad_act!I$26</f>
        <v>18387.594020981316</v>
      </c>
      <c r="J20" s="60">
        <f>[1]TrRoad_act!J$26</f>
        <v>18914.41807897732</v>
      </c>
      <c r="K20" s="60">
        <f>[1]TrRoad_act!K$26</f>
        <v>16915.748243820388</v>
      </c>
      <c r="L20" s="60">
        <f>[1]TrRoad_act!L$26</f>
        <v>17243.749269546621</v>
      </c>
      <c r="M20" s="60">
        <f>[1]TrRoad_act!M$26</f>
        <v>18438.395166590464</v>
      </c>
      <c r="N20" s="60">
        <f>[1]TrRoad_act!N$26</f>
        <v>18571.037617626171</v>
      </c>
      <c r="O20" s="60">
        <f>[1]TrRoad_act!O$26</f>
        <v>19296.721203207024</v>
      </c>
      <c r="P20" s="60">
        <f>[1]TrRoad_act!P$26</f>
        <v>19517.265790013018</v>
      </c>
      <c r="Q20" s="60">
        <f>[1]TrRoad_act!Q$26</f>
        <v>19128.622625910946</v>
      </c>
      <c r="R20" s="60">
        <f>[1]TrRoad_act!R$26</f>
        <v>20598.863081338419</v>
      </c>
      <c r="S20" s="60">
        <f>[1]TrRoad_act!S$26</f>
        <v>20352.101420361727</v>
      </c>
      <c r="T20" s="60">
        <f>[1]TrRoad_act!T$26</f>
        <v>19306</v>
      </c>
      <c r="U20" s="60">
        <f>[1]TrRoad_act!U$26</f>
        <v>19461</v>
      </c>
      <c r="V20" s="60">
        <f>[1]TrRoad_act!V$26</f>
        <v>20209</v>
      </c>
      <c r="W20" s="60">
        <f>[1]TrRoad_act!W$26</f>
        <v>20819</v>
      </c>
      <c r="DA20" s="49" t="s">
        <v>92</v>
      </c>
    </row>
    <row r="21" spans="1:105" ht="11.4" customHeight="1" x14ac:dyDescent="0.35">
      <c r="A21" s="61" t="s">
        <v>93</v>
      </c>
      <c r="B21" s="62">
        <f>[1]TrRail_act!B$10</f>
        <v>2025</v>
      </c>
      <c r="C21" s="62">
        <f>[1]TrRail_act!C$10</f>
        <v>2091</v>
      </c>
      <c r="D21" s="62">
        <f>[1]TrRail_act!D$10</f>
        <v>1877</v>
      </c>
      <c r="E21" s="62">
        <f>[1]TrRail_act!E$10</f>
        <v>1985</v>
      </c>
      <c r="F21" s="62">
        <f>[1]TrRail_act!F$10</f>
        <v>2321</v>
      </c>
      <c r="G21" s="62">
        <f>[1]TrRail_act!G$10</f>
        <v>1976</v>
      </c>
      <c r="H21" s="62">
        <f>[1]TrRail_act!H$10</f>
        <v>1892</v>
      </c>
      <c r="I21" s="62">
        <f>[1]TrRail_act!I$10</f>
        <v>1779</v>
      </c>
      <c r="J21" s="62">
        <f>[1]TrRail_act!J$10</f>
        <v>1866</v>
      </c>
      <c r="K21" s="62">
        <f>[1]TrRail_act!K$10</f>
        <v>1700</v>
      </c>
      <c r="L21" s="62">
        <f>[1]TrRail_act!L$10</f>
        <v>2239</v>
      </c>
      <c r="M21" s="62">
        <f>[1]TrRail_act!M$10</f>
        <v>2614</v>
      </c>
      <c r="N21" s="62">
        <f>[1]TrRail_act!N$10</f>
        <v>2278</v>
      </c>
      <c r="O21" s="62">
        <f>[1]TrRail_act!O$10</f>
        <v>2449</v>
      </c>
      <c r="P21" s="62">
        <f>[1]TrRail_act!P$10</f>
        <v>2453</v>
      </c>
      <c r="Q21" s="62">
        <f>[1]TrRail_act!Q$10</f>
        <v>2603</v>
      </c>
      <c r="R21" s="62">
        <f>[1]TrRail_act!R$10</f>
        <v>2616</v>
      </c>
      <c r="S21" s="62">
        <f>[1]TrRail_act!S$10</f>
        <v>2653</v>
      </c>
      <c r="T21" s="62">
        <f>[1]TrRail_act!T$10</f>
        <v>2594</v>
      </c>
      <c r="U21" s="62">
        <f>[1]TrRail_act!U$10</f>
        <v>2525</v>
      </c>
      <c r="V21" s="62">
        <f>[1]TrRail_act!V$10</f>
        <v>2450</v>
      </c>
      <c r="W21" s="62">
        <f>[1]TrRail_act!W$10</f>
        <v>1986</v>
      </c>
      <c r="DA21" s="63" t="s">
        <v>94</v>
      </c>
    </row>
    <row r="22" spans="1:105" ht="11.4" customHeight="1" x14ac:dyDescent="0.35">
      <c r="A22" s="61" t="s">
        <v>80</v>
      </c>
      <c r="B22" s="62">
        <f t="shared" ref="B22:W22" si="6">B23+B24+B25</f>
        <v>51.312285706745314</v>
      </c>
      <c r="C22" s="62">
        <f t="shared" si="6"/>
        <v>56.206438743833019</v>
      </c>
      <c r="D22" s="62">
        <f t="shared" si="6"/>
        <v>51.50917535445479</v>
      </c>
      <c r="E22" s="62">
        <f t="shared" si="6"/>
        <v>40.183766046170099</v>
      </c>
      <c r="F22" s="62">
        <f t="shared" si="6"/>
        <v>40.256796898335097</v>
      </c>
      <c r="G22" s="62">
        <f t="shared" si="6"/>
        <v>42.399087722145701</v>
      </c>
      <c r="H22" s="62">
        <f t="shared" si="6"/>
        <v>41.294545205241377</v>
      </c>
      <c r="I22" s="62">
        <f t="shared" si="6"/>
        <v>38.369411594142598</v>
      </c>
      <c r="J22" s="62">
        <f t="shared" si="6"/>
        <v>485.76879858313907</v>
      </c>
      <c r="K22" s="62">
        <f t="shared" si="6"/>
        <v>395.58801373987029</v>
      </c>
      <c r="L22" s="62">
        <f t="shared" si="6"/>
        <v>448.0196368403108</v>
      </c>
      <c r="M22" s="62">
        <f t="shared" si="6"/>
        <v>451.05076957861968</v>
      </c>
      <c r="N22" s="62">
        <f t="shared" si="6"/>
        <v>543.23935597761738</v>
      </c>
      <c r="O22" s="62">
        <f t="shared" si="6"/>
        <v>472.45792592151179</v>
      </c>
      <c r="P22" s="62">
        <f t="shared" si="6"/>
        <v>615.12629957068452</v>
      </c>
      <c r="Q22" s="62">
        <f t="shared" si="6"/>
        <v>565.67442203685664</v>
      </c>
      <c r="R22" s="62">
        <f t="shared" si="6"/>
        <v>506.40160880923469</v>
      </c>
      <c r="S22" s="62">
        <f t="shared" si="6"/>
        <v>556.71664874418116</v>
      </c>
      <c r="T22" s="62">
        <f t="shared" si="6"/>
        <v>453.51597256236096</v>
      </c>
      <c r="U22" s="62">
        <f t="shared" si="6"/>
        <v>525.22276359418697</v>
      </c>
      <c r="V22" s="62">
        <f t="shared" si="6"/>
        <v>300.97070261943816</v>
      </c>
      <c r="W22" s="62">
        <f t="shared" si="6"/>
        <v>414.46275471394893</v>
      </c>
      <c r="DA22" s="63" t="s">
        <v>95</v>
      </c>
    </row>
    <row r="23" spans="1:105" ht="11.4" customHeight="1" x14ac:dyDescent="0.35">
      <c r="A23" s="59" t="s">
        <v>82</v>
      </c>
      <c r="B23" s="60">
        <f>[1]TrAvia_act!B$9</f>
        <v>0.39172366016678484</v>
      </c>
      <c r="C23" s="60">
        <f>[1]TrAvia_act!C$9</f>
        <v>0.41211957488556195</v>
      </c>
      <c r="D23" s="60">
        <f>[1]TrAvia_act!D$9</f>
        <v>0.38472127495833575</v>
      </c>
      <c r="E23" s="60">
        <f>[1]TrAvia_act!E$9</f>
        <v>0.28773505338378291</v>
      </c>
      <c r="F23" s="60">
        <f>[1]TrAvia_act!F$9</f>
        <v>0.30105339581717916</v>
      </c>
      <c r="G23" s="60">
        <f>[1]TrAvia_act!G$9</f>
        <v>0.33328109776836573</v>
      </c>
      <c r="H23" s="60">
        <f>[1]TrAvia_act!H$9</f>
        <v>0.33346815466669566</v>
      </c>
      <c r="I23" s="60">
        <f>[1]TrAvia_act!I$9</f>
        <v>0.2698273485077764</v>
      </c>
      <c r="J23" s="60">
        <f>[1]TrAvia_act!J$9</f>
        <v>0.45761915652942836</v>
      </c>
      <c r="K23" s="60">
        <f>[1]TrAvia_act!K$9</f>
        <v>0.33392210029788355</v>
      </c>
      <c r="L23" s="60">
        <f>[1]TrAvia_act!L$9</f>
        <v>0.12517562277821262</v>
      </c>
      <c r="M23" s="60">
        <f>[1]TrAvia_act!M$9</f>
        <v>7.1719848184202628E-2</v>
      </c>
      <c r="N23" s="60">
        <f>[1]TrAvia_act!N$9</f>
        <v>5.7239893367400617E-2</v>
      </c>
      <c r="O23" s="60">
        <f>[1]TrAvia_act!O$9</f>
        <v>7.1353982102432559E-2</v>
      </c>
      <c r="P23" s="60">
        <f>[1]TrAvia_act!P$9</f>
        <v>8.6212950052164408E-2</v>
      </c>
      <c r="Q23" s="60">
        <f>[1]TrAvia_act!Q$9</f>
        <v>8.4131859703813122E-2</v>
      </c>
      <c r="R23" s="60">
        <f>[1]TrAvia_act!R$9</f>
        <v>2.4660009783207825E-2</v>
      </c>
      <c r="S23" s="60">
        <f>[1]TrAvia_act!S$9</f>
        <v>4.0384429238605649E-2</v>
      </c>
      <c r="T23" s="60">
        <f>[1]TrAvia_act!T$9</f>
        <v>5.6031012439184319E-2</v>
      </c>
      <c r="U23" s="60">
        <f>[1]TrAvia_act!U$9</f>
        <v>6.3298350329026185E-2</v>
      </c>
      <c r="V23" s="60">
        <f>[1]TrAvia_act!V$9</f>
        <v>7.7001122219437279E-2</v>
      </c>
      <c r="W23" s="60">
        <f>[1]TrAvia_act!W$9</f>
        <v>0.13964973004104073</v>
      </c>
      <c r="DA23" s="49" t="s">
        <v>96</v>
      </c>
    </row>
    <row r="24" spans="1:105" ht="11.4" customHeight="1" x14ac:dyDescent="0.35">
      <c r="A24" s="59" t="s">
        <v>84</v>
      </c>
      <c r="B24" s="60">
        <f>[1]TrAvia_act!B$10</f>
        <v>42.905083456148169</v>
      </c>
      <c r="C24" s="60">
        <f>[1]TrAvia_act!C$10</f>
        <v>46.931066716378098</v>
      </c>
      <c r="D24" s="60">
        <f>[1]TrAvia_act!D$10</f>
        <v>41.43212304203864</v>
      </c>
      <c r="E24" s="60">
        <f>[1]TrAvia_act!E$10</f>
        <v>30.287155976302785</v>
      </c>
      <c r="F24" s="60">
        <f>[1]TrAvia_act!F$10</f>
        <v>30.628589715144848</v>
      </c>
      <c r="G24" s="60">
        <f>[1]TrAvia_act!G$10</f>
        <v>35.80812073868649</v>
      </c>
      <c r="H24" s="60">
        <f>[1]TrAvia_act!H$10</f>
        <v>37.802768006542145</v>
      </c>
      <c r="I24" s="60">
        <f>[1]TrAvia_act!I$10</f>
        <v>34.545832813210581</v>
      </c>
      <c r="J24" s="60">
        <f>[1]TrAvia_act!J$10</f>
        <v>73.007463946440822</v>
      </c>
      <c r="K24" s="60">
        <f>[1]TrAvia_act!K$10</f>
        <v>51.799427558787741</v>
      </c>
      <c r="L24" s="60">
        <f>[1]TrAvia_act!L$10</f>
        <v>37.374545680705971</v>
      </c>
      <c r="M24" s="60">
        <f>[1]TrAvia_act!M$10</f>
        <v>37.565584873698235</v>
      </c>
      <c r="N24" s="60">
        <f>[1]TrAvia_act!N$10</f>
        <v>36.27117486315769</v>
      </c>
      <c r="O24" s="60">
        <f>[1]TrAvia_act!O$10</f>
        <v>30.523839864007151</v>
      </c>
      <c r="P24" s="60">
        <f>[1]TrAvia_act!P$10</f>
        <v>50.036327319758321</v>
      </c>
      <c r="Q24" s="60">
        <f>[1]TrAvia_act!Q$10</f>
        <v>48.248824660922544</v>
      </c>
      <c r="R24" s="60">
        <f>[1]TrAvia_act!R$10</f>
        <v>42.029275036124417</v>
      </c>
      <c r="S24" s="60">
        <f>[1]TrAvia_act!S$10</f>
        <v>46.221980594383972</v>
      </c>
      <c r="T24" s="60">
        <f>[1]TrAvia_act!T$10</f>
        <v>46.669987420462135</v>
      </c>
      <c r="U24" s="60">
        <f>[1]TrAvia_act!U$10</f>
        <v>53.690768159436494</v>
      </c>
      <c r="V24" s="60">
        <f>[1]TrAvia_act!V$10</f>
        <v>51.588895265861069</v>
      </c>
      <c r="W24" s="60">
        <f>[1]TrAvia_act!W$10</f>
        <v>75.077321550225236</v>
      </c>
      <c r="DA24" s="49" t="s">
        <v>97</v>
      </c>
    </row>
    <row r="25" spans="1:105" ht="11.4" customHeight="1" x14ac:dyDescent="0.35">
      <c r="A25" s="59" t="s">
        <v>86</v>
      </c>
      <c r="B25" s="60">
        <f>[1]TrAvia_act!B$11</f>
        <v>8.0154785904303658</v>
      </c>
      <c r="C25" s="60">
        <f>[1]TrAvia_act!C$11</f>
        <v>8.8632524525693519</v>
      </c>
      <c r="D25" s="60">
        <f>[1]TrAvia_act!D$11</f>
        <v>9.692331037457814</v>
      </c>
      <c r="E25" s="60">
        <f>[1]TrAvia_act!E$11</f>
        <v>9.6088750164835321</v>
      </c>
      <c r="F25" s="60">
        <f>[1]TrAvia_act!F$11</f>
        <v>9.3271537873730708</v>
      </c>
      <c r="G25" s="60">
        <f>[1]TrAvia_act!G$11</f>
        <v>6.2576858856908482</v>
      </c>
      <c r="H25" s="60">
        <f>[1]TrAvia_act!H$11</f>
        <v>3.1583090440325332</v>
      </c>
      <c r="I25" s="60">
        <f>[1]TrAvia_act!I$11</f>
        <v>3.553751432424245</v>
      </c>
      <c r="J25" s="60">
        <f>[1]TrAvia_act!J$11</f>
        <v>412.30371548016882</v>
      </c>
      <c r="K25" s="60">
        <f>[1]TrAvia_act!K$11</f>
        <v>343.45466408078465</v>
      </c>
      <c r="L25" s="60">
        <f>[1]TrAvia_act!L$11</f>
        <v>410.5199155368266</v>
      </c>
      <c r="M25" s="60">
        <f>[1]TrAvia_act!M$11</f>
        <v>413.41346485673722</v>
      </c>
      <c r="N25" s="60">
        <f>[1]TrAvia_act!N$11</f>
        <v>506.91094122109234</v>
      </c>
      <c r="O25" s="60">
        <f>[1]TrAvia_act!O$11</f>
        <v>441.86273207540222</v>
      </c>
      <c r="P25" s="60">
        <f>[1]TrAvia_act!P$11</f>
        <v>565.00375930087409</v>
      </c>
      <c r="Q25" s="60">
        <f>[1]TrAvia_act!Q$11</f>
        <v>517.3414655162303</v>
      </c>
      <c r="R25" s="60">
        <f>[1]TrAvia_act!R$11</f>
        <v>464.34767376332707</v>
      </c>
      <c r="S25" s="60">
        <f>[1]TrAvia_act!S$11</f>
        <v>510.45428372055852</v>
      </c>
      <c r="T25" s="60">
        <f>[1]TrAvia_act!T$11</f>
        <v>406.78995412945966</v>
      </c>
      <c r="U25" s="60">
        <f>[1]TrAvia_act!U$11</f>
        <v>471.46869708442148</v>
      </c>
      <c r="V25" s="60">
        <f>[1]TrAvia_act!V$11</f>
        <v>249.30480623135767</v>
      </c>
      <c r="W25" s="60">
        <f>[1]TrAvia_act!W$11</f>
        <v>339.24578343368262</v>
      </c>
      <c r="DA25" s="49" t="s">
        <v>98</v>
      </c>
    </row>
    <row r="26" spans="1:105" ht="11.4" customHeight="1" x14ac:dyDescent="0.35">
      <c r="A26" s="61" t="s">
        <v>99</v>
      </c>
      <c r="B26" s="62">
        <f t="shared" ref="B26:W26" si="7">B27+B28</f>
        <v>1533.1780000000001</v>
      </c>
      <c r="C26" s="62">
        <f t="shared" si="7"/>
        <v>1880.845</v>
      </c>
      <c r="D26" s="62">
        <f t="shared" si="7"/>
        <v>1666.383</v>
      </c>
      <c r="E26" s="62">
        <f t="shared" si="7"/>
        <v>1908.069</v>
      </c>
      <c r="F26" s="62">
        <f t="shared" si="7"/>
        <v>1803.4780000000001</v>
      </c>
      <c r="G26" s="62">
        <f t="shared" si="7"/>
        <v>2029.19</v>
      </c>
      <c r="H26" s="62">
        <f t="shared" si="7"/>
        <v>2309.768</v>
      </c>
      <c r="I26" s="62">
        <f t="shared" si="7"/>
        <v>2467.0030000000002</v>
      </c>
      <c r="J26" s="62">
        <f t="shared" si="7"/>
        <v>2350.4659999999999</v>
      </c>
      <c r="K26" s="62">
        <f t="shared" si="7"/>
        <v>1833.8969999999999</v>
      </c>
      <c r="L26" s="62">
        <f t="shared" si="7"/>
        <v>2060.0259999999998</v>
      </c>
      <c r="M26" s="62">
        <f t="shared" si="7"/>
        <v>2104.4740000000002</v>
      </c>
      <c r="N26" s="62">
        <f t="shared" si="7"/>
        <v>2158.645</v>
      </c>
      <c r="O26" s="62">
        <f t="shared" si="7"/>
        <v>1711.8040000000001</v>
      </c>
      <c r="P26" s="62">
        <f t="shared" si="7"/>
        <v>1730.8330000000001</v>
      </c>
      <c r="Q26" s="62">
        <f t="shared" si="7"/>
        <v>1838.3420000000001</v>
      </c>
      <c r="R26" s="62">
        <f t="shared" si="7"/>
        <v>1892.2349999999999</v>
      </c>
      <c r="S26" s="62">
        <f t="shared" si="7"/>
        <v>1736.6669999999999</v>
      </c>
      <c r="T26" s="62">
        <f t="shared" si="7"/>
        <v>1611.518</v>
      </c>
      <c r="U26" s="62">
        <f t="shared" si="7"/>
        <v>1637.075</v>
      </c>
      <c r="V26" s="62">
        <f t="shared" si="7"/>
        <v>1469.423</v>
      </c>
      <c r="W26" s="62">
        <f t="shared" si="7"/>
        <v>1515.1210000000001</v>
      </c>
      <c r="DA26" s="63" t="s">
        <v>100</v>
      </c>
    </row>
    <row r="27" spans="1:105" ht="11.4" customHeight="1" x14ac:dyDescent="0.35">
      <c r="A27" s="59" t="str">
        <f>[1]TrNavi_act!$A$4</f>
        <v>Domestic coastal shipping</v>
      </c>
      <c r="B27" s="60">
        <f>[1]TrNavi_act!B4</f>
        <v>1533.1780000000001</v>
      </c>
      <c r="C27" s="60">
        <f>[1]TrNavi_act!C4</f>
        <v>1880.845</v>
      </c>
      <c r="D27" s="60">
        <f>[1]TrNavi_act!D4</f>
        <v>1666.383</v>
      </c>
      <c r="E27" s="60">
        <f>[1]TrNavi_act!E4</f>
        <v>1908.069</v>
      </c>
      <c r="F27" s="60">
        <f>[1]TrNavi_act!F4</f>
        <v>1803.4780000000001</v>
      </c>
      <c r="G27" s="60">
        <f>[1]TrNavi_act!G4</f>
        <v>2029.19</v>
      </c>
      <c r="H27" s="60">
        <f>[1]TrNavi_act!H4</f>
        <v>2309.768</v>
      </c>
      <c r="I27" s="60">
        <f>[1]TrNavi_act!I4</f>
        <v>2467.0030000000002</v>
      </c>
      <c r="J27" s="60">
        <f>[1]TrNavi_act!J4</f>
        <v>2350.4659999999999</v>
      </c>
      <c r="K27" s="60">
        <f>[1]TrNavi_act!K4</f>
        <v>1833.8969999999999</v>
      </c>
      <c r="L27" s="60">
        <f>[1]TrNavi_act!L4</f>
        <v>2060.0259999999998</v>
      </c>
      <c r="M27" s="60">
        <f>[1]TrNavi_act!M4</f>
        <v>2104.4740000000002</v>
      </c>
      <c r="N27" s="60">
        <f>[1]TrNavi_act!N4</f>
        <v>2158.645</v>
      </c>
      <c r="O27" s="60">
        <f>[1]TrNavi_act!O4</f>
        <v>1711.8040000000001</v>
      </c>
      <c r="P27" s="60">
        <f>[1]TrNavi_act!P4</f>
        <v>1730.8330000000001</v>
      </c>
      <c r="Q27" s="60">
        <f>[1]TrNavi_act!Q4</f>
        <v>1838.3420000000001</v>
      </c>
      <c r="R27" s="60">
        <f>[1]TrNavi_act!R4</f>
        <v>1892.2349999999999</v>
      </c>
      <c r="S27" s="60">
        <f>[1]TrNavi_act!S4</f>
        <v>1736.6669999999999</v>
      </c>
      <c r="T27" s="60">
        <f>[1]TrNavi_act!T4</f>
        <v>1611.518</v>
      </c>
      <c r="U27" s="60">
        <f>[1]TrNavi_act!U4</f>
        <v>1637.075</v>
      </c>
      <c r="V27" s="60">
        <f>[1]TrNavi_act!V4</f>
        <v>1469.423</v>
      </c>
      <c r="W27" s="60">
        <f>[1]TrNavi_act!W4</f>
        <v>1515.1210000000001</v>
      </c>
      <c r="DA27" s="49" t="s">
        <v>101</v>
      </c>
    </row>
    <row r="28" spans="1:105" ht="11.4" customHeight="1" x14ac:dyDescent="0.35">
      <c r="A28" s="64" t="str">
        <f>[1]TrNavi_act!$A$5</f>
        <v>Inland waterways</v>
      </c>
      <c r="B28" s="65">
        <f>[1]TrNavi_act!B5</f>
        <v>0</v>
      </c>
      <c r="C28" s="65">
        <f>[1]TrNavi_act!C5</f>
        <v>0</v>
      </c>
      <c r="D28" s="65">
        <f>[1]TrNavi_act!D5</f>
        <v>0</v>
      </c>
      <c r="E28" s="65">
        <f>[1]TrNavi_act!E5</f>
        <v>0</v>
      </c>
      <c r="F28" s="65">
        <f>[1]TrNavi_act!F5</f>
        <v>0</v>
      </c>
      <c r="G28" s="65">
        <f>[1]TrNavi_act!G5</f>
        <v>0</v>
      </c>
      <c r="H28" s="65">
        <f>[1]TrNavi_act!H5</f>
        <v>0</v>
      </c>
      <c r="I28" s="65">
        <f>[1]TrNavi_act!I5</f>
        <v>0</v>
      </c>
      <c r="J28" s="65">
        <f>[1]TrNavi_act!J5</f>
        <v>0</v>
      </c>
      <c r="K28" s="65">
        <f>[1]TrNavi_act!K5</f>
        <v>0</v>
      </c>
      <c r="L28" s="65">
        <f>[1]TrNavi_act!L5</f>
        <v>0</v>
      </c>
      <c r="M28" s="65">
        <f>[1]TrNavi_act!M5</f>
        <v>0</v>
      </c>
      <c r="N28" s="65">
        <f>[1]TrNavi_act!N5</f>
        <v>0</v>
      </c>
      <c r="O28" s="65">
        <f>[1]TrNavi_act!O5</f>
        <v>0</v>
      </c>
      <c r="P28" s="65">
        <f>[1]TrNavi_act!P5</f>
        <v>0</v>
      </c>
      <c r="Q28" s="65">
        <f>[1]TrNavi_act!Q5</f>
        <v>0</v>
      </c>
      <c r="R28" s="65">
        <f>[1]TrNavi_act!R5</f>
        <v>0</v>
      </c>
      <c r="S28" s="65">
        <f>[1]TrNavi_act!S5</f>
        <v>0</v>
      </c>
      <c r="T28" s="65">
        <f>[1]TrNavi_act!T5</f>
        <v>0</v>
      </c>
      <c r="U28" s="65">
        <f>[1]TrNavi_act!U5</f>
        <v>0</v>
      </c>
      <c r="V28" s="65">
        <f>[1]TrNavi_act!V5</f>
        <v>0</v>
      </c>
      <c r="W28" s="65">
        <f>[1]TrNavi_act!W5</f>
        <v>0</v>
      </c>
      <c r="DA28" s="66" t="s">
        <v>102</v>
      </c>
    </row>
    <row r="29" spans="1:105" ht="11.4" customHeight="1" x14ac:dyDescent="0.35">
      <c r="A29" s="53" t="s">
        <v>103</v>
      </c>
      <c r="B29" s="54">
        <f t="shared" ref="B29:W29" si="8">B30+B31</f>
        <v>81281.350474000006</v>
      </c>
      <c r="C29" s="54">
        <f t="shared" si="8"/>
        <v>83300.365844999993</v>
      </c>
      <c r="D29" s="54">
        <f t="shared" si="8"/>
        <v>80390.999364999996</v>
      </c>
      <c r="E29" s="54">
        <f t="shared" si="8"/>
        <v>96936.547609999994</v>
      </c>
      <c r="F29" s="54">
        <f t="shared" si="8"/>
        <v>84397.889385999995</v>
      </c>
      <c r="G29" s="54">
        <f t="shared" si="8"/>
        <v>80544.611833999996</v>
      </c>
      <c r="H29" s="54">
        <f t="shared" si="8"/>
        <v>96164.465186999994</v>
      </c>
      <c r="I29" s="54">
        <f t="shared" si="8"/>
        <v>87471.137751999995</v>
      </c>
      <c r="J29" s="54">
        <f t="shared" si="8"/>
        <v>86604.176517999993</v>
      </c>
      <c r="K29" s="54">
        <f t="shared" si="8"/>
        <v>75123.024361999996</v>
      </c>
      <c r="L29" s="54">
        <f t="shared" si="8"/>
        <v>66644.663419999997</v>
      </c>
      <c r="M29" s="54">
        <f t="shared" si="8"/>
        <v>78704.202202</v>
      </c>
      <c r="N29" s="54">
        <f t="shared" si="8"/>
        <v>62277.062085999991</v>
      </c>
      <c r="O29" s="54">
        <f t="shared" si="8"/>
        <v>67340.631108999994</v>
      </c>
      <c r="P29" s="54">
        <f t="shared" si="8"/>
        <v>68401.123592999997</v>
      </c>
      <c r="Q29" s="54">
        <f t="shared" si="8"/>
        <v>89668.039063000004</v>
      </c>
      <c r="R29" s="54">
        <f t="shared" si="8"/>
        <v>89956.077061999997</v>
      </c>
      <c r="S29" s="54">
        <f t="shared" si="8"/>
        <v>86380.848404999997</v>
      </c>
      <c r="T29" s="54">
        <f t="shared" si="8"/>
        <v>88343.023238999987</v>
      </c>
      <c r="U29" s="54">
        <f t="shared" si="8"/>
        <v>99468.827713999999</v>
      </c>
      <c r="V29" s="54">
        <f t="shared" si="8"/>
        <v>99880.737265999996</v>
      </c>
      <c r="W29" s="54">
        <f t="shared" si="8"/>
        <v>103585.604693</v>
      </c>
      <c r="DA29" s="55" t="s">
        <v>104</v>
      </c>
    </row>
    <row r="30" spans="1:105" ht="11.4" customHeight="1" x14ac:dyDescent="0.35">
      <c r="A30" s="59" t="s">
        <v>105</v>
      </c>
      <c r="B30" s="60">
        <f>[1]MBunk_act!B$4</f>
        <v>21870.693569999999</v>
      </c>
      <c r="C30" s="60">
        <f>[1]MBunk_act!C$4</f>
        <v>21927.959705000001</v>
      </c>
      <c r="D30" s="60">
        <f>[1]MBunk_act!D$4</f>
        <v>22405.536512999999</v>
      </c>
      <c r="E30" s="60">
        <f>[1]MBunk_act!E$4</f>
        <v>23368.593140000001</v>
      </c>
      <c r="F30" s="60">
        <f>[1]MBunk_act!F$4</f>
        <v>24548.212125999999</v>
      </c>
      <c r="G30" s="60">
        <f>[1]MBunk_act!G$4</f>
        <v>24152.365811</v>
      </c>
      <c r="H30" s="60">
        <f>[1]MBunk_act!H$4</f>
        <v>22890.939374999998</v>
      </c>
      <c r="I30" s="60">
        <f>[1]MBunk_act!I$4</f>
        <v>22088.239190999997</v>
      </c>
      <c r="J30" s="60">
        <f>[1]MBunk_act!J$4</f>
        <v>22084.949102999999</v>
      </c>
      <c r="K30" s="60">
        <f>[1]MBunk_act!K$4</f>
        <v>19341.717707</v>
      </c>
      <c r="L30" s="60">
        <f>[1]MBunk_act!L$4</f>
        <v>19327.646912</v>
      </c>
      <c r="M30" s="60">
        <f>[1]MBunk_act!M$4</f>
        <v>18595.806786000001</v>
      </c>
      <c r="N30" s="60">
        <f>[1]MBunk_act!N$4</f>
        <v>18788.972609</v>
      </c>
      <c r="O30" s="60">
        <f>[1]MBunk_act!O$4</f>
        <v>22947.239063999998</v>
      </c>
      <c r="P30" s="60">
        <f>[1]MBunk_act!P$4</f>
        <v>20381.48486</v>
      </c>
      <c r="Q30" s="60">
        <f>[1]MBunk_act!Q$4</f>
        <v>21944.357226</v>
      </c>
      <c r="R30" s="60">
        <f>[1]MBunk_act!R$4</f>
        <v>22296.179255000003</v>
      </c>
      <c r="S30" s="60">
        <f>[1]MBunk_act!S$4</f>
        <v>21842.378266</v>
      </c>
      <c r="T30" s="60">
        <f>[1]MBunk_act!T$4</f>
        <v>20966.236641</v>
      </c>
      <c r="U30" s="60">
        <f>[1]MBunk_act!U$4</f>
        <v>22800.910378</v>
      </c>
      <c r="V30" s="60">
        <f>[1]MBunk_act!V$4</f>
        <v>22236.496229</v>
      </c>
      <c r="W30" s="60">
        <f>[1]MBunk_act!W$4</f>
        <v>22073.122051999999</v>
      </c>
      <c r="DA30" s="49" t="s">
        <v>106</v>
      </c>
    </row>
    <row r="31" spans="1:105" ht="11.4" customHeight="1" x14ac:dyDescent="0.35">
      <c r="A31" s="67" t="s">
        <v>107</v>
      </c>
      <c r="B31" s="68">
        <f>[1]MBunk_act!B$5</f>
        <v>59410.656904000003</v>
      </c>
      <c r="C31" s="68">
        <f>[1]MBunk_act!C$5</f>
        <v>61372.406139999999</v>
      </c>
      <c r="D31" s="68">
        <f>[1]MBunk_act!D$5</f>
        <v>57985.462852000004</v>
      </c>
      <c r="E31" s="68">
        <f>[1]MBunk_act!E$5</f>
        <v>73567.954469999997</v>
      </c>
      <c r="F31" s="68">
        <f>[1]MBunk_act!F$5</f>
        <v>59849.677259999997</v>
      </c>
      <c r="G31" s="68">
        <f>[1]MBunk_act!G$5</f>
        <v>56392.246023</v>
      </c>
      <c r="H31" s="68">
        <f>[1]MBunk_act!H$5</f>
        <v>73273.525811999993</v>
      </c>
      <c r="I31" s="68">
        <f>[1]MBunk_act!I$5</f>
        <v>65382.898561000002</v>
      </c>
      <c r="J31" s="68">
        <f>[1]MBunk_act!J$5</f>
        <v>64519.227415000001</v>
      </c>
      <c r="K31" s="68">
        <f>[1]MBunk_act!K$5</f>
        <v>55781.306655</v>
      </c>
      <c r="L31" s="68">
        <f>[1]MBunk_act!L$5</f>
        <v>47317.016508000001</v>
      </c>
      <c r="M31" s="68">
        <f>[1]MBunk_act!M$5</f>
        <v>60108.395415999999</v>
      </c>
      <c r="N31" s="68">
        <f>[1]MBunk_act!N$5</f>
        <v>43488.089476999994</v>
      </c>
      <c r="O31" s="68">
        <f>[1]MBunk_act!O$5</f>
        <v>44393.392045000001</v>
      </c>
      <c r="P31" s="68">
        <f>[1]MBunk_act!P$5</f>
        <v>48019.638733</v>
      </c>
      <c r="Q31" s="68">
        <f>[1]MBunk_act!Q$5</f>
        <v>67723.681836999996</v>
      </c>
      <c r="R31" s="68">
        <f>[1]MBunk_act!R$5</f>
        <v>67659.897807000001</v>
      </c>
      <c r="S31" s="68">
        <f>[1]MBunk_act!S$5</f>
        <v>64538.470138999997</v>
      </c>
      <c r="T31" s="68">
        <f>[1]MBunk_act!T$5</f>
        <v>67376.786597999991</v>
      </c>
      <c r="U31" s="68">
        <f>[1]MBunk_act!U$5</f>
        <v>76667.917335999999</v>
      </c>
      <c r="V31" s="68">
        <f>[1]MBunk_act!V$5</f>
        <v>77644.241037</v>
      </c>
      <c r="W31" s="68">
        <f>[1]MBunk_act!W$5</f>
        <v>81512.482640999995</v>
      </c>
      <c r="DA31" s="69" t="s">
        <v>108</v>
      </c>
    </row>
    <row r="32" spans="1:105" ht="11.4" customHeight="1" x14ac:dyDescent="0.3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DA32" s="49"/>
    </row>
    <row r="33" spans="1:105" ht="11.4" customHeight="1" x14ac:dyDescent="0.35">
      <c r="A33" s="50" t="s">
        <v>25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DA33" s="52"/>
    </row>
    <row r="34" spans="1:105" ht="11.4" customHeight="1" x14ac:dyDescent="0.35">
      <c r="A34" s="53" t="s">
        <v>109</v>
      </c>
      <c r="B34" s="54">
        <f t="shared" ref="B34:W34" si="9">B35+B39+B43</f>
        <v>3307.4592606837687</v>
      </c>
      <c r="C34" s="54">
        <f t="shared" si="9"/>
        <v>3281.56517599782</v>
      </c>
      <c r="D34" s="54">
        <f t="shared" si="9"/>
        <v>3197.6932109806448</v>
      </c>
      <c r="E34" s="54">
        <f t="shared" si="9"/>
        <v>3270.3024438502162</v>
      </c>
      <c r="F34" s="54">
        <f t="shared" si="9"/>
        <v>3380.4604083627901</v>
      </c>
      <c r="G34" s="54">
        <f t="shared" si="9"/>
        <v>3434.6098467717829</v>
      </c>
      <c r="H34" s="54">
        <f t="shared" si="9"/>
        <v>3465.8079578876709</v>
      </c>
      <c r="I34" s="54">
        <f t="shared" si="9"/>
        <v>3602.8953676587375</v>
      </c>
      <c r="J34" s="54">
        <f t="shared" si="9"/>
        <v>3533.3298187129762</v>
      </c>
      <c r="K34" s="54">
        <f t="shared" si="9"/>
        <v>3413.9375633865429</v>
      </c>
      <c r="L34" s="54">
        <f t="shared" si="9"/>
        <v>3442.0068776652661</v>
      </c>
      <c r="M34" s="54">
        <f t="shared" si="9"/>
        <v>3528.2427335666998</v>
      </c>
      <c r="N34" s="54">
        <f t="shared" si="9"/>
        <v>3384.7279977934463</v>
      </c>
      <c r="O34" s="54">
        <f t="shared" si="9"/>
        <v>3362.509464909132</v>
      </c>
      <c r="P34" s="54">
        <f t="shared" si="9"/>
        <v>3464.6566212985749</v>
      </c>
      <c r="Q34" s="54">
        <f t="shared" si="9"/>
        <v>3642.8289093294211</v>
      </c>
      <c r="R34" s="54">
        <f t="shared" si="9"/>
        <v>3700.7503504743545</v>
      </c>
      <c r="S34" s="54">
        <f t="shared" si="9"/>
        <v>3709.3707655233907</v>
      </c>
      <c r="T34" s="54">
        <f t="shared" si="9"/>
        <v>3809.0980407910001</v>
      </c>
      <c r="U34" s="54">
        <f t="shared" si="9"/>
        <v>3808.594752157976</v>
      </c>
      <c r="V34" s="54">
        <f t="shared" si="9"/>
        <v>2862.9627879720811</v>
      </c>
      <c r="W34" s="54">
        <f t="shared" si="9"/>
        <v>2976.300468774848</v>
      </c>
      <c r="DA34" s="55"/>
    </row>
    <row r="35" spans="1:105" ht="11.4" customHeight="1" x14ac:dyDescent="0.35">
      <c r="A35" s="56" t="str">
        <f>$A$5</f>
        <v>Road transport</v>
      </c>
      <c r="B35" s="57">
        <f t="shared" ref="B35:W35" si="10">B36+B37+B38</f>
        <v>2394.184376909534</v>
      </c>
      <c r="C35" s="57">
        <f t="shared" si="10"/>
        <v>2359.5889540498811</v>
      </c>
      <c r="D35" s="57">
        <f t="shared" si="10"/>
        <v>2385.6475710642389</v>
      </c>
      <c r="E35" s="57">
        <f t="shared" si="10"/>
        <v>2430.4543157334897</v>
      </c>
      <c r="F35" s="57">
        <f t="shared" si="10"/>
        <v>2443.9265461525515</v>
      </c>
      <c r="G35" s="57">
        <f t="shared" si="10"/>
        <v>2449.0673602637389</v>
      </c>
      <c r="H35" s="57">
        <f t="shared" si="10"/>
        <v>2476.5229216852849</v>
      </c>
      <c r="I35" s="57">
        <f t="shared" si="10"/>
        <v>2587.0711792727279</v>
      </c>
      <c r="J35" s="57">
        <f t="shared" si="10"/>
        <v>2572.2868332319031</v>
      </c>
      <c r="K35" s="57">
        <f t="shared" si="10"/>
        <v>2544.250111574609</v>
      </c>
      <c r="L35" s="57">
        <f t="shared" si="10"/>
        <v>2538.1358809534977</v>
      </c>
      <c r="M35" s="57">
        <f t="shared" si="10"/>
        <v>2602.416029905979</v>
      </c>
      <c r="N35" s="57">
        <f t="shared" si="10"/>
        <v>2458.2165939601327</v>
      </c>
      <c r="O35" s="57">
        <f t="shared" si="10"/>
        <v>2438.8506062469141</v>
      </c>
      <c r="P35" s="57">
        <f t="shared" si="10"/>
        <v>2480.0986684620925</v>
      </c>
      <c r="Q35" s="57">
        <f t="shared" si="10"/>
        <v>2674.7332876158098</v>
      </c>
      <c r="R35" s="57">
        <f t="shared" si="10"/>
        <v>2652.6199148314463</v>
      </c>
      <c r="S35" s="57">
        <f t="shared" si="10"/>
        <v>2635.6594929597331</v>
      </c>
      <c r="T35" s="57">
        <f t="shared" si="10"/>
        <v>2686.7991209251531</v>
      </c>
      <c r="U35" s="57">
        <f t="shared" si="10"/>
        <v>2666.3344426529657</v>
      </c>
      <c r="V35" s="57">
        <f t="shared" si="10"/>
        <v>2453.8208111985145</v>
      </c>
      <c r="W35" s="57">
        <f t="shared" si="10"/>
        <v>2483.6918582534449</v>
      </c>
      <c r="DA35" s="58" t="s">
        <v>110</v>
      </c>
    </row>
    <row r="36" spans="1:105" ht="11.4" customHeight="1" x14ac:dyDescent="0.35">
      <c r="A36" s="59" t="str">
        <f>$A$6</f>
        <v>Powered two-wheelers</v>
      </c>
      <c r="B36" s="60">
        <f>[1]TrRoad_ene!B$19</f>
        <v>23.705497959108364</v>
      </c>
      <c r="C36" s="60">
        <f>[1]TrRoad_ene!C$19</f>
        <v>22.334039574026558</v>
      </c>
      <c r="D36" s="60">
        <f>[1]TrRoad_ene!D$19</f>
        <v>23.087706824148658</v>
      </c>
      <c r="E36" s="60">
        <f>[1]TrRoad_ene!E$19</f>
        <v>23.24693578374352</v>
      </c>
      <c r="F36" s="60">
        <f>[1]TrRoad_ene!F$19</f>
        <v>23.012006130275079</v>
      </c>
      <c r="G36" s="60">
        <f>[1]TrRoad_ene!G$19</f>
        <v>23.252000512665834</v>
      </c>
      <c r="H36" s="60">
        <f>[1]TrRoad_ene!H$19</f>
        <v>24.150430160563218</v>
      </c>
      <c r="I36" s="60">
        <f>[1]TrRoad_ene!I$19</f>
        <v>25.423038059012608</v>
      </c>
      <c r="J36" s="60">
        <f>[1]TrRoad_ene!J$19</f>
        <v>25.140927795842163</v>
      </c>
      <c r="K36" s="60">
        <f>[1]TrRoad_ene!K$19</f>
        <v>23.991412693672956</v>
      </c>
      <c r="L36" s="60">
        <f>[1]TrRoad_ene!L$19</f>
        <v>23.846683998708187</v>
      </c>
      <c r="M36" s="60">
        <f>[1]TrRoad_ene!M$19</f>
        <v>23.565411948061278</v>
      </c>
      <c r="N36" s="60">
        <f>[1]TrRoad_ene!N$19</f>
        <v>23.657544590184635</v>
      </c>
      <c r="O36" s="60">
        <f>[1]TrRoad_ene!O$19</f>
        <v>23.73716922156191</v>
      </c>
      <c r="P36" s="60">
        <f>[1]TrRoad_ene!P$19</f>
        <v>24.077134049438857</v>
      </c>
      <c r="Q36" s="60">
        <f>[1]TrRoad_ene!Q$19</f>
        <v>24.127106992693992</v>
      </c>
      <c r="R36" s="60">
        <f>[1]TrRoad_ene!R$19</f>
        <v>23.947259301445957</v>
      </c>
      <c r="S36" s="60">
        <f>[1]TrRoad_ene!S$19</f>
        <v>22.266519880538606</v>
      </c>
      <c r="T36" s="60">
        <f>[1]TrRoad_ene!T$19</f>
        <v>20.998580957437749</v>
      </c>
      <c r="U36" s="60">
        <f>[1]TrRoad_ene!U$19</f>
        <v>21.705878441535958</v>
      </c>
      <c r="V36" s="60">
        <f>[1]TrRoad_ene!V$19</f>
        <v>19.244554543467839</v>
      </c>
      <c r="W36" s="60">
        <f>[1]TrRoad_ene!W$19</f>
        <v>19.048650815689985</v>
      </c>
      <c r="DA36" s="49" t="s">
        <v>111</v>
      </c>
    </row>
    <row r="37" spans="1:105" ht="11.4" customHeight="1" x14ac:dyDescent="0.35">
      <c r="A37" s="59" t="str">
        <f>$A$7</f>
        <v>Passenger cars</v>
      </c>
      <c r="B37" s="60">
        <f>[1]TrRoad_ene!B$21</f>
        <v>2026.7728999521639</v>
      </c>
      <c r="C37" s="60">
        <f>[1]TrRoad_ene!C$21</f>
        <v>2003.1332475872264</v>
      </c>
      <c r="D37" s="60">
        <f>[1]TrRoad_ene!D$21</f>
        <v>2036.7310887318481</v>
      </c>
      <c r="E37" s="60">
        <f>[1]TrRoad_ene!E$21</f>
        <v>2077.201641119143</v>
      </c>
      <c r="F37" s="60">
        <f>[1]TrRoad_ene!F$21</f>
        <v>2096.6248118199292</v>
      </c>
      <c r="G37" s="60">
        <f>[1]TrRoad_ene!G$21</f>
        <v>2098.6091795134657</v>
      </c>
      <c r="H37" s="60">
        <f>[1]TrRoad_ene!H$21</f>
        <v>2122.874232014975</v>
      </c>
      <c r="I37" s="60">
        <f>[1]TrRoad_ene!I$21</f>
        <v>2235.8474003229649</v>
      </c>
      <c r="J37" s="60">
        <f>[1]TrRoad_ene!J$21</f>
        <v>2216.557645206969</v>
      </c>
      <c r="K37" s="60">
        <f>[1]TrRoad_ene!K$21</f>
        <v>2183.8480058636601</v>
      </c>
      <c r="L37" s="60">
        <f>[1]TrRoad_ene!L$21</f>
        <v>2171.0737829216782</v>
      </c>
      <c r="M37" s="60">
        <f>[1]TrRoad_ene!M$21</f>
        <v>2243.6821847062015</v>
      </c>
      <c r="N37" s="60">
        <f>[1]TrRoad_ene!N$21</f>
        <v>2119.424596281784</v>
      </c>
      <c r="O37" s="60">
        <f>[1]TrRoad_ene!O$21</f>
        <v>2112.6198675336072</v>
      </c>
      <c r="P37" s="60">
        <f>[1]TrRoad_ene!P$21</f>
        <v>2142.0292683599741</v>
      </c>
      <c r="Q37" s="60">
        <f>[1]TrRoad_ene!Q$21</f>
        <v>2328.5563196169101</v>
      </c>
      <c r="R37" s="60">
        <f>[1]TrRoad_ene!R$21</f>
        <v>2294.9025519524903</v>
      </c>
      <c r="S37" s="60">
        <f>[1]TrRoad_ene!S$21</f>
        <v>2263.6764088656632</v>
      </c>
      <c r="T37" s="60">
        <f>[1]TrRoad_ene!T$21</f>
        <v>2316.4696960881852</v>
      </c>
      <c r="U37" s="60">
        <f>[1]TrRoad_ene!U$21</f>
        <v>2303.0420911108231</v>
      </c>
      <c r="V37" s="60">
        <f>[1]TrRoad_ene!V$21</f>
        <v>2094.8822673257055</v>
      </c>
      <c r="W37" s="60">
        <f>[1]TrRoad_ene!W$21</f>
        <v>2124.5335855227499</v>
      </c>
      <c r="DA37" s="49" t="s">
        <v>112</v>
      </c>
    </row>
    <row r="38" spans="1:105" ht="11.4" customHeight="1" x14ac:dyDescent="0.35">
      <c r="A38" s="59" t="str">
        <f>$A$8</f>
        <v>Motor coaches, buses and trolley buses</v>
      </c>
      <c r="B38" s="60">
        <f>[1]TrRoad_ene!B$33</f>
        <v>343.70597899826163</v>
      </c>
      <c r="C38" s="60">
        <f>[1]TrRoad_ene!C$33</f>
        <v>334.12166688862828</v>
      </c>
      <c r="D38" s="60">
        <f>[1]TrRoad_ene!D$33</f>
        <v>325.82877550824202</v>
      </c>
      <c r="E38" s="60">
        <f>[1]TrRoad_ene!E$33</f>
        <v>330.00573883060332</v>
      </c>
      <c r="F38" s="60">
        <f>[1]TrRoad_ene!F$33</f>
        <v>324.28972820234748</v>
      </c>
      <c r="G38" s="60">
        <f>[1]TrRoad_ene!G$33</f>
        <v>327.20618023760761</v>
      </c>
      <c r="H38" s="60">
        <f>[1]TrRoad_ene!H$33</f>
        <v>329.49825950974667</v>
      </c>
      <c r="I38" s="60">
        <f>[1]TrRoad_ene!I$33</f>
        <v>325.80074089075055</v>
      </c>
      <c r="J38" s="60">
        <f>[1]TrRoad_ene!J$33</f>
        <v>330.58826022909153</v>
      </c>
      <c r="K38" s="60">
        <f>[1]TrRoad_ene!K$33</f>
        <v>336.41069301727595</v>
      </c>
      <c r="L38" s="60">
        <f>[1]TrRoad_ene!L$33</f>
        <v>343.21541403311147</v>
      </c>
      <c r="M38" s="60">
        <f>[1]TrRoad_ene!M$33</f>
        <v>335.16843325171624</v>
      </c>
      <c r="N38" s="60">
        <f>[1]TrRoad_ene!N$33</f>
        <v>315.13445308816449</v>
      </c>
      <c r="O38" s="60">
        <f>[1]TrRoad_ene!O$33</f>
        <v>302.49356949174506</v>
      </c>
      <c r="P38" s="60">
        <f>[1]TrRoad_ene!P$33</f>
        <v>313.99226605267944</v>
      </c>
      <c r="Q38" s="60">
        <f>[1]TrRoad_ene!Q$33</f>
        <v>322.04986100620573</v>
      </c>
      <c r="R38" s="60">
        <f>[1]TrRoad_ene!R$33</f>
        <v>333.77010357750976</v>
      </c>
      <c r="S38" s="60">
        <f>[1]TrRoad_ene!S$33</f>
        <v>349.71656421353134</v>
      </c>
      <c r="T38" s="60">
        <f>[1]TrRoad_ene!T$33</f>
        <v>349.33084387952999</v>
      </c>
      <c r="U38" s="60">
        <f>[1]TrRoad_ene!U$33</f>
        <v>341.5864731006069</v>
      </c>
      <c r="V38" s="60">
        <f>[1]TrRoad_ene!V$33</f>
        <v>339.69398932934126</v>
      </c>
      <c r="W38" s="60">
        <f>[1]TrRoad_ene!W$33</f>
        <v>340.10962191500494</v>
      </c>
      <c r="DA38" s="49" t="s">
        <v>113</v>
      </c>
    </row>
    <row r="39" spans="1:105" ht="11.4" customHeight="1" x14ac:dyDescent="0.35">
      <c r="A39" s="61" t="str">
        <f>$A$9</f>
        <v>Rail, metro and tram</v>
      </c>
      <c r="B39" s="62">
        <f t="shared" ref="B39:W39" si="11">B40+B41+B42</f>
        <v>89.871730930969861</v>
      </c>
      <c r="C39" s="62">
        <f t="shared" si="11"/>
        <v>85.365321944193013</v>
      </c>
      <c r="D39" s="62">
        <f t="shared" si="11"/>
        <v>88.050167592038036</v>
      </c>
      <c r="E39" s="62">
        <f t="shared" si="11"/>
        <v>89.420555670870797</v>
      </c>
      <c r="F39" s="62">
        <f t="shared" si="11"/>
        <v>88.190394146718518</v>
      </c>
      <c r="G39" s="62">
        <f t="shared" si="11"/>
        <v>94.5972550970246</v>
      </c>
      <c r="H39" s="62">
        <f t="shared" si="11"/>
        <v>94.65594155864747</v>
      </c>
      <c r="I39" s="62">
        <f t="shared" si="11"/>
        <v>93.943689166180036</v>
      </c>
      <c r="J39" s="62">
        <f t="shared" si="11"/>
        <v>98.109124545659952</v>
      </c>
      <c r="K39" s="62">
        <f t="shared" si="11"/>
        <v>98.844950225850894</v>
      </c>
      <c r="L39" s="62">
        <f t="shared" si="11"/>
        <v>101.08013896893516</v>
      </c>
      <c r="M39" s="62">
        <f t="shared" si="11"/>
        <v>100.90098312181274</v>
      </c>
      <c r="N39" s="62">
        <f t="shared" si="11"/>
        <v>102.21614707348188</v>
      </c>
      <c r="O39" s="62">
        <f t="shared" si="11"/>
        <v>100.91060630818114</v>
      </c>
      <c r="P39" s="62">
        <f t="shared" si="11"/>
        <v>102.38360121407389</v>
      </c>
      <c r="Q39" s="62">
        <f t="shared" si="11"/>
        <v>101.02410794131255</v>
      </c>
      <c r="R39" s="62">
        <f t="shared" si="11"/>
        <v>104.04838941463289</v>
      </c>
      <c r="S39" s="62">
        <f t="shared" si="11"/>
        <v>101.67741444535758</v>
      </c>
      <c r="T39" s="62">
        <f t="shared" si="11"/>
        <v>95.738804103252818</v>
      </c>
      <c r="U39" s="62">
        <f t="shared" si="11"/>
        <v>97.534824762967077</v>
      </c>
      <c r="V39" s="62">
        <f t="shared" si="11"/>
        <v>88.956313713878302</v>
      </c>
      <c r="W39" s="62">
        <f t="shared" si="11"/>
        <v>89.392958998558754</v>
      </c>
      <c r="DA39" s="63" t="s">
        <v>114</v>
      </c>
    </row>
    <row r="40" spans="1:105" ht="11.4" customHeight="1" x14ac:dyDescent="0.35">
      <c r="A40" s="59" t="str">
        <f>$A$10</f>
        <v>Metro and tram, urban light rail</v>
      </c>
      <c r="B40" s="60">
        <f>[1]TrRail_ene!B$12</f>
        <v>0</v>
      </c>
      <c r="C40" s="60">
        <f>[1]TrRail_ene!C$12</f>
        <v>0</v>
      </c>
      <c r="D40" s="60">
        <f>[1]TrRail_ene!D$12</f>
        <v>4.09618427296096E-2</v>
      </c>
      <c r="E40" s="60">
        <f>[1]TrRail_ene!E$12</f>
        <v>0.31247756389811876</v>
      </c>
      <c r="F40" s="60">
        <f>[1]TrRail_ene!F$12</f>
        <v>0.59371176122776581</v>
      </c>
      <c r="G40" s="60">
        <f>[1]TrRail_ene!G$12</f>
        <v>0.75592416902596504</v>
      </c>
      <c r="H40" s="60">
        <f>[1]TrRail_ene!H$12</f>
        <v>0.76062061087540023</v>
      </c>
      <c r="I40" s="60">
        <f>[1]TrRail_ene!I$12</f>
        <v>0.81070194974420673</v>
      </c>
      <c r="J40" s="60">
        <f>[1]TrRail_ene!J$12</f>
        <v>0.89186032652531155</v>
      </c>
      <c r="K40" s="60">
        <f>[1]TrRail_ene!K$12</f>
        <v>0.98315725228874595</v>
      </c>
      <c r="L40" s="60">
        <f>[1]TrRail_ene!L$12</f>
        <v>1.0817347674089566</v>
      </c>
      <c r="M40" s="60">
        <f>[1]TrRail_ene!M$12</f>
        <v>1.2529292518905577</v>
      </c>
      <c r="N40" s="60">
        <f>[1]TrRail_ene!N$12</f>
        <v>1.2188387591037089</v>
      </c>
      <c r="O40" s="60">
        <f>[1]TrRail_ene!O$12</f>
        <v>1.259612978879036</v>
      </c>
      <c r="P40" s="60">
        <f>[1]TrRail_ene!P$12</f>
        <v>1.3032468791469836</v>
      </c>
      <c r="Q40" s="60">
        <f>[1]TrRail_ene!Q$12</f>
        <v>1.3215202821987322</v>
      </c>
      <c r="R40" s="60">
        <f>[1]TrRail_ene!R$12</f>
        <v>1.4041380641794627</v>
      </c>
      <c r="S40" s="60">
        <f>[1]TrRail_ene!S$12</f>
        <v>1.4818147242265765</v>
      </c>
      <c r="T40" s="60">
        <f>[1]TrRail_ene!T$12</f>
        <v>1.5300035203189966</v>
      </c>
      <c r="U40" s="60">
        <f>[1]TrRail_ene!U$12</f>
        <v>1.746122418115319</v>
      </c>
      <c r="V40" s="60">
        <f>[1]TrRail_ene!V$12</f>
        <v>1.7440462392793343</v>
      </c>
      <c r="W40" s="60">
        <f>[1]TrRail_ene!W$12</f>
        <v>1.7549455070421456</v>
      </c>
      <c r="DA40" s="49" t="s">
        <v>115</v>
      </c>
    </row>
    <row r="41" spans="1:105" ht="11.4" customHeight="1" x14ac:dyDescent="0.35">
      <c r="A41" s="59" t="str">
        <f>$A$11</f>
        <v>Conventional passenger trains</v>
      </c>
      <c r="B41" s="60">
        <f>[1]TrRail_ene!B$13</f>
        <v>89.871730930969861</v>
      </c>
      <c r="C41" s="60">
        <f>[1]TrRail_ene!C$13</f>
        <v>85.365321944193013</v>
      </c>
      <c r="D41" s="60">
        <f>[1]TrRail_ene!D$13</f>
        <v>88.009205749308421</v>
      </c>
      <c r="E41" s="60">
        <f>[1]TrRail_ene!E$13</f>
        <v>89.108078106972684</v>
      </c>
      <c r="F41" s="60">
        <f>[1]TrRail_ene!F$13</f>
        <v>87.596682385490752</v>
      </c>
      <c r="G41" s="60">
        <f>[1]TrRail_ene!G$13</f>
        <v>93.841330927998641</v>
      </c>
      <c r="H41" s="60">
        <f>[1]TrRail_ene!H$13</f>
        <v>93.895320947772063</v>
      </c>
      <c r="I41" s="60">
        <f>[1]TrRail_ene!I$13</f>
        <v>93.132987216435822</v>
      </c>
      <c r="J41" s="60">
        <f>[1]TrRail_ene!J$13</f>
        <v>97.217264219134634</v>
      </c>
      <c r="K41" s="60">
        <f>[1]TrRail_ene!K$13</f>
        <v>97.861792973562146</v>
      </c>
      <c r="L41" s="60">
        <f>[1]TrRail_ene!L$13</f>
        <v>99.998404201526199</v>
      </c>
      <c r="M41" s="60">
        <f>[1]TrRail_ene!M$13</f>
        <v>99.64805386992218</v>
      </c>
      <c r="N41" s="60">
        <f>[1]TrRail_ene!N$13</f>
        <v>100.99730831437817</v>
      </c>
      <c r="O41" s="60">
        <f>[1]TrRail_ene!O$13</f>
        <v>99.650993329302111</v>
      </c>
      <c r="P41" s="60">
        <f>[1]TrRail_ene!P$13</f>
        <v>101.08035433492691</v>
      </c>
      <c r="Q41" s="60">
        <f>[1]TrRail_ene!Q$13</f>
        <v>99.702587659113817</v>
      </c>
      <c r="R41" s="60">
        <f>[1]TrRail_ene!R$13</f>
        <v>102.64425135045343</v>
      </c>
      <c r="S41" s="60">
        <f>[1]TrRail_ene!S$13</f>
        <v>100.195599721131</v>
      </c>
      <c r="T41" s="60">
        <f>[1]TrRail_ene!T$13</f>
        <v>94.208800582933819</v>
      </c>
      <c r="U41" s="60">
        <f>[1]TrRail_ene!U$13</f>
        <v>95.788702344851757</v>
      </c>
      <c r="V41" s="60">
        <f>[1]TrRail_ene!V$13</f>
        <v>87.212267474598974</v>
      </c>
      <c r="W41" s="60">
        <f>[1]TrRail_ene!W$13</f>
        <v>87.638013491516602</v>
      </c>
      <c r="DA41" s="49" t="s">
        <v>116</v>
      </c>
    </row>
    <row r="42" spans="1:105" ht="11.4" customHeight="1" x14ac:dyDescent="0.35">
      <c r="A42" s="59" t="str">
        <f>$A$12</f>
        <v>High speed passenger trains</v>
      </c>
      <c r="B42" s="60">
        <f>[1]TrRail_ene!B$16</f>
        <v>0</v>
      </c>
      <c r="C42" s="60">
        <f>[1]TrRail_ene!C$16</f>
        <v>0</v>
      </c>
      <c r="D42" s="60">
        <f>[1]TrRail_ene!D$16</f>
        <v>0</v>
      </c>
      <c r="E42" s="60">
        <f>[1]TrRail_ene!E$16</f>
        <v>0</v>
      </c>
      <c r="F42" s="60">
        <f>[1]TrRail_ene!F$16</f>
        <v>0</v>
      </c>
      <c r="G42" s="60">
        <f>[1]TrRail_ene!G$16</f>
        <v>0</v>
      </c>
      <c r="H42" s="60">
        <f>[1]TrRail_ene!H$16</f>
        <v>0</v>
      </c>
      <c r="I42" s="60">
        <f>[1]TrRail_ene!I$16</f>
        <v>0</v>
      </c>
      <c r="J42" s="60">
        <f>[1]TrRail_ene!J$16</f>
        <v>0</v>
      </c>
      <c r="K42" s="60">
        <f>[1]TrRail_ene!K$16</f>
        <v>0</v>
      </c>
      <c r="L42" s="60">
        <f>[1]TrRail_ene!L$16</f>
        <v>0</v>
      </c>
      <c r="M42" s="60">
        <f>[1]TrRail_ene!M$16</f>
        <v>0</v>
      </c>
      <c r="N42" s="60">
        <f>[1]TrRail_ene!N$16</f>
        <v>0</v>
      </c>
      <c r="O42" s="60">
        <f>[1]TrRail_ene!O$16</f>
        <v>0</v>
      </c>
      <c r="P42" s="60">
        <f>[1]TrRail_ene!P$16</f>
        <v>0</v>
      </c>
      <c r="Q42" s="60">
        <f>[1]TrRail_ene!Q$16</f>
        <v>0</v>
      </c>
      <c r="R42" s="60">
        <f>[1]TrRail_ene!R$16</f>
        <v>0</v>
      </c>
      <c r="S42" s="60">
        <f>[1]TrRail_ene!S$16</f>
        <v>0</v>
      </c>
      <c r="T42" s="60">
        <f>[1]TrRail_ene!T$16</f>
        <v>0</v>
      </c>
      <c r="U42" s="60">
        <f>[1]TrRail_ene!U$16</f>
        <v>0</v>
      </c>
      <c r="V42" s="60">
        <f>[1]TrRail_ene!V$16</f>
        <v>0</v>
      </c>
      <c r="W42" s="60">
        <f>[1]TrRail_ene!W$16</f>
        <v>0</v>
      </c>
      <c r="DA42" s="49" t="s">
        <v>117</v>
      </c>
    </row>
    <row r="43" spans="1:105" ht="11.4" customHeight="1" x14ac:dyDescent="0.35">
      <c r="A43" s="61" t="str">
        <f>$A$13</f>
        <v>Aviation</v>
      </c>
      <c r="B43" s="62">
        <f t="shared" ref="B43:W43" si="12">B44+B45+B46</f>
        <v>823.40315284326448</v>
      </c>
      <c r="C43" s="62">
        <f t="shared" si="12"/>
        <v>836.61090000374611</v>
      </c>
      <c r="D43" s="62">
        <f t="shared" si="12"/>
        <v>723.99547232436794</v>
      </c>
      <c r="E43" s="62">
        <f t="shared" si="12"/>
        <v>750.4275724458555</v>
      </c>
      <c r="F43" s="62">
        <f t="shared" si="12"/>
        <v>848.34346806352028</v>
      </c>
      <c r="G43" s="62">
        <f t="shared" si="12"/>
        <v>890.94523141101922</v>
      </c>
      <c r="H43" s="62">
        <f t="shared" si="12"/>
        <v>894.62909464373831</v>
      </c>
      <c r="I43" s="62">
        <f t="shared" si="12"/>
        <v>921.88049921982986</v>
      </c>
      <c r="J43" s="62">
        <f t="shared" si="12"/>
        <v>862.93386093541301</v>
      </c>
      <c r="K43" s="62">
        <f t="shared" si="12"/>
        <v>770.84250158608302</v>
      </c>
      <c r="L43" s="62">
        <f t="shared" si="12"/>
        <v>802.79085774283362</v>
      </c>
      <c r="M43" s="62">
        <f t="shared" si="12"/>
        <v>824.92572053890819</v>
      </c>
      <c r="N43" s="62">
        <f t="shared" si="12"/>
        <v>824.29525675983177</v>
      </c>
      <c r="O43" s="62">
        <f t="shared" si="12"/>
        <v>822.74825235403671</v>
      </c>
      <c r="P43" s="62">
        <f t="shared" si="12"/>
        <v>882.17435162240872</v>
      </c>
      <c r="Q43" s="62">
        <f t="shared" si="12"/>
        <v>867.07151377229866</v>
      </c>
      <c r="R43" s="62">
        <f t="shared" si="12"/>
        <v>944.08204622827566</v>
      </c>
      <c r="S43" s="62">
        <f t="shared" si="12"/>
        <v>972.03385811830015</v>
      </c>
      <c r="T43" s="62">
        <f t="shared" si="12"/>
        <v>1026.5601157625943</v>
      </c>
      <c r="U43" s="62">
        <f t="shared" si="12"/>
        <v>1044.7254847420431</v>
      </c>
      <c r="V43" s="62">
        <f t="shared" si="12"/>
        <v>320.18566305968818</v>
      </c>
      <c r="W43" s="62">
        <f t="shared" si="12"/>
        <v>403.21565152284427</v>
      </c>
      <c r="DA43" s="63" t="s">
        <v>118</v>
      </c>
    </row>
    <row r="44" spans="1:105" ht="11.4" customHeight="1" x14ac:dyDescent="0.35">
      <c r="A44" s="59" t="str">
        <f>$A$14</f>
        <v>Domestic</v>
      </c>
      <c r="B44" s="60">
        <f>[1]TrAvia_ene!B$7</f>
        <v>46.518694134263129</v>
      </c>
      <c r="C44" s="60">
        <f>[1]TrAvia_ene!C$7</f>
        <v>47.542946982934829</v>
      </c>
      <c r="D44" s="60">
        <f>[1]TrAvia_ene!D$7</f>
        <v>39.302074620897528</v>
      </c>
      <c r="E44" s="60">
        <f>[1]TrAvia_ene!E$7</f>
        <v>38.345082498809049</v>
      </c>
      <c r="F44" s="60">
        <f>[1]TrAvia_ene!F$7</f>
        <v>32.145995717365345</v>
      </c>
      <c r="G44" s="60">
        <f>[1]TrAvia_ene!G$7</f>
        <v>34.202785503090944</v>
      </c>
      <c r="H44" s="60">
        <f>[1]TrAvia_ene!H$7</f>
        <v>36.257862173756955</v>
      </c>
      <c r="I44" s="60">
        <f>[1]TrAvia_ene!I$7</f>
        <v>42.484730805414863</v>
      </c>
      <c r="J44" s="60">
        <f>[1]TrAvia_ene!J$7</f>
        <v>44.435310698950808</v>
      </c>
      <c r="K44" s="60">
        <f>[1]TrAvia_ene!K$7</f>
        <v>44.456889458139642</v>
      </c>
      <c r="L44" s="60">
        <f>[1]TrAvia_ene!L$7</f>
        <v>46.660095618340186</v>
      </c>
      <c r="M44" s="60">
        <f>[1]TrAvia_ene!M$7</f>
        <v>44.626663321550886</v>
      </c>
      <c r="N44" s="60">
        <f>[1]TrAvia_ene!N$7</f>
        <v>38.393818155638776</v>
      </c>
      <c r="O44" s="60">
        <f>[1]TrAvia_ene!O$7</f>
        <v>37.353395088861141</v>
      </c>
      <c r="P44" s="60">
        <f>[1]TrAvia_ene!P$7</f>
        <v>36.318256640179207</v>
      </c>
      <c r="Q44" s="60">
        <f>[1]TrAvia_ene!Q$7</f>
        <v>33.740119295318955</v>
      </c>
      <c r="R44" s="60">
        <f>[1]TrAvia_ene!R$7</f>
        <v>35.058728458456578</v>
      </c>
      <c r="S44" s="60">
        <f>[1]TrAvia_ene!S$7</f>
        <v>33.457683369515891</v>
      </c>
      <c r="T44" s="60">
        <f>[1]TrAvia_ene!T$7</f>
        <v>31.661774931035541</v>
      </c>
      <c r="U44" s="60">
        <f>[1]TrAvia_ene!U$7</f>
        <v>31.764557743491224</v>
      </c>
      <c r="V44" s="60">
        <f>[1]TrAvia_ene!V$7</f>
        <v>17.041705069313146</v>
      </c>
      <c r="W44" s="60">
        <f>[1]TrAvia_ene!W$7</f>
        <v>18.240787122025473</v>
      </c>
      <c r="DA44" s="49" t="s">
        <v>119</v>
      </c>
    </row>
    <row r="45" spans="1:105" ht="11.4" customHeight="1" x14ac:dyDescent="0.35">
      <c r="A45" s="59" t="str">
        <f>$A$15</f>
        <v>International - Intra-EEAwUK</v>
      </c>
      <c r="B45" s="60">
        <f>[1]TrAvia_ene!B$8</f>
        <v>437.88959573977871</v>
      </c>
      <c r="C45" s="60">
        <f>[1]TrAvia_ene!C$8</f>
        <v>444.7515106874983</v>
      </c>
      <c r="D45" s="60">
        <f>[1]TrAvia_ene!D$8</f>
        <v>402.43666734145893</v>
      </c>
      <c r="E45" s="60">
        <f>[1]TrAvia_ene!E$8</f>
        <v>424.01103517259531</v>
      </c>
      <c r="F45" s="60">
        <f>[1]TrAvia_ene!F$8</f>
        <v>469.25399046303369</v>
      </c>
      <c r="G45" s="60">
        <f>[1]TrAvia_ene!G$8</f>
        <v>490.36003615241128</v>
      </c>
      <c r="H45" s="60">
        <f>[1]TrAvia_ene!H$8</f>
        <v>494.95945706970787</v>
      </c>
      <c r="I45" s="60">
        <f>[1]TrAvia_ene!I$8</f>
        <v>512.92330564860617</v>
      </c>
      <c r="J45" s="60">
        <f>[1]TrAvia_ene!J$8</f>
        <v>476.53297891364605</v>
      </c>
      <c r="K45" s="60">
        <f>[1]TrAvia_ene!K$8</f>
        <v>408.8696623318595</v>
      </c>
      <c r="L45" s="60">
        <f>[1]TrAvia_ene!L$8</f>
        <v>423.06013518215968</v>
      </c>
      <c r="M45" s="60">
        <f>[1]TrAvia_ene!M$8</f>
        <v>438.47827678723405</v>
      </c>
      <c r="N45" s="60">
        <f>[1]TrAvia_ene!N$8</f>
        <v>438.00948312880394</v>
      </c>
      <c r="O45" s="60">
        <f>[1]TrAvia_ene!O$8</f>
        <v>439.04688135298278</v>
      </c>
      <c r="P45" s="60">
        <f>[1]TrAvia_ene!P$8</f>
        <v>474.3282022564689</v>
      </c>
      <c r="Q45" s="60">
        <f>[1]TrAvia_ene!Q$8</f>
        <v>470.62805171809333</v>
      </c>
      <c r="R45" s="60">
        <f>[1]TrAvia_ene!R$8</f>
        <v>528.47211404824156</v>
      </c>
      <c r="S45" s="60">
        <f>[1]TrAvia_ene!S$8</f>
        <v>549.1639114984614</v>
      </c>
      <c r="T45" s="60">
        <f>[1]TrAvia_ene!T$8</f>
        <v>577.22782990725375</v>
      </c>
      <c r="U45" s="60">
        <f>[1]TrAvia_ene!U$8</f>
        <v>576.86913357685387</v>
      </c>
      <c r="V45" s="60">
        <f>[1]TrAvia_ene!V$8</f>
        <v>150.71755051577895</v>
      </c>
      <c r="W45" s="60">
        <f>[1]TrAvia_ene!W$8</f>
        <v>204.52316394970336</v>
      </c>
      <c r="DA45" s="49" t="s">
        <v>120</v>
      </c>
    </row>
    <row r="46" spans="1:105" ht="11.4" customHeight="1" x14ac:dyDescent="0.35">
      <c r="A46" s="59" t="str">
        <f>$A$16</f>
        <v>International - Extra-EEAwUK</v>
      </c>
      <c r="B46" s="60">
        <f>[1]TrAvia_ene!B$9</f>
        <v>338.99486296922271</v>
      </c>
      <c r="C46" s="60">
        <f>[1]TrAvia_ene!C$9</f>
        <v>344.31644233331292</v>
      </c>
      <c r="D46" s="60">
        <f>[1]TrAvia_ene!D$9</f>
        <v>282.25673036201141</v>
      </c>
      <c r="E46" s="60">
        <f>[1]TrAvia_ene!E$9</f>
        <v>288.07145477445107</v>
      </c>
      <c r="F46" s="60">
        <f>[1]TrAvia_ene!F$9</f>
        <v>346.94348188312119</v>
      </c>
      <c r="G46" s="60">
        <f>[1]TrAvia_ene!G$9</f>
        <v>366.38240975551702</v>
      </c>
      <c r="H46" s="60">
        <f>[1]TrAvia_ene!H$9</f>
        <v>363.41177540027354</v>
      </c>
      <c r="I46" s="60">
        <f>[1]TrAvia_ene!I$9</f>
        <v>366.47246276580881</v>
      </c>
      <c r="J46" s="60">
        <f>[1]TrAvia_ene!J$9</f>
        <v>341.96557132281612</v>
      </c>
      <c r="K46" s="60">
        <f>[1]TrAvia_ene!K$9</f>
        <v>317.51594979608387</v>
      </c>
      <c r="L46" s="60">
        <f>[1]TrAvia_ene!L$9</f>
        <v>333.07062694233372</v>
      </c>
      <c r="M46" s="60">
        <f>[1]TrAvia_ene!M$9</f>
        <v>341.82078043012325</v>
      </c>
      <c r="N46" s="60">
        <f>[1]TrAvia_ene!N$9</f>
        <v>347.89195547538901</v>
      </c>
      <c r="O46" s="60">
        <f>[1]TrAvia_ene!O$9</f>
        <v>346.34797591219279</v>
      </c>
      <c r="P46" s="60">
        <f>[1]TrAvia_ene!P$9</f>
        <v>371.52789272576069</v>
      </c>
      <c r="Q46" s="60">
        <f>[1]TrAvia_ene!Q$9</f>
        <v>362.70334275888632</v>
      </c>
      <c r="R46" s="60">
        <f>[1]TrAvia_ene!R$9</f>
        <v>380.55120372157756</v>
      </c>
      <c r="S46" s="60">
        <f>[1]TrAvia_ene!S$9</f>
        <v>389.41226325032289</v>
      </c>
      <c r="T46" s="60">
        <f>[1]TrAvia_ene!T$9</f>
        <v>417.67051092430506</v>
      </c>
      <c r="U46" s="60">
        <f>[1]TrAvia_ene!U$9</f>
        <v>436.09179342169813</v>
      </c>
      <c r="V46" s="60">
        <f>[1]TrAvia_ene!V$9</f>
        <v>152.42640747459606</v>
      </c>
      <c r="W46" s="60">
        <f>[1]TrAvia_ene!W$9</f>
        <v>180.45170045111544</v>
      </c>
      <c r="DA46" s="49" t="s">
        <v>121</v>
      </c>
    </row>
    <row r="47" spans="1:105" ht="11.4" customHeight="1" x14ac:dyDescent="0.35">
      <c r="A47" s="53" t="s">
        <v>122</v>
      </c>
      <c r="B47" s="54">
        <f t="shared" ref="B47:W47" si="13">B48+B51+B52+B56</f>
        <v>1481.8392775793443</v>
      </c>
      <c r="C47" s="54">
        <f t="shared" si="13"/>
        <v>1549.192175678877</v>
      </c>
      <c r="D47" s="54">
        <f t="shared" si="13"/>
        <v>1577.9146995954511</v>
      </c>
      <c r="E47" s="54">
        <f t="shared" si="13"/>
        <v>1685.5958364593275</v>
      </c>
      <c r="F47" s="54">
        <f t="shared" si="13"/>
        <v>1776.0900645520844</v>
      </c>
      <c r="G47" s="54">
        <f t="shared" si="13"/>
        <v>1831.0655616547006</v>
      </c>
      <c r="H47" s="54">
        <f t="shared" si="13"/>
        <v>1899.9081212180897</v>
      </c>
      <c r="I47" s="54">
        <f t="shared" si="13"/>
        <v>1963.1514939061803</v>
      </c>
      <c r="J47" s="54">
        <f t="shared" si="13"/>
        <v>1978.3473094039634</v>
      </c>
      <c r="K47" s="54">
        <f t="shared" si="13"/>
        <v>1748.7890116288029</v>
      </c>
      <c r="L47" s="54">
        <f t="shared" si="13"/>
        <v>1716.892326450444</v>
      </c>
      <c r="M47" s="54">
        <f t="shared" si="13"/>
        <v>1641.7323244387139</v>
      </c>
      <c r="N47" s="54">
        <f t="shared" si="13"/>
        <v>1517.6582271689415</v>
      </c>
      <c r="O47" s="54">
        <f t="shared" si="13"/>
        <v>1463.8374326886403</v>
      </c>
      <c r="P47" s="54">
        <f t="shared" si="13"/>
        <v>1464.9424708477777</v>
      </c>
      <c r="Q47" s="54">
        <f t="shared" si="13"/>
        <v>1421.1417871966523</v>
      </c>
      <c r="R47" s="54">
        <f t="shared" si="13"/>
        <v>1483.3143059870099</v>
      </c>
      <c r="S47" s="54">
        <f t="shared" si="13"/>
        <v>1494.8161283877296</v>
      </c>
      <c r="T47" s="54">
        <f t="shared" si="13"/>
        <v>1520.5650794721764</v>
      </c>
      <c r="U47" s="54">
        <f t="shared" si="13"/>
        <v>1473.5548031215928</v>
      </c>
      <c r="V47" s="54">
        <f t="shared" si="13"/>
        <v>1407.5898289701486</v>
      </c>
      <c r="W47" s="54">
        <f t="shared" si="13"/>
        <v>1482.6813204769985</v>
      </c>
      <c r="DA47" s="55"/>
    </row>
    <row r="48" spans="1:105" ht="11.4" customHeight="1" x14ac:dyDescent="0.35">
      <c r="A48" s="56" t="str">
        <f>$A$18</f>
        <v>Road transport</v>
      </c>
      <c r="B48" s="57">
        <f t="shared" ref="B48:W48" si="14">B49+B50</f>
        <v>1297.1550899864249</v>
      </c>
      <c r="C48" s="57">
        <f t="shared" si="14"/>
        <v>1358.6827570421215</v>
      </c>
      <c r="D48" s="57">
        <f t="shared" si="14"/>
        <v>1369.6286112229491</v>
      </c>
      <c r="E48" s="57">
        <f t="shared" si="14"/>
        <v>1480.8359680154344</v>
      </c>
      <c r="F48" s="57">
        <f t="shared" si="14"/>
        <v>1591.1050101673104</v>
      </c>
      <c r="G48" s="57">
        <f t="shared" si="14"/>
        <v>1619.0634221954185</v>
      </c>
      <c r="H48" s="57">
        <f t="shared" si="14"/>
        <v>1705.6544643852221</v>
      </c>
      <c r="I48" s="57">
        <f t="shared" si="14"/>
        <v>1792.3355275200493</v>
      </c>
      <c r="J48" s="57">
        <f t="shared" si="14"/>
        <v>1704.196399786154</v>
      </c>
      <c r="K48" s="57">
        <f t="shared" si="14"/>
        <v>1510.1836861406509</v>
      </c>
      <c r="L48" s="57">
        <f t="shared" si="14"/>
        <v>1497.5401933255835</v>
      </c>
      <c r="M48" s="57">
        <f t="shared" si="14"/>
        <v>1427.0721837314213</v>
      </c>
      <c r="N48" s="57">
        <f t="shared" si="14"/>
        <v>1306.5513162989018</v>
      </c>
      <c r="O48" s="57">
        <f t="shared" si="14"/>
        <v>1258.3427229931626</v>
      </c>
      <c r="P48" s="57">
        <f t="shared" si="14"/>
        <v>1281.1259610875277</v>
      </c>
      <c r="Q48" s="57">
        <f t="shared" si="14"/>
        <v>1226.7681913694205</v>
      </c>
      <c r="R48" s="57">
        <f t="shared" si="14"/>
        <v>1315.9345094717073</v>
      </c>
      <c r="S48" s="57">
        <f t="shared" si="14"/>
        <v>1332.7663519402097</v>
      </c>
      <c r="T48" s="57">
        <f t="shared" si="14"/>
        <v>1364.6658909975245</v>
      </c>
      <c r="U48" s="57">
        <f t="shared" si="14"/>
        <v>1309.4421977512811</v>
      </c>
      <c r="V48" s="57">
        <f t="shared" si="14"/>
        <v>1249.7676612897167</v>
      </c>
      <c r="W48" s="57">
        <f t="shared" si="14"/>
        <v>1293.5585466475845</v>
      </c>
      <c r="DA48" s="58" t="s">
        <v>123</v>
      </c>
    </row>
    <row r="49" spans="1:105" ht="11.4" customHeight="1" x14ac:dyDescent="0.35">
      <c r="A49" s="59" t="str">
        <f>$A$19</f>
        <v>Light commercial vehicles</v>
      </c>
      <c r="B49" s="60">
        <f>[1]TrRoad_ene!B$43</f>
        <v>610.91696728133172</v>
      </c>
      <c r="C49" s="60">
        <f>[1]TrRoad_ene!C$43</f>
        <v>633.2874265401133</v>
      </c>
      <c r="D49" s="60">
        <f>[1]TrRoad_ene!D$43</f>
        <v>629.26736741611239</v>
      </c>
      <c r="E49" s="60">
        <f>[1]TrRoad_ene!E$43</f>
        <v>639.48831766263686</v>
      </c>
      <c r="F49" s="60">
        <f>[1]TrRoad_ene!F$43</f>
        <v>678.28833225621963</v>
      </c>
      <c r="G49" s="60">
        <f>[1]TrRoad_ene!G$43</f>
        <v>705.61659959780843</v>
      </c>
      <c r="H49" s="60">
        <f>[1]TrRoad_ene!H$43</f>
        <v>759.68930982578593</v>
      </c>
      <c r="I49" s="60">
        <f>[1]TrRoad_ene!I$43</f>
        <v>819.99695557687153</v>
      </c>
      <c r="J49" s="60">
        <f>[1]TrRoad_ene!J$43</f>
        <v>801.94304775994067</v>
      </c>
      <c r="K49" s="60">
        <f>[1]TrRoad_ene!K$43</f>
        <v>741.68812321722476</v>
      </c>
      <c r="L49" s="60">
        <f>[1]TrRoad_ene!L$43</f>
        <v>714.7294049155206</v>
      </c>
      <c r="M49" s="60">
        <f>[1]TrRoad_ene!M$43</f>
        <v>646.8909233461236</v>
      </c>
      <c r="N49" s="60">
        <f>[1]TrRoad_ene!N$43</f>
        <v>595.22615113830466</v>
      </c>
      <c r="O49" s="60">
        <f>[1]TrRoad_ene!O$43</f>
        <v>560.77008009540475</v>
      </c>
      <c r="P49" s="60">
        <f>[1]TrRoad_ene!P$43</f>
        <v>533.79225275448198</v>
      </c>
      <c r="Q49" s="60">
        <f>[1]TrRoad_ene!Q$43</f>
        <v>534.6252761628981</v>
      </c>
      <c r="R49" s="60">
        <f>[1]TrRoad_ene!R$43</f>
        <v>532.06429673578918</v>
      </c>
      <c r="S49" s="60">
        <f>[1]TrRoad_ene!S$43</f>
        <v>540.18574833511025</v>
      </c>
      <c r="T49" s="60">
        <f>[1]TrRoad_ene!T$43</f>
        <v>543.7833973002837</v>
      </c>
      <c r="U49" s="60">
        <f>[1]TrRoad_ene!U$43</f>
        <v>515.64896607661763</v>
      </c>
      <c r="V49" s="60">
        <f>[1]TrRoad_ene!V$43</f>
        <v>477.69802114168817</v>
      </c>
      <c r="W49" s="60">
        <f>[1]TrRoad_ene!W$43</f>
        <v>491.37265897169306</v>
      </c>
      <c r="DA49" s="49" t="s">
        <v>124</v>
      </c>
    </row>
    <row r="50" spans="1:105" ht="11.4" customHeight="1" x14ac:dyDescent="0.35">
      <c r="A50" s="59" t="str">
        <f>$A$20</f>
        <v>Heavy goods vehicles</v>
      </c>
      <c r="B50" s="60">
        <f>[1]TrRoad_ene!B$52</f>
        <v>686.23812270509313</v>
      </c>
      <c r="C50" s="60">
        <f>[1]TrRoad_ene!C$52</f>
        <v>725.39533050200816</v>
      </c>
      <c r="D50" s="60">
        <f>[1]TrRoad_ene!D$52</f>
        <v>740.3612438068368</v>
      </c>
      <c r="E50" s="60">
        <f>[1]TrRoad_ene!E$52</f>
        <v>841.34765035279747</v>
      </c>
      <c r="F50" s="60">
        <f>[1]TrRoad_ene!F$52</f>
        <v>912.81667791109066</v>
      </c>
      <c r="G50" s="60">
        <f>[1]TrRoad_ene!G$52</f>
        <v>913.44682259761009</v>
      </c>
      <c r="H50" s="60">
        <f>[1]TrRoad_ene!H$52</f>
        <v>945.96515455943609</v>
      </c>
      <c r="I50" s="60">
        <f>[1]TrRoad_ene!I$52</f>
        <v>972.33857194317761</v>
      </c>
      <c r="J50" s="60">
        <f>[1]TrRoad_ene!J$52</f>
        <v>902.25335202621341</v>
      </c>
      <c r="K50" s="60">
        <f>[1]TrRoad_ene!K$52</f>
        <v>768.49556292342618</v>
      </c>
      <c r="L50" s="60">
        <f>[1]TrRoad_ene!L$52</f>
        <v>782.81078841006286</v>
      </c>
      <c r="M50" s="60">
        <f>[1]TrRoad_ene!M$52</f>
        <v>780.18126038529783</v>
      </c>
      <c r="N50" s="60">
        <f>[1]TrRoad_ene!N$52</f>
        <v>711.32516516059707</v>
      </c>
      <c r="O50" s="60">
        <f>[1]TrRoad_ene!O$52</f>
        <v>697.57264289775787</v>
      </c>
      <c r="P50" s="60">
        <f>[1]TrRoad_ene!P$52</f>
        <v>747.33370833304559</v>
      </c>
      <c r="Q50" s="60">
        <f>[1]TrRoad_ene!Q$52</f>
        <v>692.1429152065225</v>
      </c>
      <c r="R50" s="60">
        <f>[1]TrRoad_ene!R$52</f>
        <v>783.87021273591813</v>
      </c>
      <c r="S50" s="60">
        <f>[1]TrRoad_ene!S$52</f>
        <v>792.58060360509944</v>
      </c>
      <c r="T50" s="60">
        <f>[1]TrRoad_ene!T$52</f>
        <v>820.88249369724088</v>
      </c>
      <c r="U50" s="60">
        <f>[1]TrRoad_ene!U$52</f>
        <v>793.7932316746635</v>
      </c>
      <c r="V50" s="60">
        <f>[1]TrRoad_ene!V$52</f>
        <v>772.06964014802861</v>
      </c>
      <c r="W50" s="60">
        <f>[1]TrRoad_ene!W$52</f>
        <v>802.18588767589154</v>
      </c>
      <c r="DA50" s="49" t="s">
        <v>125</v>
      </c>
    </row>
    <row r="51" spans="1:105" ht="11.4" customHeight="1" x14ac:dyDescent="0.35">
      <c r="A51" s="61" t="str">
        <f>$A$21</f>
        <v>Rail transport</v>
      </c>
      <c r="B51" s="62">
        <f>[1]TrRail_ene!B$17</f>
        <v>13.481665457680165</v>
      </c>
      <c r="C51" s="62">
        <f>[1]TrRail_ene!C$17</f>
        <v>12.888676336116518</v>
      </c>
      <c r="D51" s="62">
        <f>[1]TrRail_ene!D$17</f>
        <v>11.5795830528459</v>
      </c>
      <c r="E51" s="62">
        <f>[1]TrRail_ene!E$17</f>
        <v>11.303176057418106</v>
      </c>
      <c r="F51" s="62">
        <f>[1]TrRail_ene!F$17</f>
        <v>12.975212044167115</v>
      </c>
      <c r="G51" s="62">
        <f>[1]TrRail_ene!G$17</f>
        <v>12.097585831608232</v>
      </c>
      <c r="H51" s="62">
        <f>[1]TrRail_ene!H$17</f>
        <v>11.105021468007729</v>
      </c>
      <c r="I51" s="62">
        <f>[1]TrRail_ene!I$17</f>
        <v>10.097583404757184</v>
      </c>
      <c r="J51" s="62">
        <f>[1]TrRail_ene!J$17</f>
        <v>10.88339480085768</v>
      </c>
      <c r="K51" s="62">
        <f>[1]TrRail_ene!K$17</f>
        <v>9.569581158499922</v>
      </c>
      <c r="L51" s="62">
        <f>[1]TrRail_ene!L$17</f>
        <v>12.187788804065702</v>
      </c>
      <c r="M51" s="62">
        <f>[1]TrRail_ene!M$17</f>
        <v>13.8047778412139</v>
      </c>
      <c r="N51" s="62">
        <f>[1]TrRail_ene!N$17</f>
        <v>11.457799616113981</v>
      </c>
      <c r="O51" s="62">
        <f>[1]TrRail_ene!O$17</f>
        <v>11.829462479437082</v>
      </c>
      <c r="P51" s="62">
        <f>[1]TrRail_ene!P$17</f>
        <v>12.310207900285507</v>
      </c>
      <c r="Q51" s="62">
        <f>[1]TrRail_ene!Q$17</f>
        <v>13.256373572015043</v>
      </c>
      <c r="R51" s="62">
        <f>[1]TrRail_ene!R$17</f>
        <v>13.623321677370544</v>
      </c>
      <c r="S51" s="62">
        <f>[1]TrRail_ene!S$17</f>
        <v>12.064975924375878</v>
      </c>
      <c r="T51" s="62">
        <f>[1]TrRail_ene!T$17</f>
        <v>11.234282741115184</v>
      </c>
      <c r="U51" s="62">
        <f>[1]TrRail_ene!U$17</f>
        <v>10.059930181142985</v>
      </c>
      <c r="V51" s="62">
        <f>[1]TrRail_ene!V$17</f>
        <v>10.890719820085573</v>
      </c>
      <c r="W51" s="62">
        <f>[1]TrRail_ene!W$17</f>
        <v>9.0975827039348136</v>
      </c>
      <c r="DA51" s="63" t="s">
        <v>126</v>
      </c>
    </row>
    <row r="52" spans="1:105" ht="11.4" customHeight="1" x14ac:dyDescent="0.35">
      <c r="A52" s="61" t="str">
        <f>$A$22</f>
        <v>Aviation</v>
      </c>
      <c r="B52" s="62">
        <f t="shared" ref="B52:W52" si="15">B53+B54+B55</f>
        <v>7.794869512711303</v>
      </c>
      <c r="C52" s="62">
        <f t="shared" si="15"/>
        <v>8.0938291450070441</v>
      </c>
      <c r="D52" s="62">
        <f t="shared" si="15"/>
        <v>7.4677262998796001</v>
      </c>
      <c r="E52" s="62">
        <f t="shared" si="15"/>
        <v>5.9638291018661524</v>
      </c>
      <c r="F52" s="62">
        <f t="shared" si="15"/>
        <v>6.7583376114580407</v>
      </c>
      <c r="G52" s="62">
        <f t="shared" si="15"/>
        <v>7.7936335932800871</v>
      </c>
      <c r="H52" s="62">
        <f t="shared" si="15"/>
        <v>9.2974745738024929</v>
      </c>
      <c r="I52" s="62">
        <f t="shared" si="15"/>
        <v>9.0595695677883974</v>
      </c>
      <c r="J52" s="62">
        <f t="shared" si="15"/>
        <v>69.045244825550071</v>
      </c>
      <c r="K52" s="62">
        <f t="shared" si="15"/>
        <v>48.926801939282242</v>
      </c>
      <c r="L52" s="62">
        <f t="shared" si="15"/>
        <v>51.25763752801744</v>
      </c>
      <c r="M52" s="62">
        <f t="shared" si="15"/>
        <v>48.863359426697883</v>
      </c>
      <c r="N52" s="62">
        <f t="shared" si="15"/>
        <v>51.571811167941178</v>
      </c>
      <c r="O52" s="62">
        <f t="shared" si="15"/>
        <v>43.767998720769825</v>
      </c>
      <c r="P52" s="62">
        <f t="shared" si="15"/>
        <v>51.875519400806894</v>
      </c>
      <c r="Q52" s="62">
        <f t="shared" si="15"/>
        <v>46.420661636128116</v>
      </c>
      <c r="R52" s="62">
        <f t="shared" si="15"/>
        <v>36.754841131999328</v>
      </c>
      <c r="S52" s="62">
        <f t="shared" si="15"/>
        <v>37.391937238535291</v>
      </c>
      <c r="T52" s="62">
        <f t="shared" si="15"/>
        <v>27.847106937319936</v>
      </c>
      <c r="U52" s="62">
        <f t="shared" si="15"/>
        <v>32.562735378334636</v>
      </c>
      <c r="V52" s="62">
        <f t="shared" si="15"/>
        <v>29.609779760604169</v>
      </c>
      <c r="W52" s="62">
        <f t="shared" si="15"/>
        <v>42.427856645685317</v>
      </c>
      <c r="DA52" s="63" t="s">
        <v>127</v>
      </c>
    </row>
    <row r="53" spans="1:105" ht="11.4" customHeight="1" x14ac:dyDescent="0.35">
      <c r="A53" s="59" t="s">
        <v>82</v>
      </c>
      <c r="B53" s="60">
        <f>[1]TrAvia_ene!B$11</f>
        <v>0.24966356135164591</v>
      </c>
      <c r="C53" s="60">
        <f>[1]TrAvia_ene!C$11</f>
        <v>0.26436170150196214</v>
      </c>
      <c r="D53" s="60">
        <f>[1]TrAvia_ene!D$11</f>
        <v>0.19345418391760336</v>
      </c>
      <c r="E53" s="60">
        <f>[1]TrAvia_ene!E$11</f>
        <v>0.11140933266128164</v>
      </c>
      <c r="F53" s="60">
        <f>[1]TrAvia_ene!F$11</f>
        <v>7.6704196650124179E-2</v>
      </c>
      <c r="G53" s="60">
        <f>[1]TrAvia_ene!G$11</f>
        <v>9.7816388568565907E-2</v>
      </c>
      <c r="H53" s="60">
        <f>[1]TrAvia_ene!H$11</f>
        <v>0.12072768006935068</v>
      </c>
      <c r="I53" s="60">
        <f>[1]TrAvia_ene!I$11</f>
        <v>0.12773695038909577</v>
      </c>
      <c r="J53" s="60">
        <f>[1]TrAvia_ene!J$11</f>
        <v>0.25514501901994752</v>
      </c>
      <c r="K53" s="60">
        <f>[1]TrAvia_ene!K$11</f>
        <v>0.23356625983111692</v>
      </c>
      <c r="L53" s="60">
        <f>[1]TrAvia_ene!L$11</f>
        <v>0.101211346406161</v>
      </c>
      <c r="M53" s="60">
        <f>[1]TrAvia_ene!M$11</f>
        <v>5.6655681028634747E-2</v>
      </c>
      <c r="N53" s="60">
        <f>[1]TrAvia_ene!N$11</f>
        <v>5.5622944963113263E-2</v>
      </c>
      <c r="O53" s="60">
        <f>[1]TrAvia_ene!O$11</f>
        <v>5.7095022918738761E-2</v>
      </c>
      <c r="P53" s="60">
        <f>[1]TrAvia_ene!P$11</f>
        <v>5.3196498255871957E-2</v>
      </c>
      <c r="Q53" s="60">
        <f>[1]TrAvia_ene!Q$11</f>
        <v>4.3715614397300998E-2</v>
      </c>
      <c r="R53" s="60">
        <f>[1]TrAvia_ene!R$11</f>
        <v>1.0403097863274934E-2</v>
      </c>
      <c r="S53" s="60">
        <f>[1]TrAvia_ene!S$11</f>
        <v>1.7123165307833105E-2</v>
      </c>
      <c r="T53" s="60">
        <f>[1]TrAvia_ene!T$11</f>
        <v>2.163005606678119E-2</v>
      </c>
      <c r="U53" s="60">
        <f>[1]TrAvia_ene!U$11</f>
        <v>1.8159367428811767E-2</v>
      </c>
      <c r="V53" s="60">
        <f>[1]TrAvia_ene!V$11</f>
        <v>2.2611353730703474E-2</v>
      </c>
      <c r="W53" s="60">
        <f>[1]TrAvia_ene!W$11</f>
        <v>3.8146669891982142E-2</v>
      </c>
      <c r="DA53" s="49" t="s">
        <v>128</v>
      </c>
    </row>
    <row r="54" spans="1:105" ht="11.4" customHeight="1" x14ac:dyDescent="0.35">
      <c r="A54" s="59" t="str">
        <f>$A$24</f>
        <v>International - Intra-EEAwUK</v>
      </c>
      <c r="B54" s="60">
        <f>[1]TrAvia_ene!B$12</f>
        <v>6.8414114543649456</v>
      </c>
      <c r="C54" s="60">
        <f>[1]TrAvia_ene!C$12</f>
        <v>7.0874821645859054</v>
      </c>
      <c r="D54" s="60">
        <f>[1]TrAvia_ene!D$12</f>
        <v>6.4416363067228524</v>
      </c>
      <c r="E54" s="60">
        <f>[1]TrAvia_ene!E$12</f>
        <v>4.8921433365473135</v>
      </c>
      <c r="F54" s="60">
        <f>[1]TrAvia_ene!F$12</f>
        <v>5.6795200187307504</v>
      </c>
      <c r="G54" s="60">
        <f>[1]TrAvia_ene!G$12</f>
        <v>7.0042210299989032</v>
      </c>
      <c r="H54" s="60">
        <f>[1]TrAvia_ene!H$12</f>
        <v>8.8281281540045509</v>
      </c>
      <c r="I54" s="60">
        <f>[1]TrAvia_ene!I$12</f>
        <v>8.4959428782666215</v>
      </c>
      <c r="J54" s="60">
        <f>[1]TrAvia_ene!J$12</f>
        <v>17.63846816531035</v>
      </c>
      <c r="K54" s="60">
        <f>[1]TrAvia_ene!K$12</f>
        <v>11.315934721266441</v>
      </c>
      <c r="L54" s="60">
        <f>[1]TrAvia_ene!L$12</f>
        <v>7.6678594377559897</v>
      </c>
      <c r="M54" s="60">
        <f>[1]TrAvia_ene!M$12</f>
        <v>7.4527124338619322</v>
      </c>
      <c r="N54" s="60">
        <f>[1]TrAvia_ene!N$12</f>
        <v>6.6009079273362765</v>
      </c>
      <c r="O54" s="60">
        <f>[1]TrAvia_ene!O$12</f>
        <v>5.4324125954521447</v>
      </c>
      <c r="P54" s="60">
        <f>[1]TrAvia_ene!P$12</f>
        <v>9.04529982432447</v>
      </c>
      <c r="Q54" s="60">
        <f>[1]TrAvia_ene!Q$12</f>
        <v>8.8892946506736639</v>
      </c>
      <c r="R54" s="60">
        <f>[1]TrAvia_ene!R$12</f>
        <v>7.2405867961278076</v>
      </c>
      <c r="S54" s="60">
        <f>[1]TrAvia_ene!S$12</f>
        <v>8.9145579074591215</v>
      </c>
      <c r="T54" s="60">
        <f>[1]TrAvia_ene!T$12</f>
        <v>9.0762230459739328</v>
      </c>
      <c r="U54" s="60">
        <f>[1]TrAvia_ene!U$12</f>
        <v>10.500219155249365</v>
      </c>
      <c r="V54" s="60">
        <f>[1]TrAvia_ene!V$12</f>
        <v>10.010536055282149</v>
      </c>
      <c r="W54" s="60">
        <f>[1]TrAvia_ene!W$12</f>
        <v>14.589206152015743</v>
      </c>
      <c r="DA54" s="49" t="s">
        <v>129</v>
      </c>
    </row>
    <row r="55" spans="1:105" ht="11.4" customHeight="1" x14ac:dyDescent="0.35">
      <c r="A55" s="59" t="str">
        <f>$A$25</f>
        <v>International - Extra-EEAwUK</v>
      </c>
      <c r="B55" s="60">
        <f>[1]TrAvia_ene!B$13</f>
        <v>0.7037944969947113</v>
      </c>
      <c r="C55" s="60">
        <f>[1]TrAvia_ene!C$13</f>
        <v>0.74198527891917709</v>
      </c>
      <c r="D55" s="60">
        <f>[1]TrAvia_ene!D$13</f>
        <v>0.83263580923914449</v>
      </c>
      <c r="E55" s="60">
        <f>[1]TrAvia_ene!E$13</f>
        <v>0.96027643265755713</v>
      </c>
      <c r="F55" s="60">
        <f>[1]TrAvia_ene!F$13</f>
        <v>1.0021133960771662</v>
      </c>
      <c r="G55" s="60">
        <f>[1]TrAvia_ene!G$13</f>
        <v>0.69159617471261825</v>
      </c>
      <c r="H55" s="60">
        <f>[1]TrAvia_ene!H$13</f>
        <v>0.34861873972859136</v>
      </c>
      <c r="I55" s="60">
        <f>[1]TrAvia_ene!I$13</f>
        <v>0.43588973913268064</v>
      </c>
      <c r="J55" s="60">
        <f>[1]TrAvia_ene!J$13</f>
        <v>51.15163164121978</v>
      </c>
      <c r="K55" s="60">
        <f>[1]TrAvia_ene!K$13</f>
        <v>37.377300958184684</v>
      </c>
      <c r="L55" s="60">
        <f>[1]TrAvia_ene!L$13</f>
        <v>43.488566743855287</v>
      </c>
      <c r="M55" s="60">
        <f>[1]TrAvia_ene!M$13</f>
        <v>41.353991311807313</v>
      </c>
      <c r="N55" s="60">
        <f>[1]TrAvia_ene!N$13</f>
        <v>44.915280295641786</v>
      </c>
      <c r="O55" s="60">
        <f>[1]TrAvia_ene!O$13</f>
        <v>38.278491102398945</v>
      </c>
      <c r="P55" s="60">
        <f>[1]TrAvia_ene!P$13</f>
        <v>42.777023078226549</v>
      </c>
      <c r="Q55" s="60">
        <f>[1]TrAvia_ene!Q$13</f>
        <v>37.487651371057147</v>
      </c>
      <c r="R55" s="60">
        <f>[1]TrAvia_ene!R$13</f>
        <v>29.503851238008245</v>
      </c>
      <c r="S55" s="60">
        <f>[1]TrAvia_ene!S$13</f>
        <v>28.460256165768339</v>
      </c>
      <c r="T55" s="60">
        <f>[1]TrAvia_ene!T$13</f>
        <v>18.749253835279223</v>
      </c>
      <c r="U55" s="60">
        <f>[1]TrAvia_ene!U$13</f>
        <v>22.04435685565646</v>
      </c>
      <c r="V55" s="60">
        <f>[1]TrAvia_ene!V$13</f>
        <v>19.576632351591318</v>
      </c>
      <c r="W55" s="60">
        <f>[1]TrAvia_ene!W$13</f>
        <v>27.800503823777589</v>
      </c>
      <c r="DA55" s="49" t="s">
        <v>130</v>
      </c>
    </row>
    <row r="56" spans="1:105" ht="11.4" customHeight="1" x14ac:dyDescent="0.35">
      <c r="A56" s="61" t="s">
        <v>99</v>
      </c>
      <c r="B56" s="62">
        <f t="shared" ref="B56:W56" si="16">B57+B58</f>
        <v>163.40765262252793</v>
      </c>
      <c r="C56" s="62">
        <f t="shared" si="16"/>
        <v>169.526913155632</v>
      </c>
      <c r="D56" s="62">
        <f t="shared" si="16"/>
        <v>189.23877901977642</v>
      </c>
      <c r="E56" s="62">
        <f t="shared" si="16"/>
        <v>187.49286328460869</v>
      </c>
      <c r="F56" s="62">
        <f t="shared" si="16"/>
        <v>165.25150472914871</v>
      </c>
      <c r="G56" s="62">
        <f t="shared" si="16"/>
        <v>192.11092003439381</v>
      </c>
      <c r="H56" s="62">
        <f t="shared" si="16"/>
        <v>173.85116079105759</v>
      </c>
      <c r="I56" s="62">
        <f t="shared" si="16"/>
        <v>151.65881341358551</v>
      </c>
      <c r="J56" s="62">
        <f t="shared" si="16"/>
        <v>194.22226999140156</v>
      </c>
      <c r="K56" s="62">
        <f t="shared" si="16"/>
        <v>180.10894239036972</v>
      </c>
      <c r="L56" s="62">
        <f t="shared" si="16"/>
        <v>155.90670679277724</v>
      </c>
      <c r="M56" s="62">
        <f t="shared" si="16"/>
        <v>151.99200343938091</v>
      </c>
      <c r="N56" s="62">
        <f t="shared" si="16"/>
        <v>148.07730008598455</v>
      </c>
      <c r="O56" s="62">
        <f t="shared" si="16"/>
        <v>149.89724849527084</v>
      </c>
      <c r="P56" s="62">
        <f t="shared" si="16"/>
        <v>119.63078245915736</v>
      </c>
      <c r="Q56" s="62">
        <f t="shared" si="16"/>
        <v>134.69656061908853</v>
      </c>
      <c r="R56" s="62">
        <f t="shared" si="16"/>
        <v>117.00163370593292</v>
      </c>
      <c r="S56" s="62">
        <f t="shared" si="16"/>
        <v>112.5928632846088</v>
      </c>
      <c r="T56" s="62">
        <f t="shared" si="16"/>
        <v>116.81779879621666</v>
      </c>
      <c r="U56" s="62">
        <f t="shared" si="16"/>
        <v>121.48993981083403</v>
      </c>
      <c r="V56" s="62">
        <f t="shared" si="16"/>
        <v>117.32166809974208</v>
      </c>
      <c r="W56" s="62">
        <f t="shared" si="16"/>
        <v>137.59733447979366</v>
      </c>
      <c r="DA56" s="63" t="s">
        <v>131</v>
      </c>
    </row>
    <row r="57" spans="1:105" ht="11.4" customHeight="1" x14ac:dyDescent="0.35">
      <c r="A57" s="59" t="str">
        <f>$A$27</f>
        <v>Domestic coastal shipping</v>
      </c>
      <c r="B57" s="60">
        <f>[1]TrNavi_ene!B4</f>
        <v>163.40765262252793</v>
      </c>
      <c r="C57" s="60">
        <f>[1]TrNavi_ene!C4</f>
        <v>169.526913155632</v>
      </c>
      <c r="D57" s="60">
        <f>[1]TrNavi_ene!D4</f>
        <v>189.23877901977642</v>
      </c>
      <c r="E57" s="60">
        <f>[1]TrNavi_ene!E4</f>
        <v>187.49286328460869</v>
      </c>
      <c r="F57" s="60">
        <f>[1]TrNavi_ene!F4</f>
        <v>165.25150472914871</v>
      </c>
      <c r="G57" s="60">
        <f>[1]TrNavi_ene!G4</f>
        <v>192.11092003439381</v>
      </c>
      <c r="H57" s="60">
        <f>[1]TrNavi_ene!H4</f>
        <v>173.85116079105759</v>
      </c>
      <c r="I57" s="60">
        <f>[1]TrNavi_ene!I4</f>
        <v>151.65881341358551</v>
      </c>
      <c r="J57" s="60">
        <f>[1]TrNavi_ene!J4</f>
        <v>194.22226999140156</v>
      </c>
      <c r="K57" s="60">
        <f>[1]TrNavi_ene!K4</f>
        <v>180.10894239036972</v>
      </c>
      <c r="L57" s="60">
        <f>[1]TrNavi_ene!L4</f>
        <v>155.90670679277724</v>
      </c>
      <c r="M57" s="60">
        <f>[1]TrNavi_ene!M4</f>
        <v>151.99200343938091</v>
      </c>
      <c r="N57" s="60">
        <f>[1]TrNavi_ene!N4</f>
        <v>148.07730008598455</v>
      </c>
      <c r="O57" s="60">
        <f>[1]TrNavi_ene!O4</f>
        <v>149.89724849527084</v>
      </c>
      <c r="P57" s="60">
        <f>[1]TrNavi_ene!P4</f>
        <v>119.63078245915736</v>
      </c>
      <c r="Q57" s="60">
        <f>[1]TrNavi_ene!Q4</f>
        <v>134.69656061908853</v>
      </c>
      <c r="R57" s="60">
        <f>[1]TrNavi_ene!R4</f>
        <v>117.00163370593292</v>
      </c>
      <c r="S57" s="60">
        <f>[1]TrNavi_ene!S4</f>
        <v>112.5928632846088</v>
      </c>
      <c r="T57" s="60">
        <f>[1]TrNavi_ene!T4</f>
        <v>116.81779879621666</v>
      </c>
      <c r="U57" s="60">
        <f>[1]TrNavi_ene!U4</f>
        <v>121.48993981083403</v>
      </c>
      <c r="V57" s="60">
        <f>[1]TrNavi_ene!V4</f>
        <v>117.32166809974208</v>
      </c>
      <c r="W57" s="60">
        <f>[1]TrNavi_ene!W4</f>
        <v>137.59733447979366</v>
      </c>
      <c r="DA57" s="49" t="s">
        <v>132</v>
      </c>
    </row>
    <row r="58" spans="1:105" ht="11.4" customHeight="1" x14ac:dyDescent="0.35">
      <c r="A58" s="64" t="str">
        <f>$A$28</f>
        <v>Inland waterways</v>
      </c>
      <c r="B58" s="65">
        <f>[1]TrNavi_ene!B10</f>
        <v>0</v>
      </c>
      <c r="C58" s="65">
        <f>[1]TrNavi_ene!C10</f>
        <v>0</v>
      </c>
      <c r="D58" s="65">
        <f>[1]TrNavi_ene!D10</f>
        <v>0</v>
      </c>
      <c r="E58" s="65">
        <f>[1]TrNavi_ene!E10</f>
        <v>0</v>
      </c>
      <c r="F58" s="65">
        <f>[1]TrNavi_ene!F10</f>
        <v>0</v>
      </c>
      <c r="G58" s="65">
        <f>[1]TrNavi_ene!G10</f>
        <v>0</v>
      </c>
      <c r="H58" s="65">
        <f>[1]TrNavi_ene!H10</f>
        <v>0</v>
      </c>
      <c r="I58" s="65">
        <f>[1]TrNavi_ene!I10</f>
        <v>0</v>
      </c>
      <c r="J58" s="65">
        <f>[1]TrNavi_ene!J10</f>
        <v>0</v>
      </c>
      <c r="K58" s="65">
        <f>[1]TrNavi_ene!K10</f>
        <v>0</v>
      </c>
      <c r="L58" s="65">
        <f>[1]TrNavi_ene!L10</f>
        <v>0</v>
      </c>
      <c r="M58" s="65">
        <f>[1]TrNavi_ene!M10</f>
        <v>0</v>
      </c>
      <c r="N58" s="65">
        <f>[1]TrNavi_ene!N10</f>
        <v>0</v>
      </c>
      <c r="O58" s="65">
        <f>[1]TrNavi_ene!O10</f>
        <v>0</v>
      </c>
      <c r="P58" s="65">
        <f>[1]TrNavi_ene!P10</f>
        <v>0</v>
      </c>
      <c r="Q58" s="65">
        <f>[1]TrNavi_ene!Q10</f>
        <v>0</v>
      </c>
      <c r="R58" s="65">
        <f>[1]TrNavi_ene!R10</f>
        <v>0</v>
      </c>
      <c r="S58" s="65">
        <f>[1]TrNavi_ene!S10</f>
        <v>0</v>
      </c>
      <c r="T58" s="65">
        <f>[1]TrNavi_ene!T10</f>
        <v>0</v>
      </c>
      <c r="U58" s="65">
        <f>[1]TrNavi_ene!U10</f>
        <v>0</v>
      </c>
      <c r="V58" s="65">
        <f>[1]TrNavi_ene!V10</f>
        <v>0</v>
      </c>
      <c r="W58" s="65">
        <f>[1]TrNavi_ene!W10</f>
        <v>0</v>
      </c>
      <c r="DA58" s="66" t="s">
        <v>133</v>
      </c>
    </row>
    <row r="59" spans="1:105" ht="11.4" customHeight="1" x14ac:dyDescent="0.35">
      <c r="A59" s="53" t="s">
        <v>134</v>
      </c>
      <c r="B59" s="54">
        <f>B60+B61</f>
        <v>1294.9818572656918</v>
      </c>
      <c r="C59" s="54">
        <f t="shared" ref="C59:W59" si="17">C60+C61</f>
        <v>1077.2857265692176</v>
      </c>
      <c r="D59" s="54">
        <f t="shared" si="17"/>
        <v>888.5163370593292</v>
      </c>
      <c r="E59" s="54">
        <f t="shared" si="17"/>
        <v>932.99294926913149</v>
      </c>
      <c r="F59" s="54">
        <f t="shared" si="17"/>
        <v>758.28555460017185</v>
      </c>
      <c r="G59" s="54">
        <f t="shared" si="17"/>
        <v>771.65735167669823</v>
      </c>
      <c r="H59" s="54">
        <f t="shared" si="17"/>
        <v>1015.4748065348238</v>
      </c>
      <c r="I59" s="54">
        <f t="shared" si="17"/>
        <v>1062.0319002579533</v>
      </c>
      <c r="J59" s="54">
        <f t="shared" si="17"/>
        <v>914.80601891659478</v>
      </c>
      <c r="K59" s="54">
        <f t="shared" si="17"/>
        <v>514.27824591573517</v>
      </c>
      <c r="L59" s="54">
        <f t="shared" si="17"/>
        <v>691.27024935511599</v>
      </c>
      <c r="M59" s="54">
        <f t="shared" si="17"/>
        <v>699.54617368873596</v>
      </c>
      <c r="N59" s="54">
        <f t="shared" si="17"/>
        <v>518.13800515907133</v>
      </c>
      <c r="O59" s="54">
        <f t="shared" si="17"/>
        <v>631.11444539982801</v>
      </c>
      <c r="P59" s="54">
        <f t="shared" si="17"/>
        <v>740.20017196904553</v>
      </c>
      <c r="Q59" s="54">
        <f t="shared" si="17"/>
        <v>768.95150472914861</v>
      </c>
      <c r="R59" s="54">
        <f t="shared" si="17"/>
        <v>671.16173688736012</v>
      </c>
      <c r="S59" s="54">
        <f t="shared" si="17"/>
        <v>534.74290627687014</v>
      </c>
      <c r="T59" s="54">
        <f t="shared" si="17"/>
        <v>594.15391229578654</v>
      </c>
      <c r="U59" s="54">
        <f t="shared" si="17"/>
        <v>740.19174548581236</v>
      </c>
      <c r="V59" s="54">
        <f t="shared" si="17"/>
        <v>556.52708512467757</v>
      </c>
      <c r="W59" s="54">
        <f t="shared" si="17"/>
        <v>475.67050730868436</v>
      </c>
      <c r="DA59" s="55" t="s">
        <v>135</v>
      </c>
    </row>
    <row r="60" spans="1:105" ht="11.4" customHeight="1" x14ac:dyDescent="0.35">
      <c r="A60" s="59" t="str">
        <f>$A$30</f>
        <v>Intra-EEA</v>
      </c>
      <c r="B60" s="60">
        <f>[1]MBunk_ene!B$4</f>
        <v>555.44662747090285</v>
      </c>
      <c r="C60" s="60">
        <f>[1]MBunk_ene!C$4</f>
        <v>461.8613886534896</v>
      </c>
      <c r="D60" s="60">
        <f>[1]MBunk_ene!D$4</f>
        <v>388.95499884919633</v>
      </c>
      <c r="E60" s="60">
        <f>[1]MBunk_ene!E$4</f>
        <v>389.45358411968101</v>
      </c>
      <c r="F60" s="60">
        <f>[1]MBunk_ene!F$4</f>
        <v>339.57197949155193</v>
      </c>
      <c r="G60" s="60">
        <f>[1]MBunk_ene!G$4</f>
        <v>350.31005626880835</v>
      </c>
      <c r="H60" s="60">
        <f>[1]MBunk_ene!H$4</f>
        <v>415.60442731919244</v>
      </c>
      <c r="I60" s="60">
        <f>[1]MBunk_ene!I$4</f>
        <v>447.2547095845992</v>
      </c>
      <c r="J60" s="60">
        <f>[1]MBunk_ene!J$4</f>
        <v>389.56577137980833</v>
      </c>
      <c r="K60" s="60">
        <f>[1]MBunk_ene!K$4</f>
        <v>220.47502854757224</v>
      </c>
      <c r="L60" s="60">
        <f>[1]MBunk_ene!L$4</f>
        <v>312.30524643988582</v>
      </c>
      <c r="M60" s="60">
        <f>[1]MBunk_ene!M$4</f>
        <v>287.23382984679279</v>
      </c>
      <c r="N60" s="60">
        <f>[1]MBunk_ene!N$4</f>
        <v>236.83039084110521</v>
      </c>
      <c r="O60" s="60">
        <f>[1]MBunk_ene!O$4</f>
        <v>303.71836258693696</v>
      </c>
      <c r="P60" s="60">
        <f>[1]MBunk_ene!P$4</f>
        <v>338.03227821441754</v>
      </c>
      <c r="Q60" s="60">
        <f>[1]MBunk_ene!Q$4</f>
        <v>331.73590741977296</v>
      </c>
      <c r="R60" s="60">
        <f>[1]MBunk_ene!R$4</f>
        <v>288.23677776345932</v>
      </c>
      <c r="S60" s="60">
        <f>[1]MBunk_ene!S$4</f>
        <v>231.7767869965281</v>
      </c>
      <c r="T60" s="60">
        <f>[1]MBunk_ene!T$4</f>
        <v>252.52008576454233</v>
      </c>
      <c r="U60" s="60">
        <f>[1]MBunk_ene!U$4</f>
        <v>310.24048452268119</v>
      </c>
      <c r="V60" s="60">
        <f>[1]MBunk_ene!V$4</f>
        <v>209.1841930866521</v>
      </c>
      <c r="W60" s="60">
        <f>[1]MBunk_ene!W$4</f>
        <v>174.90838170365132</v>
      </c>
      <c r="DA60" s="49" t="s">
        <v>136</v>
      </c>
    </row>
    <row r="61" spans="1:105" ht="11.4" customHeight="1" x14ac:dyDescent="0.35">
      <c r="A61" s="67" t="str">
        <f>$A$31</f>
        <v>Extra-EEA</v>
      </c>
      <c r="B61" s="68">
        <f>[1]MBunk_ene!B$10</f>
        <v>739.53522979478907</v>
      </c>
      <c r="C61" s="68">
        <f>[1]MBunk_ene!C$10</f>
        <v>615.42433791572796</v>
      </c>
      <c r="D61" s="68">
        <f>[1]MBunk_ene!D$10</f>
        <v>499.56133821013287</v>
      </c>
      <c r="E61" s="68">
        <f>[1]MBunk_ene!E$10</f>
        <v>543.53936514945042</v>
      </c>
      <c r="F61" s="68">
        <f>[1]MBunk_ene!F$10</f>
        <v>418.71357510861992</v>
      </c>
      <c r="G61" s="68">
        <f>[1]MBunk_ene!G$10</f>
        <v>421.34729540788993</v>
      </c>
      <c r="H61" s="68">
        <f>[1]MBunk_ene!H$10</f>
        <v>599.87037921563137</v>
      </c>
      <c r="I61" s="68">
        <f>[1]MBunk_ene!I$10</f>
        <v>614.7771906733542</v>
      </c>
      <c r="J61" s="68">
        <f>[1]MBunk_ene!J$10</f>
        <v>525.24024753678646</v>
      </c>
      <c r="K61" s="68">
        <f>[1]MBunk_ene!K$10</f>
        <v>293.8032173681629</v>
      </c>
      <c r="L61" s="68">
        <f>[1]MBunk_ene!L$10</f>
        <v>378.96500291523023</v>
      </c>
      <c r="M61" s="68">
        <f>[1]MBunk_ene!M$10</f>
        <v>412.31234384194317</v>
      </c>
      <c r="N61" s="68">
        <f>[1]MBunk_ene!N$10</f>
        <v>281.30761431796606</v>
      </c>
      <c r="O61" s="68">
        <f>[1]MBunk_ene!O$10</f>
        <v>327.39608281289105</v>
      </c>
      <c r="P61" s="68">
        <f>[1]MBunk_ene!P$10</f>
        <v>402.16789375462798</v>
      </c>
      <c r="Q61" s="68">
        <f>[1]MBunk_ene!Q$10</f>
        <v>437.21559730937571</v>
      </c>
      <c r="R61" s="68">
        <f>[1]MBunk_ene!R$10</f>
        <v>382.92495912390081</v>
      </c>
      <c r="S61" s="68">
        <f>[1]MBunk_ene!S$10</f>
        <v>302.96611928034201</v>
      </c>
      <c r="T61" s="68">
        <f>[1]MBunk_ene!T$10</f>
        <v>341.63382653124421</v>
      </c>
      <c r="U61" s="68">
        <f>[1]MBunk_ene!U$10</f>
        <v>429.95126096313118</v>
      </c>
      <c r="V61" s="68">
        <f>[1]MBunk_ene!V$10</f>
        <v>347.34289203802547</v>
      </c>
      <c r="W61" s="68">
        <f>[1]MBunk_ene!W$10</f>
        <v>300.76212560503302</v>
      </c>
      <c r="DA61" s="69" t="s">
        <v>137</v>
      </c>
    </row>
    <row r="62" spans="1:105" ht="11.4" customHeight="1" x14ac:dyDescent="0.35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DA62" s="49"/>
    </row>
    <row r="63" spans="1:105" ht="11.4" customHeight="1" x14ac:dyDescent="0.35">
      <c r="A63" s="50" t="s">
        <v>138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DA63" s="52"/>
    </row>
    <row r="64" spans="1:105" ht="11.4" customHeight="1" x14ac:dyDescent="0.35">
      <c r="A64" s="53" t="s">
        <v>109</v>
      </c>
      <c r="B64" s="54">
        <f t="shared" ref="B64:W64" si="18">B65+B69+B73</f>
        <v>9718.3773113822681</v>
      </c>
      <c r="C64" s="54">
        <f t="shared" si="18"/>
        <v>9644.2103716513302</v>
      </c>
      <c r="D64" s="54">
        <f t="shared" si="18"/>
        <v>9386.2443189591704</v>
      </c>
      <c r="E64" s="54">
        <f t="shared" si="18"/>
        <v>9611.2698553486771</v>
      </c>
      <c r="F64" s="54">
        <f t="shared" si="18"/>
        <v>9946.6086208991001</v>
      </c>
      <c r="G64" s="54">
        <f t="shared" si="18"/>
        <v>10120.899242200054</v>
      </c>
      <c r="H64" s="54">
        <f t="shared" si="18"/>
        <v>10210.068954379556</v>
      </c>
      <c r="I64" s="54">
        <f t="shared" si="18"/>
        <v>10634.637991285088</v>
      </c>
      <c r="J64" s="54">
        <f t="shared" si="18"/>
        <v>10439.038433972695</v>
      </c>
      <c r="K64" s="54">
        <f t="shared" si="18"/>
        <v>10080.894964773055</v>
      </c>
      <c r="L64" s="54">
        <f t="shared" si="18"/>
        <v>10128.15349942903</v>
      </c>
      <c r="M64" s="54">
        <f t="shared" si="18"/>
        <v>10225.30719743382</v>
      </c>
      <c r="N64" s="54">
        <f t="shared" si="18"/>
        <v>9691.7390499786161</v>
      </c>
      <c r="O64" s="54">
        <f t="shared" si="18"/>
        <v>9627.4059838877693</v>
      </c>
      <c r="P64" s="54">
        <f t="shared" si="18"/>
        <v>9929.8727343749615</v>
      </c>
      <c r="Q64" s="54">
        <f t="shared" si="18"/>
        <v>10440.77260936634</v>
      </c>
      <c r="R64" s="54">
        <f t="shared" si="18"/>
        <v>10618.757245483153</v>
      </c>
      <c r="S64" s="54">
        <f t="shared" si="18"/>
        <v>10652.544722427421</v>
      </c>
      <c r="T64" s="54">
        <f t="shared" si="18"/>
        <v>10956.353375274131</v>
      </c>
      <c r="U64" s="54">
        <f t="shared" si="18"/>
        <v>10911.50342968847</v>
      </c>
      <c r="V64" s="54">
        <f t="shared" si="18"/>
        <v>7972.8384043486512</v>
      </c>
      <c r="W64" s="54">
        <f t="shared" si="18"/>
        <v>8235.1564351820125</v>
      </c>
      <c r="DA64" s="55"/>
    </row>
    <row r="65" spans="1:105" ht="11.4" customHeight="1" x14ac:dyDescent="0.35">
      <c r="A65" s="56" t="str">
        <f>$A$5</f>
        <v>Road transport</v>
      </c>
      <c r="B65" s="57">
        <f t="shared" ref="B65:W65" si="19">B66+B67+B68</f>
        <v>7042.2819134753654</v>
      </c>
      <c r="C65" s="57">
        <f t="shared" si="19"/>
        <v>6942.2965736640672</v>
      </c>
      <c r="D65" s="57">
        <f t="shared" si="19"/>
        <v>7020.2259500395094</v>
      </c>
      <c r="E65" s="57">
        <f t="shared" si="19"/>
        <v>7157.5245812663798</v>
      </c>
      <c r="F65" s="57">
        <f t="shared" si="19"/>
        <v>7204.3506260299346</v>
      </c>
      <c r="G65" s="57">
        <f t="shared" si="19"/>
        <v>7232.0410366819242</v>
      </c>
      <c r="H65" s="57">
        <f t="shared" si="19"/>
        <v>7312.8328119131493</v>
      </c>
      <c r="I65" s="57">
        <f t="shared" si="19"/>
        <v>7652.9913603710111</v>
      </c>
      <c r="J65" s="57">
        <f t="shared" si="19"/>
        <v>7624.9043657059356</v>
      </c>
      <c r="K65" s="57">
        <f t="shared" si="19"/>
        <v>7549.2761080238834</v>
      </c>
      <c r="L65" s="57">
        <f t="shared" si="19"/>
        <v>7493.5134052584835</v>
      </c>
      <c r="M65" s="57">
        <f t="shared" si="19"/>
        <v>7521.5611524911774</v>
      </c>
      <c r="N65" s="57">
        <f t="shared" si="19"/>
        <v>6984.2659893924456</v>
      </c>
      <c r="O65" s="57">
        <f t="shared" si="19"/>
        <v>6928.8160305144456</v>
      </c>
      <c r="P65" s="57">
        <f t="shared" si="19"/>
        <v>7048.4856326447743</v>
      </c>
      <c r="Q65" s="57">
        <f t="shared" si="19"/>
        <v>7610.6627823679783</v>
      </c>
      <c r="R65" s="57">
        <f t="shared" si="19"/>
        <v>7551.2780368548192</v>
      </c>
      <c r="S65" s="57">
        <f t="shared" si="19"/>
        <v>7508.4812932546465</v>
      </c>
      <c r="T65" s="57">
        <f t="shared" si="19"/>
        <v>7665.4780932086733</v>
      </c>
      <c r="U65" s="57">
        <f t="shared" si="19"/>
        <v>7564.641080817114</v>
      </c>
      <c r="V65" s="57">
        <f t="shared" si="19"/>
        <v>6832.7853678869124</v>
      </c>
      <c r="W65" s="57">
        <f t="shared" si="19"/>
        <v>6853.0297228195022</v>
      </c>
      <c r="DA65" s="58" t="s">
        <v>139</v>
      </c>
    </row>
    <row r="66" spans="1:105" ht="11.4" customHeight="1" x14ac:dyDescent="0.35">
      <c r="A66" s="59" t="str">
        <f>$A$6</f>
        <v>Powered two-wheelers</v>
      </c>
      <c r="B66" s="60">
        <f>[1]TrRoad_emi!B$19</f>
        <v>68.780373946650073</v>
      </c>
      <c r="C66" s="60">
        <f>[1]TrRoad_emi!C$19</f>
        <v>64.801152723754342</v>
      </c>
      <c r="D66" s="60">
        <f>[1]TrRoad_emi!D$19</f>
        <v>66.987882375422501</v>
      </c>
      <c r="E66" s="60">
        <f>[1]TrRoad_emi!E$19</f>
        <v>67.449877622388527</v>
      </c>
      <c r="F66" s="60">
        <f>[1]TrRoad_emi!F$19</f>
        <v>66.768240415501339</v>
      </c>
      <c r="G66" s="60">
        <f>[1]TrRoad_emi!G$19</f>
        <v>67.464572692275524</v>
      </c>
      <c r="H66" s="60">
        <f>[1]TrRoad_emi!H$19</f>
        <v>69.929544337882547</v>
      </c>
      <c r="I66" s="60">
        <f>[1]TrRoad_emi!I$19</f>
        <v>73.538090425707622</v>
      </c>
      <c r="J66" s="60">
        <f>[1]TrRoad_emi!J$19</f>
        <v>72.736794935352236</v>
      </c>
      <c r="K66" s="60">
        <f>[1]TrRoad_emi!K$19</f>
        <v>69.400766619868577</v>
      </c>
      <c r="L66" s="60">
        <f>[1]TrRoad_emi!L$19</f>
        <v>68.032661342074519</v>
      </c>
      <c r="M66" s="60">
        <f>[1]TrRoad_emi!M$19</f>
        <v>66.342237910043337</v>
      </c>
      <c r="N66" s="60">
        <f>[1]TrRoad_emi!N$19</f>
        <v>66.226912098767329</v>
      </c>
      <c r="O66" s="60">
        <f>[1]TrRoad_emi!O$19</f>
        <v>66.583785955967372</v>
      </c>
      <c r="P66" s="60">
        <f>[1]TrRoad_emi!P$19</f>
        <v>67.575574502892877</v>
      </c>
      <c r="Q66" s="60">
        <f>[1]TrRoad_emi!Q$19</f>
        <v>67.854679088762637</v>
      </c>
      <c r="R66" s="60">
        <f>[1]TrRoad_emi!R$19</f>
        <v>67.336236283475699</v>
      </c>
      <c r="S66" s="60">
        <f>[1]TrRoad_emi!S$19</f>
        <v>62.527792249369682</v>
      </c>
      <c r="T66" s="60">
        <f>[1]TrRoad_emi!T$19</f>
        <v>59.002111659735434</v>
      </c>
      <c r="U66" s="60">
        <f>[1]TrRoad_emi!U$19</f>
        <v>60.956996898405016</v>
      </c>
      <c r="V66" s="60">
        <f>[1]TrRoad_emi!V$19</f>
        <v>52.289507716053102</v>
      </c>
      <c r="W66" s="60">
        <f>[1]TrRoad_emi!W$19</f>
        <v>51.756883057326938</v>
      </c>
      <c r="DA66" s="49" t="s">
        <v>140</v>
      </c>
    </row>
    <row r="67" spans="1:105" ht="11.4" customHeight="1" x14ac:dyDescent="0.35">
      <c r="A67" s="59" t="str">
        <f>$A$7</f>
        <v>Passenger cars</v>
      </c>
      <c r="B67" s="60">
        <f>[1]TrRoad_emi!B$20</f>
        <v>5910.1088653621609</v>
      </c>
      <c r="C67" s="60">
        <f>[1]TrRoad_emi!C$20</f>
        <v>5843.8802201583803</v>
      </c>
      <c r="D67" s="60">
        <f>[1]TrRoad_emi!D$20</f>
        <v>5945.3350273522983</v>
      </c>
      <c r="E67" s="60">
        <f>[1]TrRoad_emi!E$20</f>
        <v>6068.1375846491719</v>
      </c>
      <c r="F67" s="60">
        <f>[1]TrRoad_emi!F$20</f>
        <v>6133.0447097356746</v>
      </c>
      <c r="G67" s="60">
        <f>[1]TrRoad_emi!G$20</f>
        <v>6150.8979981928769</v>
      </c>
      <c r="H67" s="60">
        <f>[1]TrRoad_emi!H$20</f>
        <v>6222.1341059186971</v>
      </c>
      <c r="I67" s="60">
        <f>[1]TrRoad_emi!I$20</f>
        <v>6570.1057268646291</v>
      </c>
      <c r="J67" s="60">
        <f>[1]TrRoad_emi!J$20</f>
        <v>6527.9427865858133</v>
      </c>
      <c r="K67" s="60">
        <f>[1]TrRoad_emi!K$20</f>
        <v>6439.0618501839044</v>
      </c>
      <c r="L67" s="60">
        <f>[1]TrRoad_emi!L$20</f>
        <v>6362.1593831394875</v>
      </c>
      <c r="M67" s="60">
        <f>[1]TrRoad_emi!M$20</f>
        <v>6451.8886741321621</v>
      </c>
      <c r="N67" s="60">
        <f>[1]TrRoad_emi!N$20</f>
        <v>6006.2060662948879</v>
      </c>
      <c r="O67" s="60">
        <f>[1]TrRoad_emi!O$20</f>
        <v>5989.9413040583877</v>
      </c>
      <c r="P67" s="60">
        <f>[1]TrRoad_emi!P$20</f>
        <v>6075.7931573562209</v>
      </c>
      <c r="Q67" s="60">
        <f>[1]TrRoad_emi!Q$20</f>
        <v>6613.8237247150892</v>
      </c>
      <c r="R67" s="60">
        <f>[1]TrRoad_emi!R$20</f>
        <v>6521.3227476549446</v>
      </c>
      <c r="S67" s="60">
        <f>[1]TrRoad_emi!S$20</f>
        <v>6437.3337937150791</v>
      </c>
      <c r="T67" s="60">
        <f>[1]TrRoad_emi!T$20</f>
        <v>6596.5200034692662</v>
      </c>
      <c r="U67" s="60">
        <f>[1]TrRoad_emi!U$20</f>
        <v>6529.6182657453764</v>
      </c>
      <c r="V67" s="60">
        <f>[1]TrRoad_emi!V$20</f>
        <v>5810.3524644413164</v>
      </c>
      <c r="W67" s="60">
        <f>[1]TrRoad_emi!W$20</f>
        <v>5841.9154528574918</v>
      </c>
      <c r="DA67" s="49" t="s">
        <v>141</v>
      </c>
    </row>
    <row r="68" spans="1:105" ht="11.4" customHeight="1" x14ac:dyDescent="0.35">
      <c r="A68" s="59" t="str">
        <f>$A$8</f>
        <v>Motor coaches, buses and trolley buses</v>
      </c>
      <c r="B68" s="60">
        <f>[1]TrRoad_emi!B$27</f>
        <v>1063.3926741665543</v>
      </c>
      <c r="C68" s="60">
        <f>[1]TrRoad_emi!C$27</f>
        <v>1033.6152007819326</v>
      </c>
      <c r="D68" s="60">
        <f>[1]TrRoad_emi!D$27</f>
        <v>1007.9030403117886</v>
      </c>
      <c r="E68" s="60">
        <f>[1]TrRoad_emi!E$27</f>
        <v>1021.9371189948192</v>
      </c>
      <c r="F68" s="60">
        <f>[1]TrRoad_emi!F$27</f>
        <v>1004.5376758787592</v>
      </c>
      <c r="G68" s="60">
        <f>[1]TrRoad_emi!G$27</f>
        <v>1013.6784657967717</v>
      </c>
      <c r="H68" s="60">
        <f>[1]TrRoad_emi!H$27</f>
        <v>1020.7691616565697</v>
      </c>
      <c r="I68" s="60">
        <f>[1]TrRoad_emi!I$27</f>
        <v>1009.3475430806744</v>
      </c>
      <c r="J68" s="60">
        <f>[1]TrRoad_emi!J$27</f>
        <v>1024.2247841847704</v>
      </c>
      <c r="K68" s="60">
        <f>[1]TrRoad_emi!K$27</f>
        <v>1040.8134912201099</v>
      </c>
      <c r="L68" s="60">
        <f>[1]TrRoad_emi!L$27</f>
        <v>1063.3213607769208</v>
      </c>
      <c r="M68" s="60">
        <f>[1]TrRoad_emi!M$27</f>
        <v>1003.3302404489723</v>
      </c>
      <c r="N68" s="60">
        <f>[1]TrRoad_emi!N$27</f>
        <v>911.83301099878997</v>
      </c>
      <c r="O68" s="60">
        <f>[1]TrRoad_emi!O$27</f>
        <v>872.29094050009076</v>
      </c>
      <c r="P68" s="60">
        <f>[1]TrRoad_emi!P$27</f>
        <v>905.11690078566085</v>
      </c>
      <c r="Q68" s="60">
        <f>[1]TrRoad_emi!Q$27</f>
        <v>928.98437856412636</v>
      </c>
      <c r="R68" s="60">
        <f>[1]TrRoad_emi!R$27</f>
        <v>962.61905291639846</v>
      </c>
      <c r="S68" s="60">
        <f>[1]TrRoad_emi!S$27</f>
        <v>1008.6197072901973</v>
      </c>
      <c r="T68" s="60">
        <f>[1]TrRoad_emi!T$27</f>
        <v>1009.9559780796715</v>
      </c>
      <c r="U68" s="60">
        <f>[1]TrRoad_emi!U$27</f>
        <v>974.06581817333267</v>
      </c>
      <c r="V68" s="60">
        <f>[1]TrRoad_emi!V$27</f>
        <v>970.14339572954316</v>
      </c>
      <c r="W68" s="60">
        <f>[1]TrRoad_emi!W$27</f>
        <v>959.35738690468327</v>
      </c>
      <c r="DA68" s="49" t="s">
        <v>142</v>
      </c>
    </row>
    <row r="69" spans="1:105" ht="11.4" customHeight="1" x14ac:dyDescent="0.35">
      <c r="A69" s="61" t="str">
        <f>$A$9</f>
        <v>Rail, metro and tram</v>
      </c>
      <c r="B69" s="62">
        <f t="shared" ref="B69:W69" si="20">B70+B71+B72</f>
        <v>197.56286081920211</v>
      </c>
      <c r="C69" s="62">
        <f t="shared" si="20"/>
        <v>183.62182624938225</v>
      </c>
      <c r="D69" s="62">
        <f t="shared" si="20"/>
        <v>186.81610772024646</v>
      </c>
      <c r="E69" s="62">
        <f t="shared" si="20"/>
        <v>194.89220436100666</v>
      </c>
      <c r="F69" s="62">
        <f t="shared" si="20"/>
        <v>188.73043625241783</v>
      </c>
      <c r="G69" s="62">
        <f t="shared" si="20"/>
        <v>207.08602316702863</v>
      </c>
      <c r="H69" s="62">
        <f t="shared" si="20"/>
        <v>204.29183364473175</v>
      </c>
      <c r="I69" s="62">
        <f t="shared" si="20"/>
        <v>206.66722161122414</v>
      </c>
      <c r="J69" s="62">
        <f t="shared" si="20"/>
        <v>216.60181520158139</v>
      </c>
      <c r="K69" s="62">
        <f t="shared" si="20"/>
        <v>211.31015033813617</v>
      </c>
      <c r="L69" s="62">
        <f t="shared" si="20"/>
        <v>218.07443158301263</v>
      </c>
      <c r="M69" s="62">
        <f t="shared" si="20"/>
        <v>220.54767584704081</v>
      </c>
      <c r="N69" s="62">
        <f t="shared" si="20"/>
        <v>226.17256753204401</v>
      </c>
      <c r="O69" s="62">
        <f t="shared" si="20"/>
        <v>221.94641529613014</v>
      </c>
      <c r="P69" s="62">
        <f t="shared" si="20"/>
        <v>225.85263559719826</v>
      </c>
      <c r="Q69" s="62">
        <f t="shared" si="20"/>
        <v>220.05759206394896</v>
      </c>
      <c r="R69" s="62">
        <f t="shared" si="20"/>
        <v>225.5908121120963</v>
      </c>
      <c r="S69" s="62">
        <f t="shared" si="20"/>
        <v>218.00011709372512</v>
      </c>
      <c r="T69" s="62">
        <f t="shared" si="20"/>
        <v>200.70550661846889</v>
      </c>
      <c r="U69" s="62">
        <f t="shared" si="20"/>
        <v>201.99273834507969</v>
      </c>
      <c r="V69" s="62">
        <f t="shared" si="20"/>
        <v>176.28058134472019</v>
      </c>
      <c r="W69" s="62">
        <f t="shared" si="20"/>
        <v>168.373089255764</v>
      </c>
      <c r="DA69" s="63" t="s">
        <v>143</v>
      </c>
    </row>
    <row r="70" spans="1:105" ht="11.4" customHeight="1" x14ac:dyDescent="0.35">
      <c r="A70" s="59" t="str">
        <f>$A$10</f>
        <v>Metro and tram, urban light rail</v>
      </c>
      <c r="B70" s="60">
        <f>[1]TrRail_emi!B$10</f>
        <v>0</v>
      </c>
      <c r="C70" s="60">
        <f>[1]TrRail_emi!C$10</f>
        <v>0</v>
      </c>
      <c r="D70" s="60">
        <f>[1]TrRail_emi!D$10</f>
        <v>0</v>
      </c>
      <c r="E70" s="60">
        <f>[1]TrRail_emi!E$10</f>
        <v>0</v>
      </c>
      <c r="F70" s="60">
        <f>[1]TrRail_emi!F$10</f>
        <v>0</v>
      </c>
      <c r="G70" s="60">
        <f>[1]TrRail_emi!G$10</f>
        <v>0</v>
      </c>
      <c r="H70" s="60">
        <f>[1]TrRail_emi!H$10</f>
        <v>0</v>
      </c>
      <c r="I70" s="60">
        <f>[1]TrRail_emi!I$10</f>
        <v>0</v>
      </c>
      <c r="J70" s="60">
        <f>[1]TrRail_emi!J$10</f>
        <v>0</v>
      </c>
      <c r="K70" s="60">
        <f>[1]TrRail_emi!K$10</f>
        <v>0</v>
      </c>
      <c r="L70" s="60">
        <f>[1]TrRail_emi!L$10</f>
        <v>0</v>
      </c>
      <c r="M70" s="60">
        <f>[1]TrRail_emi!M$10</f>
        <v>0</v>
      </c>
      <c r="N70" s="60">
        <f>[1]TrRail_emi!N$10</f>
        <v>0</v>
      </c>
      <c r="O70" s="60">
        <f>[1]TrRail_emi!O$10</f>
        <v>0</v>
      </c>
      <c r="P70" s="60">
        <f>[1]TrRail_emi!P$10</f>
        <v>0</v>
      </c>
      <c r="Q70" s="60">
        <f>[1]TrRail_emi!Q$10</f>
        <v>0</v>
      </c>
      <c r="R70" s="60">
        <f>[1]TrRail_emi!R$10</f>
        <v>0</v>
      </c>
      <c r="S70" s="60">
        <f>[1]TrRail_emi!S$10</f>
        <v>0</v>
      </c>
      <c r="T70" s="60">
        <f>[1]TrRail_emi!T$10</f>
        <v>0</v>
      </c>
      <c r="U70" s="60">
        <f>[1]TrRail_emi!U$10</f>
        <v>0</v>
      </c>
      <c r="V70" s="60">
        <f>[1]TrRail_emi!V$10</f>
        <v>0</v>
      </c>
      <c r="W70" s="60">
        <f>[1]TrRail_emi!W$10</f>
        <v>0</v>
      </c>
      <c r="DA70" s="49" t="s">
        <v>144</v>
      </c>
    </row>
    <row r="71" spans="1:105" ht="11.4" customHeight="1" x14ac:dyDescent="0.35">
      <c r="A71" s="59" t="str">
        <f>$A$11</f>
        <v>Conventional passenger trains</v>
      </c>
      <c r="B71" s="60">
        <f>[1]TrRail_emi!B$11</f>
        <v>197.56286081920211</v>
      </c>
      <c r="C71" s="60">
        <f>[1]TrRail_emi!C$11</f>
        <v>183.62182624938225</v>
      </c>
      <c r="D71" s="60">
        <f>[1]TrRail_emi!D$11</f>
        <v>186.81610772024646</v>
      </c>
      <c r="E71" s="60">
        <f>[1]TrRail_emi!E$11</f>
        <v>194.89220436100666</v>
      </c>
      <c r="F71" s="60">
        <f>[1]TrRail_emi!F$11</f>
        <v>188.73043625241783</v>
      </c>
      <c r="G71" s="60">
        <f>[1]TrRail_emi!G$11</f>
        <v>207.08602316702863</v>
      </c>
      <c r="H71" s="60">
        <f>[1]TrRail_emi!H$11</f>
        <v>204.29183364473175</v>
      </c>
      <c r="I71" s="60">
        <f>[1]TrRail_emi!I$11</f>
        <v>206.66722161122414</v>
      </c>
      <c r="J71" s="60">
        <f>[1]TrRail_emi!J$11</f>
        <v>216.60181520158139</v>
      </c>
      <c r="K71" s="60">
        <f>[1]TrRail_emi!K$11</f>
        <v>211.31015033813617</v>
      </c>
      <c r="L71" s="60">
        <f>[1]TrRail_emi!L$11</f>
        <v>218.07443158301263</v>
      </c>
      <c r="M71" s="60">
        <f>[1]TrRail_emi!M$11</f>
        <v>220.54767584704081</v>
      </c>
      <c r="N71" s="60">
        <f>[1]TrRail_emi!N$11</f>
        <v>226.17256753204401</v>
      </c>
      <c r="O71" s="60">
        <f>[1]TrRail_emi!O$11</f>
        <v>221.94641529613014</v>
      </c>
      <c r="P71" s="60">
        <f>[1]TrRail_emi!P$11</f>
        <v>225.85263559719826</v>
      </c>
      <c r="Q71" s="60">
        <f>[1]TrRail_emi!Q$11</f>
        <v>220.05759206394896</v>
      </c>
      <c r="R71" s="60">
        <f>[1]TrRail_emi!R$11</f>
        <v>225.5908121120963</v>
      </c>
      <c r="S71" s="60">
        <f>[1]TrRail_emi!S$11</f>
        <v>218.00011709372512</v>
      </c>
      <c r="T71" s="60">
        <f>[1]TrRail_emi!T$11</f>
        <v>200.70550661846889</v>
      </c>
      <c r="U71" s="60">
        <f>[1]TrRail_emi!U$11</f>
        <v>201.99273834507969</v>
      </c>
      <c r="V71" s="60">
        <f>[1]TrRail_emi!V$11</f>
        <v>176.28058134472019</v>
      </c>
      <c r="W71" s="60">
        <f>[1]TrRail_emi!W$11</f>
        <v>168.373089255764</v>
      </c>
      <c r="DA71" s="49" t="s">
        <v>145</v>
      </c>
    </row>
    <row r="72" spans="1:105" ht="11.4" customHeight="1" x14ac:dyDescent="0.35">
      <c r="A72" s="59" t="str">
        <f>$A$12</f>
        <v>High speed passenger trains</v>
      </c>
      <c r="B72" s="60">
        <f>[1]TrRail_emi!B$14</f>
        <v>0</v>
      </c>
      <c r="C72" s="60">
        <f>[1]TrRail_emi!C$14</f>
        <v>0</v>
      </c>
      <c r="D72" s="60">
        <f>[1]TrRail_emi!D$14</f>
        <v>0</v>
      </c>
      <c r="E72" s="60">
        <f>[1]TrRail_emi!E$14</f>
        <v>0</v>
      </c>
      <c r="F72" s="60">
        <f>[1]TrRail_emi!F$14</f>
        <v>0</v>
      </c>
      <c r="G72" s="60">
        <f>[1]TrRail_emi!G$14</f>
        <v>0</v>
      </c>
      <c r="H72" s="60">
        <f>[1]TrRail_emi!H$14</f>
        <v>0</v>
      </c>
      <c r="I72" s="60">
        <f>[1]TrRail_emi!I$14</f>
        <v>0</v>
      </c>
      <c r="J72" s="60">
        <f>[1]TrRail_emi!J$14</f>
        <v>0</v>
      </c>
      <c r="K72" s="60">
        <f>[1]TrRail_emi!K$14</f>
        <v>0</v>
      </c>
      <c r="L72" s="60">
        <f>[1]TrRail_emi!L$14</f>
        <v>0</v>
      </c>
      <c r="M72" s="60">
        <f>[1]TrRail_emi!M$14</f>
        <v>0</v>
      </c>
      <c r="N72" s="60">
        <f>[1]TrRail_emi!N$14</f>
        <v>0</v>
      </c>
      <c r="O72" s="60">
        <f>[1]TrRail_emi!O$14</f>
        <v>0</v>
      </c>
      <c r="P72" s="60">
        <f>[1]TrRail_emi!P$14</f>
        <v>0</v>
      </c>
      <c r="Q72" s="60">
        <f>[1]TrRail_emi!Q$14</f>
        <v>0</v>
      </c>
      <c r="R72" s="60">
        <f>[1]TrRail_emi!R$14</f>
        <v>0</v>
      </c>
      <c r="S72" s="60">
        <f>[1]TrRail_emi!S$14</f>
        <v>0</v>
      </c>
      <c r="T72" s="60">
        <f>[1]TrRail_emi!T$14</f>
        <v>0</v>
      </c>
      <c r="U72" s="60">
        <f>[1]TrRail_emi!U$14</f>
        <v>0</v>
      </c>
      <c r="V72" s="60">
        <f>[1]TrRail_emi!V$14</f>
        <v>0</v>
      </c>
      <c r="W72" s="60">
        <f>[1]TrRail_emi!W$14</f>
        <v>0</v>
      </c>
      <c r="DA72" s="49" t="s">
        <v>146</v>
      </c>
    </row>
    <row r="73" spans="1:105" ht="11.4" customHeight="1" x14ac:dyDescent="0.35">
      <c r="A73" s="61" t="str">
        <f>$A$13</f>
        <v>Aviation</v>
      </c>
      <c r="B73" s="62">
        <f t="shared" ref="B73:W73" si="21">B74+B75+B76</f>
        <v>2478.5325370876999</v>
      </c>
      <c r="C73" s="62">
        <f t="shared" si="21"/>
        <v>2518.2919717378804</v>
      </c>
      <c r="D73" s="62">
        <f t="shared" si="21"/>
        <v>2179.2022611994144</v>
      </c>
      <c r="E73" s="62">
        <f t="shared" si="21"/>
        <v>2258.8530697212905</v>
      </c>
      <c r="F73" s="62">
        <f t="shared" si="21"/>
        <v>2553.5275586167472</v>
      </c>
      <c r="G73" s="62">
        <f t="shared" si="21"/>
        <v>2681.7721823511006</v>
      </c>
      <c r="H73" s="62">
        <f t="shared" si="21"/>
        <v>2692.9443088216744</v>
      </c>
      <c r="I73" s="62">
        <f t="shared" si="21"/>
        <v>2774.9794093028531</v>
      </c>
      <c r="J73" s="62">
        <f t="shared" si="21"/>
        <v>2597.5322530651792</v>
      </c>
      <c r="K73" s="62">
        <f t="shared" si="21"/>
        <v>2320.308706411035</v>
      </c>
      <c r="L73" s="62">
        <f t="shared" si="21"/>
        <v>2416.5656625875354</v>
      </c>
      <c r="M73" s="62">
        <f t="shared" si="21"/>
        <v>2483.1983690956013</v>
      </c>
      <c r="N73" s="62">
        <f t="shared" si="21"/>
        <v>2481.3004930541274</v>
      </c>
      <c r="O73" s="62">
        <f t="shared" si="21"/>
        <v>2476.6435380771932</v>
      </c>
      <c r="P73" s="62">
        <f t="shared" si="21"/>
        <v>2655.5344661329891</v>
      </c>
      <c r="Q73" s="62">
        <f t="shared" si="21"/>
        <v>2610.0522349344146</v>
      </c>
      <c r="R73" s="62">
        <f t="shared" si="21"/>
        <v>2841.8883965162368</v>
      </c>
      <c r="S73" s="62">
        <f t="shared" si="21"/>
        <v>2926.063312079049</v>
      </c>
      <c r="T73" s="62">
        <f t="shared" si="21"/>
        <v>3090.1697754469892</v>
      </c>
      <c r="U73" s="62">
        <f t="shared" si="21"/>
        <v>3144.8696105262761</v>
      </c>
      <c r="V73" s="62">
        <f t="shared" si="21"/>
        <v>963.77245511701904</v>
      </c>
      <c r="W73" s="62">
        <f t="shared" si="21"/>
        <v>1213.753623106747</v>
      </c>
      <c r="DA73" s="63" t="s">
        <v>147</v>
      </c>
    </row>
    <row r="74" spans="1:105" ht="11.4" customHeight="1" x14ac:dyDescent="0.35">
      <c r="A74" s="59" t="str">
        <f>$A$14</f>
        <v>Domestic</v>
      </c>
      <c r="B74" s="60">
        <f>[1]TrAvia_emi!B$7</f>
        <v>139.87010369897237</v>
      </c>
      <c r="C74" s="60">
        <f>[1]TrAvia_emi!C$7</f>
        <v>142.95345333416441</v>
      </c>
      <c r="D74" s="60">
        <f>[1]TrAvia_emi!D$7</f>
        <v>118.14577432375066</v>
      </c>
      <c r="E74" s="60">
        <f>[1]TrAvia_emi!E$7</f>
        <v>115.26459907478927</v>
      </c>
      <c r="F74" s="60">
        <f>[1]TrAvia_emi!F$7</f>
        <v>96.60334512611486</v>
      </c>
      <c r="G74" s="60">
        <f>[1]TrAvia_emi!G$7</f>
        <v>102.79499678263707</v>
      </c>
      <c r="H74" s="60">
        <f>[1]TrAvia_emi!H$7</f>
        <v>108.98149070195034</v>
      </c>
      <c r="I74" s="60">
        <f>[1]TrAvia_emi!I$7</f>
        <v>127.72623720387037</v>
      </c>
      <c r="J74" s="60">
        <f>[1]TrAvia_emi!J$7</f>
        <v>133.59853710169531</v>
      </c>
      <c r="K74" s="60">
        <f>[1]TrAvia_emi!K$7</f>
        <v>133.66341547465481</v>
      </c>
      <c r="L74" s="60">
        <f>[1]TrAvia_emi!L$7</f>
        <v>140.37827296116072</v>
      </c>
      <c r="M74" s="60">
        <f>[1]TrAvia_emi!M$7</f>
        <v>134.25693840286388</v>
      </c>
      <c r="N74" s="60">
        <f>[1]TrAvia_emi!N$7</f>
        <v>115.49416213068984</v>
      </c>
      <c r="O74" s="60">
        <f>[1]TrAvia_emi!O$7</f>
        <v>112.36217361914836</v>
      </c>
      <c r="P74" s="60">
        <f>[1]TrAvia_emi!P$7</f>
        <v>109.246081531909</v>
      </c>
      <c r="Q74" s="60">
        <f>[1]TrAvia_emi!Q$7</f>
        <v>101.48017216667321</v>
      </c>
      <c r="R74" s="60">
        <f>[1]TrAvia_emi!R$7</f>
        <v>105.44834310810397</v>
      </c>
      <c r="S74" s="60">
        <f>[1]TrAvia_emi!S$7</f>
        <v>100.65881833197425</v>
      </c>
      <c r="T74" s="60">
        <f>[1]TrAvia_emi!T$7</f>
        <v>95.218146977011926</v>
      </c>
      <c r="U74" s="60">
        <f>[1]TrAvia_emi!U$7</f>
        <v>95.544012742005549</v>
      </c>
      <c r="V74" s="60">
        <f>[1]TrAvia_emi!V$7</f>
        <v>51.215409454179579</v>
      </c>
      <c r="W74" s="60">
        <f>[1]TrAvia_emi!W$7</f>
        <v>54.860247032209166</v>
      </c>
      <c r="DA74" s="49" t="s">
        <v>148</v>
      </c>
    </row>
    <row r="75" spans="1:105" ht="11.4" customHeight="1" x14ac:dyDescent="0.35">
      <c r="A75" s="59" t="str">
        <f>$A$15</f>
        <v>International - Intra-EEAwUK</v>
      </c>
      <c r="B75" s="60">
        <f>[1]TrAvia_emi!B$8</f>
        <v>1318.1830786397368</v>
      </c>
      <c r="C75" s="60">
        <f>[1]TrAvia_emi!C$8</f>
        <v>1338.8395643364747</v>
      </c>
      <c r="D75" s="60">
        <f>[1]TrAvia_emi!D$8</f>
        <v>1211.4104014479728</v>
      </c>
      <c r="E75" s="60">
        <f>[1]TrAvia_emi!E$8</f>
        <v>1276.4043200815872</v>
      </c>
      <c r="F75" s="60">
        <f>[1]TrAvia_emi!F$8</f>
        <v>1412.5521463962191</v>
      </c>
      <c r="G75" s="60">
        <f>[1]TrAvia_emi!G$8</f>
        <v>1476.0881195881611</v>
      </c>
      <c r="H75" s="60">
        <f>[1]TrAvia_emi!H$8</f>
        <v>1489.9810072439468</v>
      </c>
      <c r="I75" s="60">
        <f>[1]TrAvia_emi!I$8</f>
        <v>1544.0577458884109</v>
      </c>
      <c r="J75" s="60">
        <f>[1]TrAvia_emi!J$8</f>
        <v>1434.5116105271547</v>
      </c>
      <c r="K75" s="60">
        <f>[1]TrAvia_emi!K$8</f>
        <v>1230.8241061184904</v>
      </c>
      <c r="L75" s="60">
        <f>[1]TrAvia_emi!L$8</f>
        <v>1273.5418170920991</v>
      </c>
      <c r="M75" s="60">
        <f>[1]TrAvia_emi!M$8</f>
        <v>1319.9551906127574</v>
      </c>
      <c r="N75" s="60">
        <f>[1]TrAvia_emi!N$8</f>
        <v>1318.5439767498835</v>
      </c>
      <c r="O75" s="60">
        <f>[1]TrAvia_emi!O$8</f>
        <v>1321.6668661681927</v>
      </c>
      <c r="P75" s="60">
        <f>[1]TrAvia_emi!P$8</f>
        <v>1427.8745510721094</v>
      </c>
      <c r="Q75" s="60">
        <f>[1]TrAvia_emi!Q$8</f>
        <v>1416.7285551935774</v>
      </c>
      <c r="R75" s="60">
        <f>[1]TrAvia_emi!R$8</f>
        <v>1590.8637674320532</v>
      </c>
      <c r="S75" s="60">
        <f>[1]TrAvia_emi!S$8</f>
        <v>1653.153175091805</v>
      </c>
      <c r="T75" s="60">
        <f>[1]TrAvia_emi!T$8</f>
        <v>1737.6342468658413</v>
      </c>
      <c r="U75" s="60">
        <f>[1]TrAvia_emi!U$8</f>
        <v>1736.5544600024325</v>
      </c>
      <c r="V75" s="60">
        <f>[1]TrAvia_emi!V$8</f>
        <v>453.70642891911416</v>
      </c>
      <c r="W75" s="60">
        <f>[1]TrAvia_emi!W$8</f>
        <v>615.67796205090053</v>
      </c>
      <c r="DA75" s="49" t="s">
        <v>149</v>
      </c>
    </row>
    <row r="76" spans="1:105" ht="11.4" customHeight="1" x14ac:dyDescent="0.35">
      <c r="A76" s="59" t="str">
        <f>$A$16</f>
        <v>International - Extra-EEAwUK</v>
      </c>
      <c r="B76" s="60">
        <f>[1]TrAvia_emi!B$9</f>
        <v>1020.4793547489905</v>
      </c>
      <c r="C76" s="60">
        <f>[1]TrAvia_emi!C$9</f>
        <v>1036.4989540672414</v>
      </c>
      <c r="D76" s="60">
        <f>[1]TrAvia_emi!D$9</f>
        <v>849.64608542769099</v>
      </c>
      <c r="E76" s="60">
        <f>[1]TrAvia_emi!E$9</f>
        <v>867.18415056491403</v>
      </c>
      <c r="F76" s="60">
        <f>[1]TrAvia_emi!F$9</f>
        <v>1044.3720670944133</v>
      </c>
      <c r="G76" s="60">
        <f>[1]TrAvia_emi!G$9</f>
        <v>1102.8890659803023</v>
      </c>
      <c r="H76" s="60">
        <f>[1]TrAvia_emi!H$9</f>
        <v>1093.9818108757772</v>
      </c>
      <c r="I76" s="60">
        <f>[1]TrAvia_emi!I$9</f>
        <v>1103.1954262105719</v>
      </c>
      <c r="J76" s="60">
        <f>[1]TrAvia_emi!J$9</f>
        <v>1029.4221054363293</v>
      </c>
      <c r="K76" s="60">
        <f>[1]TrAvia_emi!K$9</f>
        <v>955.82118481788962</v>
      </c>
      <c r="L76" s="60">
        <f>[1]TrAvia_emi!L$9</f>
        <v>1002.6455725342753</v>
      </c>
      <c r="M76" s="60">
        <f>[1]TrAvia_emi!M$9</f>
        <v>1028.98624007998</v>
      </c>
      <c r="N76" s="60">
        <f>[1]TrAvia_emi!N$9</f>
        <v>1047.2623541735541</v>
      </c>
      <c r="O76" s="60">
        <f>[1]TrAvia_emi!O$9</f>
        <v>1042.6144982898522</v>
      </c>
      <c r="P76" s="60">
        <f>[1]TrAvia_emi!P$9</f>
        <v>1118.4138335289706</v>
      </c>
      <c r="Q76" s="60">
        <f>[1]TrAvia_emi!Q$9</f>
        <v>1091.8435075741638</v>
      </c>
      <c r="R76" s="60">
        <f>[1]TrAvia_emi!R$9</f>
        <v>1145.5762859760798</v>
      </c>
      <c r="S76" s="60">
        <f>[1]TrAvia_emi!S$9</f>
        <v>1172.2513186552694</v>
      </c>
      <c r="T76" s="60">
        <f>[1]TrAvia_emi!T$9</f>
        <v>1257.317381604136</v>
      </c>
      <c r="U76" s="60">
        <f>[1]TrAvia_emi!U$9</f>
        <v>1312.7711377818378</v>
      </c>
      <c r="V76" s="60">
        <f>[1]TrAvia_emi!V$9</f>
        <v>458.85061674372537</v>
      </c>
      <c r="W76" s="60">
        <f>[1]TrAvia_emi!W$9</f>
        <v>543.21541402363721</v>
      </c>
      <c r="DA76" s="49" t="s">
        <v>150</v>
      </c>
    </row>
    <row r="77" spans="1:105" ht="11.4" customHeight="1" x14ac:dyDescent="0.35">
      <c r="A77" s="53" t="s">
        <v>122</v>
      </c>
      <c r="B77" s="54">
        <f t="shared" ref="B77:W77" si="22">B78+B81+B82+B86+B92</f>
        <v>4565.1184406577349</v>
      </c>
      <c r="C77" s="54">
        <f t="shared" si="22"/>
        <v>4771.6241279086698</v>
      </c>
      <c r="D77" s="54">
        <f t="shared" si="22"/>
        <v>4864.2628532408307</v>
      </c>
      <c r="E77" s="54">
        <f t="shared" si="22"/>
        <v>5198.4509582113224</v>
      </c>
      <c r="F77" s="54">
        <f t="shared" si="22"/>
        <v>5476.7139482209004</v>
      </c>
      <c r="G77" s="54">
        <f t="shared" si="22"/>
        <v>5647.1720680399476</v>
      </c>
      <c r="H77" s="54">
        <f t="shared" si="22"/>
        <v>5863.0138095404454</v>
      </c>
      <c r="I77" s="54">
        <f t="shared" si="22"/>
        <v>6060.0654792349114</v>
      </c>
      <c r="J77" s="54">
        <f t="shared" si="22"/>
        <v>6101.8324897473058</v>
      </c>
      <c r="K77" s="54">
        <f t="shared" si="22"/>
        <v>5389.8196531469484</v>
      </c>
      <c r="L77" s="54">
        <f t="shared" si="22"/>
        <v>5293.6563658909699</v>
      </c>
      <c r="M77" s="54">
        <f t="shared" si="22"/>
        <v>4915.2747744061817</v>
      </c>
      <c r="N77" s="54">
        <f t="shared" si="22"/>
        <v>4417.9771787813825</v>
      </c>
      <c r="O77" s="54">
        <f t="shared" si="22"/>
        <v>4250.8480231122276</v>
      </c>
      <c r="P77" s="54">
        <f t="shared" si="22"/>
        <v>4247.4929617050384</v>
      </c>
      <c r="Q77" s="54">
        <f t="shared" si="22"/>
        <v>4125.6245958736563</v>
      </c>
      <c r="R77" s="54">
        <f t="shared" si="22"/>
        <v>4302.1930092768471</v>
      </c>
      <c r="S77" s="54">
        <f t="shared" si="22"/>
        <v>4346.1262962925803</v>
      </c>
      <c r="T77" s="54">
        <f t="shared" si="22"/>
        <v>4429.9253846458678</v>
      </c>
      <c r="U77" s="54">
        <f t="shared" si="22"/>
        <v>4271.315926271528</v>
      </c>
      <c r="V77" s="54">
        <f t="shared" si="22"/>
        <v>4072.4277219313476</v>
      </c>
      <c r="W77" s="54">
        <f t="shared" si="22"/>
        <v>4292.6526326979892</v>
      </c>
      <c r="DA77" s="55"/>
    </row>
    <row r="78" spans="1:105" ht="11.4" customHeight="1" x14ac:dyDescent="0.35">
      <c r="A78" s="56" t="str">
        <f>$A$18</f>
        <v>Road transport</v>
      </c>
      <c r="B78" s="57">
        <f t="shared" ref="B78:W78" si="23">B79+B80</f>
        <v>3999.4818400446366</v>
      </c>
      <c r="C78" s="57">
        <f t="shared" si="23"/>
        <v>4187.982523295932</v>
      </c>
      <c r="D78" s="57">
        <f t="shared" si="23"/>
        <v>4222.6685737204898</v>
      </c>
      <c r="E78" s="57">
        <f t="shared" si="23"/>
        <v>4569.3518472936194</v>
      </c>
      <c r="F78" s="57">
        <f t="shared" si="23"/>
        <v>4911.7645759300658</v>
      </c>
      <c r="G78" s="57">
        <f t="shared" si="23"/>
        <v>4999.2515155180772</v>
      </c>
      <c r="H78" s="57">
        <f t="shared" si="23"/>
        <v>5267.853136606851</v>
      </c>
      <c r="I78" s="57">
        <f t="shared" si="23"/>
        <v>5537.5169852289882</v>
      </c>
      <c r="J78" s="57">
        <f t="shared" si="23"/>
        <v>5266.8574618540661</v>
      </c>
      <c r="K78" s="57">
        <f t="shared" si="23"/>
        <v>4660.6290994161191</v>
      </c>
      <c r="L78" s="57">
        <f t="shared" si="23"/>
        <v>4627.3085090615186</v>
      </c>
      <c r="M78" s="57">
        <f t="shared" si="23"/>
        <v>4264.8245371488247</v>
      </c>
      <c r="N78" s="57">
        <f t="shared" si="23"/>
        <v>3777.5435841275539</v>
      </c>
      <c r="O78" s="57">
        <f t="shared" si="23"/>
        <v>3626.664688125551</v>
      </c>
      <c r="P78" s="57">
        <f t="shared" si="23"/>
        <v>3691.1807861952257</v>
      </c>
      <c r="Q78" s="57">
        <f t="shared" si="23"/>
        <v>3539.2866321520196</v>
      </c>
      <c r="R78" s="57">
        <f t="shared" si="23"/>
        <v>3800.3166494651805</v>
      </c>
      <c r="S78" s="57">
        <f t="shared" si="23"/>
        <v>3857.9669455453541</v>
      </c>
      <c r="T78" s="57">
        <f t="shared" si="23"/>
        <v>3960.0186421113249</v>
      </c>
      <c r="U78" s="57">
        <f t="shared" si="23"/>
        <v>3773.7583894228846</v>
      </c>
      <c r="V78" s="57">
        <f t="shared" si="23"/>
        <v>3597.4910835930868</v>
      </c>
      <c r="W78" s="57">
        <f t="shared" si="23"/>
        <v>3718.8925075804991</v>
      </c>
      <c r="DA78" s="58" t="s">
        <v>151</v>
      </c>
    </row>
    <row r="79" spans="1:105" ht="11.4" customHeight="1" x14ac:dyDescent="0.35">
      <c r="A79" s="59" t="str">
        <f>$A$19</f>
        <v>Light commercial vehicles</v>
      </c>
      <c r="B79" s="60">
        <f>[1]TrRoad_emi!B$34</f>
        <v>1870.4837868876482</v>
      </c>
      <c r="C79" s="60">
        <f>[1]TrRoad_emi!C$34</f>
        <v>1937.5024125142877</v>
      </c>
      <c r="D79" s="60">
        <f>[1]TrRoad_emi!D$34</f>
        <v>1925.7579321427756</v>
      </c>
      <c r="E79" s="60">
        <f>[1]TrRoad_emi!E$34</f>
        <v>1959.1390795032733</v>
      </c>
      <c r="F79" s="60">
        <f>[1]TrRoad_emi!F$34</f>
        <v>2079.8249534251531</v>
      </c>
      <c r="G79" s="60">
        <f>[1]TrRoad_emi!G$34</f>
        <v>2165.3569202909871</v>
      </c>
      <c r="H79" s="60">
        <f>[1]TrRoad_emi!H$34</f>
        <v>2333.0730569567509</v>
      </c>
      <c r="I79" s="60">
        <f>[1]TrRoad_emi!I$34</f>
        <v>2520.9155196673219</v>
      </c>
      <c r="J79" s="60">
        <f>[1]TrRoad_emi!J$34</f>
        <v>2467.6897001649227</v>
      </c>
      <c r="K79" s="60">
        <f>[1]TrRoad_emi!K$34</f>
        <v>2280.0636652639737</v>
      </c>
      <c r="L79" s="60">
        <f>[1]TrRoad_emi!L$34</f>
        <v>2198.7016022553175</v>
      </c>
      <c r="M79" s="60">
        <f>[1]TrRoad_emi!M$34</f>
        <v>1926.9635731811454</v>
      </c>
      <c r="N79" s="60">
        <f>[1]TrRoad_emi!N$34</f>
        <v>1718.1807468073735</v>
      </c>
      <c r="O79" s="60">
        <f>[1]TrRoad_emi!O$34</f>
        <v>1614.0515709333692</v>
      </c>
      <c r="P79" s="60">
        <f>[1]TrRoad_emi!P$34</f>
        <v>1535.9788249463829</v>
      </c>
      <c r="Q79" s="60">
        <f>[1]TrRoad_emi!Q$34</f>
        <v>1540.3792572361642</v>
      </c>
      <c r="R79" s="60">
        <f>[1]TrRoad_emi!R$34</f>
        <v>1534.4079450829806</v>
      </c>
      <c r="S79" s="60">
        <f>[1]TrRoad_emi!S$34</f>
        <v>1561.3403670619234</v>
      </c>
      <c r="T79" s="60">
        <f>[1]TrRoad_emi!T$34</f>
        <v>1575.7048212114339</v>
      </c>
      <c r="U79" s="60">
        <f>[1]TrRoad_emi!U$34</f>
        <v>1484.1537465193662</v>
      </c>
      <c r="V79" s="60">
        <f>[1]TrRoad_emi!V$34</f>
        <v>1371.5893830635371</v>
      </c>
      <c r="W79" s="60">
        <f>[1]TrRoad_emi!W$34</f>
        <v>1407.9079992781244</v>
      </c>
      <c r="DA79" s="49" t="s">
        <v>152</v>
      </c>
    </row>
    <row r="80" spans="1:105" ht="11.4" customHeight="1" x14ac:dyDescent="0.35">
      <c r="A80" s="59" t="str">
        <f>$A$20</f>
        <v>Heavy goods vehicles</v>
      </c>
      <c r="B80" s="60">
        <f>[1]TrRoad_emi!B$40</f>
        <v>2128.9980531569881</v>
      </c>
      <c r="C80" s="60">
        <f>[1]TrRoad_emi!C$40</f>
        <v>2250.4801107816438</v>
      </c>
      <c r="D80" s="60">
        <f>[1]TrRoad_emi!D$40</f>
        <v>2296.9106415777142</v>
      </c>
      <c r="E80" s="60">
        <f>[1]TrRoad_emi!E$40</f>
        <v>2610.2127677903459</v>
      </c>
      <c r="F80" s="60">
        <f>[1]TrRoad_emi!F$40</f>
        <v>2831.9396225049127</v>
      </c>
      <c r="G80" s="60">
        <f>[1]TrRoad_emi!G$40</f>
        <v>2833.8945952270906</v>
      </c>
      <c r="H80" s="60">
        <f>[1]TrRoad_emi!H$40</f>
        <v>2934.7800796501001</v>
      </c>
      <c r="I80" s="60">
        <f>[1]TrRoad_emi!I$40</f>
        <v>3016.6014655616664</v>
      </c>
      <c r="J80" s="60">
        <f>[1]TrRoad_emi!J$40</f>
        <v>2799.1677616891429</v>
      </c>
      <c r="K80" s="60">
        <f>[1]TrRoad_emi!K$40</f>
        <v>2380.5654341521458</v>
      </c>
      <c r="L80" s="60">
        <f>[1]TrRoad_emi!L$40</f>
        <v>2428.6069068062011</v>
      </c>
      <c r="M80" s="60">
        <f>[1]TrRoad_emi!M$40</f>
        <v>2337.8609639676788</v>
      </c>
      <c r="N80" s="60">
        <f>[1]TrRoad_emi!N$40</f>
        <v>2059.3628373201805</v>
      </c>
      <c r="O80" s="60">
        <f>[1]TrRoad_emi!O$40</f>
        <v>2012.6131171921816</v>
      </c>
      <c r="P80" s="60">
        <f>[1]TrRoad_emi!P$40</f>
        <v>2155.2019612488425</v>
      </c>
      <c r="Q80" s="60">
        <f>[1]TrRoad_emi!Q$40</f>
        <v>1998.9073749158556</v>
      </c>
      <c r="R80" s="60">
        <f>[1]TrRoad_emi!R$40</f>
        <v>2265.9087043822001</v>
      </c>
      <c r="S80" s="60">
        <f>[1]TrRoad_emi!S$40</f>
        <v>2296.6265784834309</v>
      </c>
      <c r="T80" s="60">
        <f>[1]TrRoad_emi!T$40</f>
        <v>2384.3138208998907</v>
      </c>
      <c r="U80" s="60">
        <f>[1]TrRoad_emi!U$40</f>
        <v>2289.6046429035187</v>
      </c>
      <c r="V80" s="60">
        <f>[1]TrRoad_emi!V$40</f>
        <v>2225.90170052955</v>
      </c>
      <c r="W80" s="60">
        <f>[1]TrRoad_emi!W$40</f>
        <v>2310.9845083023747</v>
      </c>
      <c r="DA80" s="49" t="s">
        <v>153</v>
      </c>
    </row>
    <row r="81" spans="1:105" ht="11.4" customHeight="1" x14ac:dyDescent="0.35">
      <c r="A81" s="61" t="str">
        <f>$A$21</f>
        <v>Rail transport</v>
      </c>
      <c r="B81" s="62">
        <f>[1]TrRail_emi!B$15</f>
        <v>30.250179180797815</v>
      </c>
      <c r="C81" s="62">
        <f>[1]TrRail_emi!C$15</f>
        <v>28.370745190617718</v>
      </c>
      <c r="D81" s="62">
        <f>[1]TrRail_emi!D$15</f>
        <v>25.176463719753563</v>
      </c>
      <c r="E81" s="62">
        <f>[1]TrRail_emi!E$15</f>
        <v>23.428714558993356</v>
      </c>
      <c r="F81" s="62">
        <f>[1]TrRail_emi!F$15</f>
        <v>26.426442307582164</v>
      </c>
      <c r="G81" s="62">
        <f>[1]TrRail_emi!G$15</f>
        <v>23.891057192971385</v>
      </c>
      <c r="H81" s="62">
        <f>[1]TrRail_emi!H$15</f>
        <v>23.521206355268244</v>
      </c>
      <c r="I81" s="62">
        <f>[1]TrRail_emi!I$15</f>
        <v>21.145818388775826</v>
      </c>
      <c r="J81" s="62">
        <f>[1]TrRail_emi!J$15</f>
        <v>20.70334587841861</v>
      </c>
      <c r="K81" s="62">
        <f>[1]TrRail_emi!K$15</f>
        <v>19.666930021863838</v>
      </c>
      <c r="L81" s="62">
        <f>[1]TrRail_emi!L$15</f>
        <v>25.559076976987388</v>
      </c>
      <c r="M81" s="62">
        <f>[1]TrRail_emi!M$15</f>
        <v>29.41391343295918</v>
      </c>
      <c r="N81" s="62">
        <f>[1]TrRail_emi!N$15</f>
        <v>23.789021747955982</v>
      </c>
      <c r="O81" s="62">
        <f>[1]TrRail_emi!O$15</f>
        <v>24.851133623869863</v>
      </c>
      <c r="P81" s="62">
        <f>[1]TrRail_emi!P$15</f>
        <v>27.272994042801724</v>
      </c>
      <c r="Q81" s="62">
        <f>[1]TrRail_emi!Q$15</f>
        <v>28.584602256051046</v>
      </c>
      <c r="R81" s="62">
        <f>[1]TrRail_emi!R$15</f>
        <v>28.237196607903705</v>
      </c>
      <c r="S81" s="62">
        <f>[1]TrRail_emi!S$15</f>
        <v>26.287872546274865</v>
      </c>
      <c r="T81" s="62">
        <f>[1]TrRail_emi!T$15</f>
        <v>23.64564090153112</v>
      </c>
      <c r="U81" s="62">
        <f>[1]TrRail_emi!U$15</f>
        <v>21.947065254920282</v>
      </c>
      <c r="V81" s="62">
        <f>[1]TrRail_emi!V$15</f>
        <v>20.40088517527979</v>
      </c>
      <c r="W81" s="62">
        <f>[1]TrRail_emi!W$15</f>
        <v>16.38648730423602</v>
      </c>
      <c r="DA81" s="63" t="s">
        <v>154</v>
      </c>
    </row>
    <row r="82" spans="1:105" ht="11.4" customHeight="1" x14ac:dyDescent="0.35">
      <c r="A82" s="61" t="str">
        <f>$A$22</f>
        <v>Aviation</v>
      </c>
      <c r="B82" s="62">
        <f t="shared" ref="B82:W82" si="24">B83+B84+B85</f>
        <v>23.464078912300351</v>
      </c>
      <c r="C82" s="62">
        <f t="shared" si="24"/>
        <v>24.364007982119421</v>
      </c>
      <c r="D82" s="62">
        <f t="shared" si="24"/>
        <v>22.478475080586538</v>
      </c>
      <c r="E82" s="62">
        <f t="shared" si="24"/>
        <v>17.952487438710047</v>
      </c>
      <c r="F82" s="62">
        <f t="shared" si="24"/>
        <v>20.343613943252173</v>
      </c>
      <c r="G82" s="62">
        <f t="shared" si="24"/>
        <v>23.460031368899688</v>
      </c>
      <c r="H82" s="62">
        <f t="shared" si="24"/>
        <v>27.987720898325975</v>
      </c>
      <c r="I82" s="62">
        <f t="shared" si="24"/>
        <v>27.271606697146879</v>
      </c>
      <c r="J82" s="62">
        <f t="shared" si="24"/>
        <v>207.84658549482052</v>
      </c>
      <c r="K82" s="62">
        <f t="shared" si="24"/>
        <v>147.28393214896516</v>
      </c>
      <c r="L82" s="62">
        <f t="shared" si="24"/>
        <v>154.30115769246467</v>
      </c>
      <c r="M82" s="62">
        <f t="shared" si="24"/>
        <v>147.09371490439869</v>
      </c>
      <c r="N82" s="62">
        <f t="shared" si="24"/>
        <v>155.24697722587271</v>
      </c>
      <c r="O82" s="62">
        <f t="shared" si="24"/>
        <v>131.75508220280682</v>
      </c>
      <c r="P82" s="62">
        <f t="shared" si="24"/>
        <v>156.16123158701109</v>
      </c>
      <c r="Q82" s="62">
        <f t="shared" si="24"/>
        <v>139.73970166558561</v>
      </c>
      <c r="R82" s="62">
        <f t="shared" si="24"/>
        <v>110.6433612837628</v>
      </c>
      <c r="S82" s="62">
        <f t="shared" si="24"/>
        <v>112.56126240095189</v>
      </c>
      <c r="T82" s="62">
        <f t="shared" si="24"/>
        <v>83.828338273011781</v>
      </c>
      <c r="U82" s="62">
        <f t="shared" si="24"/>
        <v>98.023857793723607</v>
      </c>
      <c r="V82" s="62">
        <f t="shared" si="24"/>
        <v>89.134479122980977</v>
      </c>
      <c r="W82" s="62">
        <f t="shared" si="24"/>
        <v>127.72086229325333</v>
      </c>
      <c r="DA82" s="63" t="s">
        <v>155</v>
      </c>
    </row>
    <row r="83" spans="1:105" ht="11.4" customHeight="1" x14ac:dyDescent="0.35">
      <c r="A83" s="59" t="s">
        <v>82</v>
      </c>
      <c r="B83" s="60">
        <f>[1]TrAvia_emi!B$11</f>
        <v>0.75067602102761866</v>
      </c>
      <c r="C83" s="60">
        <f>[1]TrAvia_emi!C$11</f>
        <v>0.79489010583559294</v>
      </c>
      <c r="D83" s="60">
        <f>[1]TrAvia_emi!D$11</f>
        <v>0.58154167624936859</v>
      </c>
      <c r="E83" s="60">
        <f>[1]TrAvia_emi!E$11</f>
        <v>0.33489436521074889</v>
      </c>
      <c r="F83" s="60">
        <f>[1]TrAvia_emi!F$11</f>
        <v>0.23050715388512583</v>
      </c>
      <c r="G83" s="60">
        <f>[1]TrAvia_emi!G$11</f>
        <v>0.29398293736298831</v>
      </c>
      <c r="H83" s="60">
        <f>[1]TrAvia_emi!H$11</f>
        <v>0.36287529804967178</v>
      </c>
      <c r="I83" s="60">
        <f>[1]TrAvia_emi!I$11</f>
        <v>0.38402879612967217</v>
      </c>
      <c r="J83" s="60">
        <f>[1]TrAvia_emi!J$11</f>
        <v>0.76711517830467335</v>
      </c>
      <c r="K83" s="60">
        <f>[1]TrAvia_emi!K$11</f>
        <v>0.70223680534517929</v>
      </c>
      <c r="L83" s="60">
        <f>[1]TrAvia_emi!L$11</f>
        <v>0.30449731883931513</v>
      </c>
      <c r="M83" s="60">
        <f>[1]TrAvia_emi!M$11</f>
        <v>0.17044559713610641</v>
      </c>
      <c r="N83" s="60">
        <f>[1]TrAvia_emi!N$11</f>
        <v>0.16732186931017046</v>
      </c>
      <c r="O83" s="60">
        <f>[1]TrAvia_emi!O$11</f>
        <v>0.17174666085165688</v>
      </c>
      <c r="P83" s="60">
        <f>[1]TrAvia_emi!P$11</f>
        <v>0.16001618809102525</v>
      </c>
      <c r="Q83" s="60">
        <f>[1]TrAvia_emi!Q$11</f>
        <v>0.13148347332682619</v>
      </c>
      <c r="R83" s="60">
        <f>[1]TrAvia_emi!R$11</f>
        <v>3.1290051896026246E-2</v>
      </c>
      <c r="S83" s="60">
        <f>[1]TrAvia_emi!S$11</f>
        <v>5.1515748025756862E-2</v>
      </c>
      <c r="T83" s="60">
        <f>[1]TrAvia_emi!T$11</f>
        <v>6.5049222988094138E-2</v>
      </c>
      <c r="U83" s="60">
        <f>[1]TrAvia_emi!U$11</f>
        <v>5.4621217994469611E-2</v>
      </c>
      <c r="V83" s="60">
        <f>[1]TrAvia_emi!V$11</f>
        <v>6.7953865820419568E-2</v>
      </c>
      <c r="W83" s="60">
        <f>[1]TrAvia_emi!W$11</f>
        <v>0.11472836779084654</v>
      </c>
      <c r="DA83" s="49" t="s">
        <v>156</v>
      </c>
    </row>
    <row r="84" spans="1:105" ht="11.4" customHeight="1" x14ac:dyDescent="0.35">
      <c r="A84" s="59" t="str">
        <f>$A$24</f>
        <v>International - Intra-EEAwUK</v>
      </c>
      <c r="B84" s="60">
        <f>[1]TrAvia_emi!B$12</f>
        <v>20.594763842060178</v>
      </c>
      <c r="C84" s="60">
        <f>[1]TrAvia_emi!C$12</f>
        <v>21.335512764888865</v>
      </c>
      <c r="D84" s="60">
        <f>[1]TrAvia_emi!D$12</f>
        <v>19.390542307835716</v>
      </c>
      <c r="E84" s="60">
        <f>[1]TrAvia_emi!E$12</f>
        <v>14.726864093727073</v>
      </c>
      <c r="F84" s="60">
        <f>[1]TrAvia_emi!F$12</f>
        <v>17.096536962940146</v>
      </c>
      <c r="G84" s="60">
        <f>[1]TrAvia_emi!G$12</f>
        <v>21.084196686325114</v>
      </c>
      <c r="H84" s="60">
        <f>[1]TrAvia_emi!H$12</f>
        <v>26.57539540077892</v>
      </c>
      <c r="I84" s="60">
        <f>[1]TrAvia_emi!I$12</f>
        <v>25.575415009120498</v>
      </c>
      <c r="J84" s="60">
        <f>[1]TrAvia_emi!J$12</f>
        <v>53.09724299194086</v>
      </c>
      <c r="K84" s="60">
        <f>[1]TrAvia_emi!K$12</f>
        <v>34.064462398027807</v>
      </c>
      <c r="L84" s="60">
        <f>[1]TrAvia_emi!L$12</f>
        <v>23.082627809783695</v>
      </c>
      <c r="M84" s="60">
        <f>[1]TrAvia_emi!M$12</f>
        <v>22.434968804608967</v>
      </c>
      <c r="N84" s="60">
        <f>[1]TrAvia_emi!N$12</f>
        <v>19.870773862013326</v>
      </c>
      <c r="O84" s="60">
        <f>[1]TrAvia_emi!O$12</f>
        <v>16.353241614285469</v>
      </c>
      <c r="P84" s="60">
        <f>[1]TrAvia_emi!P$12</f>
        <v>27.229149277922335</v>
      </c>
      <c r="Q84" s="60">
        <f>[1]TrAvia_emi!Q$12</f>
        <v>26.75938572119485</v>
      </c>
      <c r="R84" s="60">
        <f>[1]TrAvia_emi!R$12</f>
        <v>21.796395462893191</v>
      </c>
      <c r="S84" s="60">
        <f>[1]TrAvia_emi!S$12</f>
        <v>26.835575682756946</v>
      </c>
      <c r="T84" s="60">
        <f>[1]TrAvia_emi!T$12</f>
        <v>27.322237736547354</v>
      </c>
      <c r="U84" s="60">
        <f>[1]TrAvia_emi!U$12</f>
        <v>31.608906325063408</v>
      </c>
      <c r="V84" s="60">
        <f>[1]TrAvia_emi!V$12</f>
        <v>30.134808784147562</v>
      </c>
      <c r="W84" s="60">
        <f>[1]TrAvia_emi!W$12</f>
        <v>43.918021500109603</v>
      </c>
      <c r="DA84" s="49" t="s">
        <v>157</v>
      </c>
    </row>
    <row r="85" spans="1:105" ht="11.4" customHeight="1" x14ac:dyDescent="0.35">
      <c r="A85" s="59" t="str">
        <f>$A$25</f>
        <v>International - Extra-EEAwUK</v>
      </c>
      <c r="B85" s="60">
        <f>[1]TrAvia_emi!B$13</f>
        <v>2.1186390492125522</v>
      </c>
      <c r="C85" s="60">
        <f>[1]TrAvia_emi!C$13</f>
        <v>2.2336051113949651</v>
      </c>
      <c r="D85" s="60">
        <f>[1]TrAvia_emi!D$13</f>
        <v>2.5063910965014533</v>
      </c>
      <c r="E85" s="60">
        <f>[1]TrAvia_emi!E$13</f>
        <v>2.8907289797722249</v>
      </c>
      <c r="F85" s="60">
        <f>[1]TrAvia_emi!F$13</f>
        <v>3.0165698264269039</v>
      </c>
      <c r="G85" s="60">
        <f>[1]TrAvia_emi!G$13</f>
        <v>2.0818517452115861</v>
      </c>
      <c r="H85" s="60">
        <f>[1]TrAvia_emi!H$13</f>
        <v>1.0494501994973842</v>
      </c>
      <c r="I85" s="60">
        <f>[1]TrAvia_emi!I$13</f>
        <v>1.3121628918967088</v>
      </c>
      <c r="J85" s="60">
        <f>[1]TrAvia_emi!J$13</f>
        <v>153.98222732457498</v>
      </c>
      <c r="K85" s="60">
        <f>[1]TrAvia_emi!K$13</f>
        <v>112.51723294559218</v>
      </c>
      <c r="L85" s="60">
        <f>[1]TrAvia_emi!L$13</f>
        <v>130.91403256384166</v>
      </c>
      <c r="M85" s="60">
        <f>[1]TrAvia_emi!M$13</f>
        <v>124.48830050265362</v>
      </c>
      <c r="N85" s="60">
        <f>[1]TrAvia_emi!N$13</f>
        <v>135.20888149454922</v>
      </c>
      <c r="O85" s="60">
        <f>[1]TrAvia_emi!O$13</f>
        <v>115.23009392766969</v>
      </c>
      <c r="P85" s="60">
        <f>[1]TrAvia_emi!P$13</f>
        <v>128.77206612099772</v>
      </c>
      <c r="Q85" s="60">
        <f>[1]TrAvia_emi!Q$13</f>
        <v>112.84883247106394</v>
      </c>
      <c r="R85" s="60">
        <f>[1]TrAvia_emi!R$13</f>
        <v>88.815675768973577</v>
      </c>
      <c r="S85" s="60">
        <f>[1]TrAvia_emi!S$13</f>
        <v>85.674170970169186</v>
      </c>
      <c r="T85" s="60">
        <f>[1]TrAvia_emi!T$13</f>
        <v>56.441051313476336</v>
      </c>
      <c r="U85" s="60">
        <f>[1]TrAvia_emi!U$13</f>
        <v>66.360330250665726</v>
      </c>
      <c r="V85" s="60">
        <f>[1]TrAvia_emi!V$13</f>
        <v>58.93171647301299</v>
      </c>
      <c r="W85" s="60">
        <f>[1]TrAvia_emi!W$13</f>
        <v>83.688112425352884</v>
      </c>
      <c r="DA85" s="49" t="s">
        <v>158</v>
      </c>
    </row>
    <row r="86" spans="1:105" ht="11.4" customHeight="1" x14ac:dyDescent="0.35">
      <c r="A86" s="61" t="s">
        <v>99</v>
      </c>
      <c r="B86" s="62">
        <f t="shared" ref="B86:W86" si="25">B87+B88</f>
        <v>511.92234252000003</v>
      </c>
      <c r="C86" s="62">
        <f t="shared" si="25"/>
        <v>530.90685144000008</v>
      </c>
      <c r="D86" s="62">
        <f t="shared" si="25"/>
        <v>593.93934072000002</v>
      </c>
      <c r="E86" s="62">
        <f t="shared" si="25"/>
        <v>587.71790891999979</v>
      </c>
      <c r="F86" s="62">
        <f t="shared" si="25"/>
        <v>518.17931603999989</v>
      </c>
      <c r="G86" s="62">
        <f t="shared" si="25"/>
        <v>600.56946396000001</v>
      </c>
      <c r="H86" s="62">
        <f t="shared" si="25"/>
        <v>543.65174567999998</v>
      </c>
      <c r="I86" s="62">
        <f t="shared" si="25"/>
        <v>474.13106891999985</v>
      </c>
      <c r="J86" s="62">
        <f t="shared" si="25"/>
        <v>606.42509652000012</v>
      </c>
      <c r="K86" s="62">
        <f t="shared" si="25"/>
        <v>562.23969155999998</v>
      </c>
      <c r="L86" s="62">
        <f t="shared" si="25"/>
        <v>486.48762215999983</v>
      </c>
      <c r="M86" s="62">
        <f t="shared" si="25"/>
        <v>473.94260892</v>
      </c>
      <c r="N86" s="62">
        <f t="shared" si="25"/>
        <v>461.39759568000011</v>
      </c>
      <c r="O86" s="62">
        <f t="shared" si="25"/>
        <v>467.57711916000011</v>
      </c>
      <c r="P86" s="62">
        <f t="shared" si="25"/>
        <v>372.87794988000007</v>
      </c>
      <c r="Q86" s="62">
        <f t="shared" si="25"/>
        <v>418.01365979999991</v>
      </c>
      <c r="R86" s="62">
        <f t="shared" si="25"/>
        <v>362.99580191999996</v>
      </c>
      <c r="S86" s="62">
        <f t="shared" si="25"/>
        <v>349.31021580000009</v>
      </c>
      <c r="T86" s="62">
        <f t="shared" si="25"/>
        <v>362.43276335999991</v>
      </c>
      <c r="U86" s="62">
        <f t="shared" si="25"/>
        <v>377.58661380000001</v>
      </c>
      <c r="V86" s="62">
        <f t="shared" si="25"/>
        <v>365.40127404000015</v>
      </c>
      <c r="W86" s="62">
        <f t="shared" si="25"/>
        <v>429.65277552000009</v>
      </c>
      <c r="DA86" s="63" t="s">
        <v>159</v>
      </c>
    </row>
    <row r="87" spans="1:105" ht="11.4" customHeight="1" x14ac:dyDescent="0.35">
      <c r="A87" s="59" t="str">
        <f>$A$27</f>
        <v>Domestic coastal shipping</v>
      </c>
      <c r="B87" s="60">
        <f>[1]TrNavi_emi!B$4</f>
        <v>511.92234252000003</v>
      </c>
      <c r="C87" s="60">
        <f>[1]TrNavi_emi!C$4</f>
        <v>530.90685144000008</v>
      </c>
      <c r="D87" s="60">
        <f>[1]TrNavi_emi!D$4</f>
        <v>593.93934072000002</v>
      </c>
      <c r="E87" s="60">
        <f>[1]TrNavi_emi!E$4</f>
        <v>587.71790891999979</v>
      </c>
      <c r="F87" s="60">
        <f>[1]TrNavi_emi!F$4</f>
        <v>518.17931603999989</v>
      </c>
      <c r="G87" s="60">
        <f>[1]TrNavi_emi!G$4</f>
        <v>600.56946396000001</v>
      </c>
      <c r="H87" s="60">
        <f>[1]TrNavi_emi!H$4</f>
        <v>543.65174567999998</v>
      </c>
      <c r="I87" s="60">
        <f>[1]TrNavi_emi!I$4</f>
        <v>474.13106891999985</v>
      </c>
      <c r="J87" s="60">
        <f>[1]TrNavi_emi!J$4</f>
        <v>606.42509652000012</v>
      </c>
      <c r="K87" s="60">
        <f>[1]TrNavi_emi!K$4</f>
        <v>562.23969155999998</v>
      </c>
      <c r="L87" s="60">
        <f>[1]TrNavi_emi!L$4</f>
        <v>486.48762215999983</v>
      </c>
      <c r="M87" s="60">
        <f>[1]TrNavi_emi!M$4</f>
        <v>473.94260892</v>
      </c>
      <c r="N87" s="60">
        <f>[1]TrNavi_emi!N$4</f>
        <v>461.39759568000011</v>
      </c>
      <c r="O87" s="60">
        <f>[1]TrNavi_emi!O$4</f>
        <v>467.57711916000011</v>
      </c>
      <c r="P87" s="60">
        <f>[1]TrNavi_emi!P$4</f>
        <v>372.87794988000007</v>
      </c>
      <c r="Q87" s="60">
        <f>[1]TrNavi_emi!Q$4</f>
        <v>418.01365979999991</v>
      </c>
      <c r="R87" s="60">
        <f>[1]TrNavi_emi!R$4</f>
        <v>362.99580191999996</v>
      </c>
      <c r="S87" s="60">
        <f>[1]TrNavi_emi!S$4</f>
        <v>349.31021580000009</v>
      </c>
      <c r="T87" s="60">
        <f>[1]TrNavi_emi!T$4</f>
        <v>362.43276335999991</v>
      </c>
      <c r="U87" s="60">
        <f>[1]TrNavi_emi!U$4</f>
        <v>377.58661380000001</v>
      </c>
      <c r="V87" s="60">
        <f>[1]TrNavi_emi!V$4</f>
        <v>365.40127404000015</v>
      </c>
      <c r="W87" s="60">
        <f>[1]TrNavi_emi!W$4</f>
        <v>429.65277552000009</v>
      </c>
      <c r="DA87" s="49" t="s">
        <v>160</v>
      </c>
    </row>
    <row r="88" spans="1:105" ht="11.4" customHeight="1" x14ac:dyDescent="0.35">
      <c r="A88" s="64" t="str">
        <f>$A$28</f>
        <v>Inland waterways</v>
      </c>
      <c r="B88" s="65">
        <f>[1]TrNavi_emi!B$5</f>
        <v>0</v>
      </c>
      <c r="C88" s="65">
        <f>[1]TrNavi_emi!C$5</f>
        <v>0</v>
      </c>
      <c r="D88" s="65">
        <f>[1]TrNavi_emi!D$5</f>
        <v>0</v>
      </c>
      <c r="E88" s="65">
        <f>[1]TrNavi_emi!E$5</f>
        <v>0</v>
      </c>
      <c r="F88" s="65">
        <f>[1]TrNavi_emi!F$5</f>
        <v>0</v>
      </c>
      <c r="G88" s="65">
        <f>[1]TrNavi_emi!G$5</f>
        <v>0</v>
      </c>
      <c r="H88" s="65">
        <f>[1]TrNavi_emi!H$5</f>
        <v>0</v>
      </c>
      <c r="I88" s="65">
        <f>[1]TrNavi_emi!I$5</f>
        <v>0</v>
      </c>
      <c r="J88" s="65">
        <f>[1]TrNavi_emi!J$5</f>
        <v>0</v>
      </c>
      <c r="K88" s="65">
        <f>[1]TrNavi_emi!K$5</f>
        <v>0</v>
      </c>
      <c r="L88" s="65">
        <f>[1]TrNavi_emi!L$5</f>
        <v>0</v>
      </c>
      <c r="M88" s="65">
        <f>[1]TrNavi_emi!M$5</f>
        <v>0</v>
      </c>
      <c r="N88" s="65">
        <f>[1]TrNavi_emi!N$5</f>
        <v>0</v>
      </c>
      <c r="O88" s="65">
        <f>[1]TrNavi_emi!O$5</f>
        <v>0</v>
      </c>
      <c r="P88" s="65">
        <f>[1]TrNavi_emi!P$5</f>
        <v>0</v>
      </c>
      <c r="Q88" s="65">
        <f>[1]TrNavi_emi!Q$5</f>
        <v>0</v>
      </c>
      <c r="R88" s="65">
        <f>[1]TrNavi_emi!R$5</f>
        <v>0</v>
      </c>
      <c r="S88" s="65">
        <f>[1]TrNavi_emi!S$5</f>
        <v>0</v>
      </c>
      <c r="T88" s="65">
        <f>[1]TrNavi_emi!T$5</f>
        <v>0</v>
      </c>
      <c r="U88" s="65">
        <f>[1]TrNavi_emi!U$5</f>
        <v>0</v>
      </c>
      <c r="V88" s="65">
        <f>[1]TrNavi_emi!V$5</f>
        <v>0</v>
      </c>
      <c r="W88" s="65">
        <f>[1]TrNavi_emi!W$5</f>
        <v>0</v>
      </c>
      <c r="DA88" s="66" t="s">
        <v>161</v>
      </c>
    </row>
    <row r="89" spans="1:105" ht="11.4" customHeight="1" x14ac:dyDescent="0.35">
      <c r="A89" s="53" t="s">
        <v>134</v>
      </c>
      <c r="B89" s="54">
        <f t="shared" ref="B89:W89" si="26">B90+B91</f>
        <v>4126.9042983600002</v>
      </c>
      <c r="C89" s="54">
        <f t="shared" si="26"/>
        <v>3427.6419158400004</v>
      </c>
      <c r="D89" s="54">
        <f t="shared" si="26"/>
        <v>2814.3998672399998</v>
      </c>
      <c r="E89" s="54">
        <f t="shared" si="26"/>
        <v>2961.9427564799998</v>
      </c>
      <c r="F89" s="54">
        <f t="shared" si="26"/>
        <v>2409.5980897199997</v>
      </c>
      <c r="G89" s="54">
        <f t="shared" si="26"/>
        <v>2461.94874936</v>
      </c>
      <c r="H89" s="54">
        <f t="shared" si="26"/>
        <v>3254.4240858000003</v>
      </c>
      <c r="I89" s="54">
        <f t="shared" si="26"/>
        <v>3411.1044079200001</v>
      </c>
      <c r="J89" s="54">
        <f t="shared" si="26"/>
        <v>2927.1021055200008</v>
      </c>
      <c r="K89" s="54">
        <f t="shared" si="26"/>
        <v>1631.8358218799999</v>
      </c>
      <c r="L89" s="54">
        <f t="shared" si="26"/>
        <v>2201.8703821200002</v>
      </c>
      <c r="M89" s="54">
        <f t="shared" si="26"/>
        <v>2232.2119561199997</v>
      </c>
      <c r="N89" s="54">
        <f t="shared" si="26"/>
        <v>1644.3436928400001</v>
      </c>
      <c r="O89" s="54">
        <f t="shared" si="26"/>
        <v>2007.7759584000003</v>
      </c>
      <c r="P89" s="54">
        <f t="shared" si="26"/>
        <v>2356.20457128</v>
      </c>
      <c r="Q89" s="54">
        <f t="shared" si="26"/>
        <v>2430.12655872</v>
      </c>
      <c r="R89" s="54">
        <f t="shared" si="26"/>
        <v>2116.59969348</v>
      </c>
      <c r="S89" s="54">
        <f t="shared" si="26"/>
        <v>1677.5625614400001</v>
      </c>
      <c r="T89" s="54">
        <f t="shared" si="26"/>
        <v>1872.8212456799995</v>
      </c>
      <c r="U89" s="54">
        <f t="shared" si="26"/>
        <v>2346.8330091600001</v>
      </c>
      <c r="V89" s="54">
        <f t="shared" si="26"/>
        <v>1755.4771148400005</v>
      </c>
      <c r="W89" s="54">
        <f t="shared" si="26"/>
        <v>1490.5241481599996</v>
      </c>
      <c r="DA89" s="55" t="s">
        <v>162</v>
      </c>
    </row>
    <row r="90" spans="1:105" ht="11.4" customHeight="1" x14ac:dyDescent="0.35">
      <c r="A90" s="59" t="str">
        <f>$A$30</f>
        <v>Intra-EEA</v>
      </c>
      <c r="B90" s="60">
        <f>[1]MBunk_emi!B$4</f>
        <v>1744.3630709975846</v>
      </c>
      <c r="C90" s="60">
        <f>[1]MBunk_emi!C$4</f>
        <v>1445.8565305220143</v>
      </c>
      <c r="D90" s="60">
        <f>[1]MBunk_emi!D$4</f>
        <v>1209.6438668512246</v>
      </c>
      <c r="E90" s="60">
        <f>[1]MBunk_emi!E$4</f>
        <v>1212.7953672769199</v>
      </c>
      <c r="F90" s="60">
        <f>[1]MBunk_emi!F$4</f>
        <v>1061.3541740042217</v>
      </c>
      <c r="G90" s="60">
        <f>[1]MBunk_emi!G$4</f>
        <v>1103.360765971529</v>
      </c>
      <c r="H90" s="60">
        <f>[1]MBunk_emi!H$4</f>
        <v>1318.1216390453769</v>
      </c>
      <c r="I90" s="60">
        <f>[1]MBunk_emi!I$4</f>
        <v>1424.9329672358438</v>
      </c>
      <c r="J90" s="60">
        <f>[1]MBunk_emi!J$4</f>
        <v>1232.2732062485213</v>
      </c>
      <c r="K90" s="60">
        <f>[1]MBunk_emi!K$4</f>
        <v>686.63849329090976</v>
      </c>
      <c r="L90" s="60">
        <f>[1]MBunk_emi!L$4</f>
        <v>980.60650463093896</v>
      </c>
      <c r="M90" s="60">
        <f>[1]MBunk_emi!M$4</f>
        <v>903.27529081436705</v>
      </c>
      <c r="N90" s="60">
        <f>[1]MBunk_emi!N$4</f>
        <v>738.85801885415435</v>
      </c>
      <c r="O90" s="60">
        <f>[1]MBunk_emi!O$4</f>
        <v>952.84317605821002</v>
      </c>
      <c r="P90" s="60">
        <f>[1]MBunk_emi!P$4</f>
        <v>1060.2967444995263</v>
      </c>
      <c r="Q90" s="60">
        <f>[1]MBunk_emi!Q$4</f>
        <v>1029.6730658722463</v>
      </c>
      <c r="R90" s="60">
        <f>[1]MBunk_emi!R$4</f>
        <v>894.23119818477824</v>
      </c>
      <c r="S90" s="60">
        <f>[1]MBunk_emi!S$4</f>
        <v>719.06866138162434</v>
      </c>
      <c r="T90" s="60">
        <f>[1]MBunk_emi!T$4</f>
        <v>783.42306145352859</v>
      </c>
      <c r="U90" s="60">
        <f>[1]MBunk_emi!U$4</f>
        <v>965.23066441031403</v>
      </c>
      <c r="V90" s="60">
        <f>[1]MBunk_emi!V$4</f>
        <v>648.97697329485959</v>
      </c>
      <c r="W90" s="60">
        <f>[1]MBunk_emi!W$4</f>
        <v>542.63905167498388</v>
      </c>
      <c r="DA90" s="49" t="s">
        <v>163</v>
      </c>
    </row>
    <row r="91" spans="1:105" ht="11.4" customHeight="1" x14ac:dyDescent="0.35">
      <c r="A91" s="67" t="str">
        <f>$A$31</f>
        <v>Extra-EEA</v>
      </c>
      <c r="B91" s="68">
        <f>[1]MBunk_emi!B$5</f>
        <v>2382.5412273624156</v>
      </c>
      <c r="C91" s="68">
        <f>[1]MBunk_emi!C$5</f>
        <v>1981.7853853179863</v>
      </c>
      <c r="D91" s="68">
        <f>[1]MBunk_emi!D$5</f>
        <v>1604.7560003887752</v>
      </c>
      <c r="E91" s="68">
        <f>[1]MBunk_emi!E$5</f>
        <v>1749.1473892030801</v>
      </c>
      <c r="F91" s="68">
        <f>[1]MBunk_emi!F$5</f>
        <v>1348.243915715778</v>
      </c>
      <c r="G91" s="68">
        <f>[1]MBunk_emi!G$5</f>
        <v>1358.5879833884712</v>
      </c>
      <c r="H91" s="68">
        <f>[1]MBunk_emi!H$5</f>
        <v>1936.3024467546234</v>
      </c>
      <c r="I91" s="68">
        <f>[1]MBunk_emi!I$5</f>
        <v>1986.1714406841563</v>
      </c>
      <c r="J91" s="68">
        <f>[1]MBunk_emi!J$5</f>
        <v>1694.8288992714793</v>
      </c>
      <c r="K91" s="68">
        <f>[1]MBunk_emi!K$5</f>
        <v>945.19732858909026</v>
      </c>
      <c r="L91" s="68">
        <f>[1]MBunk_emi!L$5</f>
        <v>1221.2638774890613</v>
      </c>
      <c r="M91" s="68">
        <f>[1]MBunk_emi!M$5</f>
        <v>1328.9366653056327</v>
      </c>
      <c r="N91" s="68">
        <f>[1]MBunk_emi!N$5</f>
        <v>905.48567398584578</v>
      </c>
      <c r="O91" s="68">
        <f>[1]MBunk_emi!O$5</f>
        <v>1054.9327823417902</v>
      </c>
      <c r="P91" s="68">
        <f>[1]MBunk_emi!P$5</f>
        <v>1295.9078267804737</v>
      </c>
      <c r="Q91" s="68">
        <f>[1]MBunk_emi!Q$5</f>
        <v>1400.4534928477538</v>
      </c>
      <c r="R91" s="68">
        <f>[1]MBunk_emi!R$5</f>
        <v>1222.3684952952219</v>
      </c>
      <c r="S91" s="68">
        <f>[1]MBunk_emi!S$5</f>
        <v>958.49390005837586</v>
      </c>
      <c r="T91" s="68">
        <f>[1]MBunk_emi!T$5</f>
        <v>1089.3981842264709</v>
      </c>
      <c r="U91" s="68">
        <f>[1]MBunk_emi!U$5</f>
        <v>1381.6023447496859</v>
      </c>
      <c r="V91" s="68">
        <f>[1]MBunk_emi!V$5</f>
        <v>1106.5001415451409</v>
      </c>
      <c r="W91" s="68">
        <f>[1]MBunk_emi!W$5</f>
        <v>947.88509648501565</v>
      </c>
      <c r="DA91" s="69" t="s">
        <v>164</v>
      </c>
    </row>
    <row r="92" spans="1:105" x14ac:dyDescent="0.35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DA92" s="49"/>
    </row>
    <row r="93" spans="1:105" ht="11.4" customHeight="1" x14ac:dyDescent="0.35">
      <c r="A93" s="71" t="s">
        <v>165</v>
      </c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DA93" s="73"/>
    </row>
    <row r="94" spans="1:105" x14ac:dyDescent="0.35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DA94" s="49"/>
    </row>
    <row r="95" spans="1:105" ht="11.4" customHeight="1" x14ac:dyDescent="0.35">
      <c r="A95" s="50" t="s">
        <v>166</v>
      </c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DA95" s="52"/>
    </row>
    <row r="96" spans="1:105" ht="11.4" customHeight="1" x14ac:dyDescent="0.35">
      <c r="A96" s="53" t="s">
        <v>167</v>
      </c>
      <c r="B96" s="75">
        <f t="shared" ref="B96:W107" si="27">IF(B4=0,0,B4/B$4)</f>
        <v>1</v>
      </c>
      <c r="C96" s="75">
        <f t="shared" si="27"/>
        <v>1</v>
      </c>
      <c r="D96" s="75">
        <f t="shared" si="27"/>
        <v>1</v>
      </c>
      <c r="E96" s="75">
        <f t="shared" si="27"/>
        <v>1</v>
      </c>
      <c r="F96" s="75">
        <f t="shared" si="27"/>
        <v>1</v>
      </c>
      <c r="G96" s="75">
        <f t="shared" si="27"/>
        <v>1</v>
      </c>
      <c r="H96" s="75">
        <f t="shared" si="27"/>
        <v>1</v>
      </c>
      <c r="I96" s="75">
        <f t="shared" si="27"/>
        <v>1</v>
      </c>
      <c r="J96" s="75">
        <f t="shared" si="27"/>
        <v>1</v>
      </c>
      <c r="K96" s="75">
        <f t="shared" si="27"/>
        <v>1</v>
      </c>
      <c r="L96" s="75">
        <f t="shared" si="27"/>
        <v>1</v>
      </c>
      <c r="M96" s="75">
        <f t="shared" si="27"/>
        <v>1</v>
      </c>
      <c r="N96" s="75">
        <f t="shared" si="27"/>
        <v>1</v>
      </c>
      <c r="O96" s="75">
        <f t="shared" si="27"/>
        <v>1</v>
      </c>
      <c r="P96" s="75">
        <f t="shared" si="27"/>
        <v>1</v>
      </c>
      <c r="Q96" s="75">
        <f t="shared" si="27"/>
        <v>1</v>
      </c>
      <c r="R96" s="75">
        <f t="shared" si="27"/>
        <v>1</v>
      </c>
      <c r="S96" s="75">
        <f t="shared" si="27"/>
        <v>1</v>
      </c>
      <c r="T96" s="75">
        <f t="shared" si="27"/>
        <v>1</v>
      </c>
      <c r="U96" s="75">
        <f t="shared" si="27"/>
        <v>1</v>
      </c>
      <c r="V96" s="75">
        <f t="shared" si="27"/>
        <v>1</v>
      </c>
      <c r="W96" s="75">
        <f t="shared" si="27"/>
        <v>1</v>
      </c>
      <c r="DA96" s="55"/>
    </row>
    <row r="97" spans="1:105" ht="11.4" customHeight="1" x14ac:dyDescent="0.35">
      <c r="A97" s="56" t="str">
        <f>$A$5</f>
        <v>Road transport</v>
      </c>
      <c r="B97" s="76">
        <f t="shared" si="27"/>
        <v>0.72480679723814823</v>
      </c>
      <c r="C97" s="76">
        <f t="shared" si="27"/>
        <v>0.71405683383843077</v>
      </c>
      <c r="D97" s="76">
        <f t="shared" si="27"/>
        <v>0.71339467959686298</v>
      </c>
      <c r="E97" s="76">
        <f t="shared" si="27"/>
        <v>0.71729785559551251</v>
      </c>
      <c r="F97" s="76">
        <f t="shared" si="27"/>
        <v>0.70545274279485326</v>
      </c>
      <c r="G97" s="76">
        <f t="shared" si="27"/>
        <v>0.68978722084418664</v>
      </c>
      <c r="H97" s="76">
        <f t="shared" si="27"/>
        <v>0.6828185107262108</v>
      </c>
      <c r="I97" s="76">
        <f t="shared" si="27"/>
        <v>0.68574089434042307</v>
      </c>
      <c r="J97" s="76">
        <f t="shared" si="27"/>
        <v>0.69130770554400933</v>
      </c>
      <c r="K97" s="76">
        <f t="shared" si="27"/>
        <v>0.70280429923639187</v>
      </c>
      <c r="L97" s="76">
        <f t="shared" si="27"/>
        <v>0.68495528591169108</v>
      </c>
      <c r="M97" s="76">
        <f t="shared" si="27"/>
        <v>0.68437456719862821</v>
      </c>
      <c r="N97" s="76">
        <f t="shared" si="27"/>
        <v>0.67241665111417137</v>
      </c>
      <c r="O97" s="76">
        <f t="shared" si="27"/>
        <v>0.66528336019894718</v>
      </c>
      <c r="P97" s="76">
        <f t="shared" si="27"/>
        <v>0.66041844069941036</v>
      </c>
      <c r="Q97" s="76">
        <f t="shared" si="27"/>
        <v>0.66676083663942598</v>
      </c>
      <c r="R97" s="76">
        <f t="shared" si="27"/>
        <v>0.66152820453776351</v>
      </c>
      <c r="S97" s="76">
        <f t="shared" si="27"/>
        <v>0.65934309711113903</v>
      </c>
      <c r="T97" s="76">
        <f t="shared" si="27"/>
        <v>0.65204311224262623</v>
      </c>
      <c r="U97" s="76">
        <f t="shared" si="27"/>
        <v>0.65704212736252487</v>
      </c>
      <c r="V97" s="76">
        <f t="shared" si="27"/>
        <v>0.8478111368736736</v>
      </c>
      <c r="W97" s="76">
        <f t="shared" si="27"/>
        <v>0.82673674253021034</v>
      </c>
      <c r="DA97" s="58"/>
    </row>
    <row r="98" spans="1:105" ht="11.4" customHeight="1" x14ac:dyDescent="0.35">
      <c r="A98" s="59" t="str">
        <f>$A$6</f>
        <v>Powered two-wheelers</v>
      </c>
      <c r="B98" s="77">
        <f t="shared" si="27"/>
        <v>7.637986937509938E-3</v>
      </c>
      <c r="C98" s="77">
        <f t="shared" si="27"/>
        <v>7.2806428534726575E-3</v>
      </c>
      <c r="D98" s="77">
        <f t="shared" si="27"/>
        <v>7.585295351316643E-3</v>
      </c>
      <c r="E98" s="77">
        <f t="shared" si="27"/>
        <v>7.6760343961481221E-3</v>
      </c>
      <c r="F98" s="77">
        <f t="shared" si="27"/>
        <v>7.4275648498135713E-3</v>
      </c>
      <c r="G98" s="77">
        <f t="shared" si="27"/>
        <v>7.5721061755203174E-3</v>
      </c>
      <c r="H98" s="77">
        <f t="shared" si="27"/>
        <v>7.9240087002445687E-3</v>
      </c>
      <c r="I98" s="77">
        <f t="shared" si="27"/>
        <v>8.3772259919427852E-3</v>
      </c>
      <c r="J98" s="77">
        <f t="shared" si="27"/>
        <v>8.3606945121316549E-3</v>
      </c>
      <c r="K98" s="77">
        <f t="shared" si="27"/>
        <v>8.1324779422676293E-3</v>
      </c>
      <c r="L98" s="77">
        <f t="shared" si="27"/>
        <v>7.9467051965663449E-3</v>
      </c>
      <c r="M98" s="77">
        <f t="shared" si="27"/>
        <v>7.7351058568588989E-3</v>
      </c>
      <c r="N98" s="77">
        <f t="shared" si="27"/>
        <v>7.6776288910111474E-3</v>
      </c>
      <c r="O98" s="77">
        <f t="shared" si="27"/>
        <v>7.6630839106699919E-3</v>
      </c>
      <c r="P98" s="77">
        <f t="shared" si="27"/>
        <v>7.5672028759738511E-3</v>
      </c>
      <c r="Q98" s="77">
        <f t="shared" si="27"/>
        <v>7.3889137037189204E-3</v>
      </c>
      <c r="R98" s="77">
        <f t="shared" si="27"/>
        <v>7.0458310834472697E-3</v>
      </c>
      <c r="S98" s="77">
        <f t="shared" si="27"/>
        <v>6.4783053461159269E-3</v>
      </c>
      <c r="T98" s="77">
        <f t="shared" si="27"/>
        <v>5.9996674494102722E-3</v>
      </c>
      <c r="U98" s="77">
        <f t="shared" si="27"/>
        <v>6.2352318970201638E-3</v>
      </c>
      <c r="V98" s="77">
        <f t="shared" si="27"/>
        <v>7.904238523666585E-3</v>
      </c>
      <c r="W98" s="77">
        <f t="shared" si="27"/>
        <v>7.8778269371010904E-3</v>
      </c>
      <c r="DA98" s="49"/>
    </row>
    <row r="99" spans="1:105" ht="11.4" customHeight="1" x14ac:dyDescent="0.35">
      <c r="A99" s="59" t="str">
        <f>$A$7</f>
        <v>Passenger cars</v>
      </c>
      <c r="B99" s="77">
        <f t="shared" si="27"/>
        <v>0.62549755024497788</v>
      </c>
      <c r="C99" s="77">
        <f t="shared" si="27"/>
        <v>0.61578583011437038</v>
      </c>
      <c r="D99" s="77">
        <f t="shared" si="27"/>
        <v>0.61507863201958179</v>
      </c>
      <c r="E99" s="77">
        <f t="shared" si="27"/>
        <v>0.6190365721295209</v>
      </c>
      <c r="F99" s="77">
        <f t="shared" si="27"/>
        <v>0.60995314173509463</v>
      </c>
      <c r="G99" s="77">
        <f t="shared" si="27"/>
        <v>0.59630157351842705</v>
      </c>
      <c r="H99" s="77">
        <f t="shared" si="27"/>
        <v>0.59093439802097225</v>
      </c>
      <c r="I99" s="77">
        <f t="shared" si="27"/>
        <v>0.59683717715661277</v>
      </c>
      <c r="J99" s="77">
        <f t="shared" si="27"/>
        <v>0.60386560089160102</v>
      </c>
      <c r="K99" s="77">
        <f t="shared" si="27"/>
        <v>0.61474250001747133</v>
      </c>
      <c r="L99" s="77">
        <f t="shared" si="27"/>
        <v>0.59808672658165019</v>
      </c>
      <c r="M99" s="77">
        <f t="shared" si="27"/>
        <v>0.60091893265597984</v>
      </c>
      <c r="N99" s="77">
        <f t="shared" si="27"/>
        <v>0.59204952741172534</v>
      </c>
      <c r="O99" s="77">
        <f t="shared" si="27"/>
        <v>0.58599870467837323</v>
      </c>
      <c r="P99" s="77">
        <f t="shared" si="27"/>
        <v>0.58261832414813963</v>
      </c>
      <c r="Q99" s="77">
        <f t="shared" si="27"/>
        <v>0.58841328101473078</v>
      </c>
      <c r="R99" s="77">
        <f t="shared" si="27"/>
        <v>0.58449998201658282</v>
      </c>
      <c r="S99" s="77">
        <f t="shared" si="27"/>
        <v>0.58209721863692832</v>
      </c>
      <c r="T99" s="77">
        <f t="shared" si="27"/>
        <v>0.57883018963608746</v>
      </c>
      <c r="U99" s="77">
        <f t="shared" si="27"/>
        <v>0.58586865954660139</v>
      </c>
      <c r="V99" s="77">
        <f t="shared" si="27"/>
        <v>0.77931195869339731</v>
      </c>
      <c r="W99" s="77">
        <f t="shared" si="27"/>
        <v>0.75676108680958309</v>
      </c>
      <c r="DA99" s="49"/>
    </row>
    <row r="100" spans="1:105" ht="11.4" customHeight="1" x14ac:dyDescent="0.35">
      <c r="A100" s="59" t="str">
        <f>$A$8</f>
        <v>Motor coaches, buses and trolley buses</v>
      </c>
      <c r="B100" s="77">
        <f t="shared" si="27"/>
        <v>9.16712600556603E-2</v>
      </c>
      <c r="C100" s="77">
        <f t="shared" si="27"/>
        <v>9.0990360870587747E-2</v>
      </c>
      <c r="D100" s="77">
        <f t="shared" si="27"/>
        <v>9.0730752225964523E-2</v>
      </c>
      <c r="E100" s="77">
        <f t="shared" si="27"/>
        <v>9.0585249069843568E-2</v>
      </c>
      <c r="F100" s="77">
        <f t="shared" si="27"/>
        <v>8.8072036209945026E-2</v>
      </c>
      <c r="G100" s="77">
        <f t="shared" si="27"/>
        <v>8.5913541150239234E-2</v>
      </c>
      <c r="H100" s="77">
        <f t="shared" si="27"/>
        <v>8.396010400499393E-2</v>
      </c>
      <c r="I100" s="77">
        <f t="shared" si="27"/>
        <v>8.0526491191867514E-2</v>
      </c>
      <c r="J100" s="77">
        <f t="shared" si="27"/>
        <v>7.9081410140276712E-2</v>
      </c>
      <c r="K100" s="77">
        <f t="shared" si="27"/>
        <v>7.9929321276652962E-2</v>
      </c>
      <c r="L100" s="77">
        <f t="shared" si="27"/>
        <v>7.8921854133474606E-2</v>
      </c>
      <c r="M100" s="77">
        <f t="shared" si="27"/>
        <v>7.5720528685789476E-2</v>
      </c>
      <c r="N100" s="77">
        <f t="shared" si="27"/>
        <v>7.2689494811434857E-2</v>
      </c>
      <c r="O100" s="77">
        <f t="shared" si="27"/>
        <v>7.1621571609904011E-2</v>
      </c>
      <c r="P100" s="77">
        <f t="shared" si="27"/>
        <v>7.023291367529684E-2</v>
      </c>
      <c r="Q100" s="77">
        <f t="shared" si="27"/>
        <v>7.0958641920976326E-2</v>
      </c>
      <c r="R100" s="77">
        <f t="shared" si="27"/>
        <v>6.9982391437733507E-2</v>
      </c>
      <c r="S100" s="77">
        <f t="shared" si="27"/>
        <v>7.076757312809473E-2</v>
      </c>
      <c r="T100" s="77">
        <f t="shared" si="27"/>
        <v>6.7213255157128546E-2</v>
      </c>
      <c r="U100" s="77">
        <f t="shared" si="27"/>
        <v>6.4938235918903284E-2</v>
      </c>
      <c r="V100" s="77">
        <f t="shared" si="27"/>
        <v>6.0594939656609684E-2</v>
      </c>
      <c r="W100" s="77">
        <f t="shared" si="27"/>
        <v>6.2097828783526141E-2</v>
      </c>
      <c r="DA100" s="49"/>
    </row>
    <row r="101" spans="1:105" ht="11.4" customHeight="1" x14ac:dyDescent="0.35">
      <c r="A101" s="61" t="str">
        <f>$A$9</f>
        <v>Rail, metro and tram</v>
      </c>
      <c r="B101" s="78">
        <f t="shared" si="27"/>
        <v>6.8425959413344714E-2</v>
      </c>
      <c r="C101" s="78">
        <f t="shared" si="27"/>
        <v>7.0997797946076441E-2</v>
      </c>
      <c r="D101" s="78">
        <f t="shared" si="27"/>
        <v>7.1564735888718284E-2</v>
      </c>
      <c r="E101" s="78">
        <f t="shared" si="27"/>
        <v>7.3407435749255789E-2</v>
      </c>
      <c r="F101" s="78">
        <f t="shared" si="27"/>
        <v>7.3280759991672065E-2</v>
      </c>
      <c r="G101" s="78">
        <f t="shared" si="27"/>
        <v>7.3534033825898723E-2</v>
      </c>
      <c r="H101" s="78">
        <f t="shared" si="27"/>
        <v>7.4676168489840072E-2</v>
      </c>
      <c r="I101" s="78">
        <f t="shared" si="27"/>
        <v>7.4738465820589378E-2</v>
      </c>
      <c r="J101" s="78">
        <f t="shared" si="27"/>
        <v>7.5983399711869959E-2</v>
      </c>
      <c r="K101" s="78">
        <f t="shared" si="27"/>
        <v>7.5438776840861158E-2</v>
      </c>
      <c r="L101" s="78">
        <f t="shared" si="27"/>
        <v>7.6098670962595288E-2</v>
      </c>
      <c r="M101" s="78">
        <f t="shared" si="27"/>
        <v>7.5380109704735423E-2</v>
      </c>
      <c r="N101" s="78">
        <f t="shared" si="27"/>
        <v>7.6343080616216225E-2</v>
      </c>
      <c r="O101" s="78">
        <f t="shared" si="27"/>
        <v>7.5708852761165152E-2</v>
      </c>
      <c r="P101" s="78">
        <f t="shared" si="27"/>
        <v>7.2910289158496636E-2</v>
      </c>
      <c r="Q101" s="78">
        <f t="shared" si="27"/>
        <v>7.0472127527061543E-2</v>
      </c>
      <c r="R101" s="78">
        <f t="shared" si="27"/>
        <v>6.5864033135555389E-2</v>
      </c>
      <c r="S101" s="78">
        <f t="shared" si="27"/>
        <v>6.4185219408371949E-2</v>
      </c>
      <c r="T101" s="78">
        <f t="shared" si="27"/>
        <v>6.1927350594264893E-2</v>
      </c>
      <c r="U101" s="78">
        <f t="shared" si="27"/>
        <v>6.1611193957406572E-2</v>
      </c>
      <c r="V101" s="78">
        <f t="shared" si="27"/>
        <v>5.6357158523818417E-2</v>
      </c>
      <c r="W101" s="78">
        <f t="shared" si="27"/>
        <v>5.7961399145897791E-2</v>
      </c>
      <c r="DA101" s="63"/>
    </row>
    <row r="102" spans="1:105" ht="11.4" customHeight="1" x14ac:dyDescent="0.35">
      <c r="A102" s="59" t="str">
        <f>$A$10</f>
        <v>Metro and tram, urban light rail</v>
      </c>
      <c r="B102" s="77">
        <f t="shared" si="27"/>
        <v>0</v>
      </c>
      <c r="C102" s="77">
        <f t="shared" si="27"/>
        <v>0</v>
      </c>
      <c r="D102" s="77">
        <f t="shared" si="27"/>
        <v>1.1193650034731743E-4</v>
      </c>
      <c r="E102" s="77">
        <f t="shared" si="27"/>
        <v>8.3460006706264007E-4</v>
      </c>
      <c r="F102" s="77">
        <f t="shared" si="27"/>
        <v>1.5442767992976663E-3</v>
      </c>
      <c r="G102" s="77">
        <f t="shared" si="27"/>
        <v>1.9414135397320066E-3</v>
      </c>
      <c r="H102" s="77">
        <f t="shared" si="27"/>
        <v>1.9520069544682456E-3</v>
      </c>
      <c r="I102" s="77">
        <f t="shared" si="27"/>
        <v>2.0822774201549378E-3</v>
      </c>
      <c r="J102" s="77">
        <f t="shared" si="27"/>
        <v>2.2883031573458909E-3</v>
      </c>
      <c r="K102" s="77">
        <f t="shared" si="27"/>
        <v>2.5474064741299114E-3</v>
      </c>
      <c r="L102" s="77">
        <f t="shared" si="27"/>
        <v>2.7653310567219511E-3</v>
      </c>
      <c r="M102" s="77">
        <f t="shared" si="27"/>
        <v>3.1545492244342086E-3</v>
      </c>
      <c r="N102" s="77">
        <f t="shared" si="27"/>
        <v>3.0802538784925997E-3</v>
      </c>
      <c r="O102" s="77">
        <f t="shared" si="27"/>
        <v>3.1457665229218585E-3</v>
      </c>
      <c r="P102" s="77">
        <f t="shared" si="27"/>
        <v>3.1593030701757502E-3</v>
      </c>
      <c r="Q102" s="77">
        <f t="shared" si="27"/>
        <v>3.1261137651546105E-3</v>
      </c>
      <c r="R102" s="77">
        <f t="shared" si="27"/>
        <v>3.1778678245172522E-3</v>
      </c>
      <c r="S102" s="77">
        <f t="shared" si="27"/>
        <v>3.3057181420110006E-3</v>
      </c>
      <c r="T102" s="77">
        <f t="shared" si="27"/>
        <v>3.3285123544329275E-3</v>
      </c>
      <c r="U102" s="77">
        <f t="shared" si="27"/>
        <v>3.7487796749258642E-3</v>
      </c>
      <c r="V102" s="77">
        <f t="shared" si="27"/>
        <v>3.8513168156499226E-3</v>
      </c>
      <c r="W102" s="77">
        <f t="shared" si="27"/>
        <v>4.2520441306055342E-3</v>
      </c>
      <c r="DA102" s="49"/>
    </row>
    <row r="103" spans="1:105" ht="11.4" customHeight="1" x14ac:dyDescent="0.35">
      <c r="A103" s="59" t="str">
        <f>$A$11</f>
        <v>Conventional passenger trains</v>
      </c>
      <c r="B103" s="77">
        <f t="shared" si="27"/>
        <v>6.8425959413344714E-2</v>
      </c>
      <c r="C103" s="77">
        <f t="shared" si="27"/>
        <v>7.0997797946076441E-2</v>
      </c>
      <c r="D103" s="77">
        <f t="shared" si="27"/>
        <v>7.1452799388370958E-2</v>
      </c>
      <c r="E103" s="77">
        <f t="shared" si="27"/>
        <v>7.2572835682193151E-2</v>
      </c>
      <c r="F103" s="77">
        <f t="shared" si="27"/>
        <v>7.1736483192374398E-2</v>
      </c>
      <c r="G103" s="77">
        <f t="shared" si="27"/>
        <v>7.1592620286166711E-2</v>
      </c>
      <c r="H103" s="77">
        <f t="shared" si="27"/>
        <v>7.272416153537184E-2</v>
      </c>
      <c r="I103" s="77">
        <f t="shared" si="27"/>
        <v>7.2656188400434446E-2</v>
      </c>
      <c r="J103" s="77">
        <f t="shared" si="27"/>
        <v>7.3695096554524067E-2</v>
      </c>
      <c r="K103" s="77">
        <f t="shared" si="27"/>
        <v>7.289137036673124E-2</v>
      </c>
      <c r="L103" s="77">
        <f t="shared" si="27"/>
        <v>7.3333339905873332E-2</v>
      </c>
      <c r="M103" s="77">
        <f t="shared" si="27"/>
        <v>7.2225560480301224E-2</v>
      </c>
      <c r="N103" s="77">
        <f t="shared" si="27"/>
        <v>7.3262826737723621E-2</v>
      </c>
      <c r="O103" s="77">
        <f t="shared" si="27"/>
        <v>7.2563086238243299E-2</v>
      </c>
      <c r="P103" s="77">
        <f t="shared" si="27"/>
        <v>6.9750986088320879E-2</v>
      </c>
      <c r="Q103" s="77">
        <f t="shared" si="27"/>
        <v>6.7346013761906937E-2</v>
      </c>
      <c r="R103" s="77">
        <f t="shared" si="27"/>
        <v>6.2686165311038142E-2</v>
      </c>
      <c r="S103" s="77">
        <f t="shared" si="27"/>
        <v>6.087950126636095E-2</v>
      </c>
      <c r="T103" s="77">
        <f t="shared" si="27"/>
        <v>5.8598838239831967E-2</v>
      </c>
      <c r="U103" s="77">
        <f t="shared" si="27"/>
        <v>5.7862414282480713E-2</v>
      </c>
      <c r="V103" s="77">
        <f t="shared" si="27"/>
        <v>5.2505841708168494E-2</v>
      </c>
      <c r="W103" s="77">
        <f t="shared" si="27"/>
        <v>5.3709355015292261E-2</v>
      </c>
      <c r="DA103" s="49"/>
    </row>
    <row r="104" spans="1:105" ht="11.4" customHeight="1" x14ac:dyDescent="0.35">
      <c r="A104" s="59" t="str">
        <f>$A$12</f>
        <v>High speed passenger trains</v>
      </c>
      <c r="B104" s="77">
        <f t="shared" si="27"/>
        <v>0</v>
      </c>
      <c r="C104" s="77">
        <f t="shared" si="27"/>
        <v>0</v>
      </c>
      <c r="D104" s="77">
        <f t="shared" si="27"/>
        <v>0</v>
      </c>
      <c r="E104" s="77">
        <f t="shared" si="27"/>
        <v>0</v>
      </c>
      <c r="F104" s="77">
        <f t="shared" si="27"/>
        <v>0</v>
      </c>
      <c r="G104" s="77">
        <f t="shared" si="27"/>
        <v>0</v>
      </c>
      <c r="H104" s="77">
        <f t="shared" si="27"/>
        <v>0</v>
      </c>
      <c r="I104" s="77">
        <f t="shared" si="27"/>
        <v>0</v>
      </c>
      <c r="J104" s="77">
        <f t="shared" si="27"/>
        <v>0</v>
      </c>
      <c r="K104" s="77">
        <f t="shared" si="27"/>
        <v>0</v>
      </c>
      <c r="L104" s="77">
        <f t="shared" si="27"/>
        <v>0</v>
      </c>
      <c r="M104" s="77">
        <f t="shared" si="27"/>
        <v>0</v>
      </c>
      <c r="N104" s="77">
        <f t="shared" si="27"/>
        <v>0</v>
      </c>
      <c r="O104" s="77">
        <f t="shared" si="27"/>
        <v>0</v>
      </c>
      <c r="P104" s="77">
        <f t="shared" si="27"/>
        <v>0</v>
      </c>
      <c r="Q104" s="77">
        <f t="shared" si="27"/>
        <v>0</v>
      </c>
      <c r="R104" s="77">
        <f t="shared" si="27"/>
        <v>0</v>
      </c>
      <c r="S104" s="77">
        <f t="shared" si="27"/>
        <v>0</v>
      </c>
      <c r="T104" s="77">
        <f t="shared" si="27"/>
        <v>0</v>
      </c>
      <c r="U104" s="77">
        <f t="shared" si="27"/>
        <v>0</v>
      </c>
      <c r="V104" s="77">
        <f t="shared" si="27"/>
        <v>0</v>
      </c>
      <c r="W104" s="77">
        <f t="shared" si="27"/>
        <v>0</v>
      </c>
      <c r="DA104" s="49"/>
    </row>
    <row r="105" spans="1:105" ht="11.4" customHeight="1" x14ac:dyDescent="0.35">
      <c r="A105" s="61" t="str">
        <f>$A$13</f>
        <v>Aviation</v>
      </c>
      <c r="B105" s="78">
        <f t="shared" si="27"/>
        <v>0.20676724334850702</v>
      </c>
      <c r="C105" s="78">
        <f t="shared" si="27"/>
        <v>0.21494536821549279</v>
      </c>
      <c r="D105" s="78">
        <f t="shared" si="27"/>
        <v>0.21504058451441865</v>
      </c>
      <c r="E105" s="78">
        <f t="shared" si="27"/>
        <v>0.20929470865523159</v>
      </c>
      <c r="F105" s="78">
        <f t="shared" si="27"/>
        <v>0.22126649721347458</v>
      </c>
      <c r="G105" s="78">
        <f t="shared" si="27"/>
        <v>0.23667874532991476</v>
      </c>
      <c r="H105" s="78">
        <f t="shared" si="27"/>
        <v>0.24250532078394901</v>
      </c>
      <c r="I105" s="78">
        <f t="shared" si="27"/>
        <v>0.23952063983898753</v>
      </c>
      <c r="J105" s="78">
        <f t="shared" si="27"/>
        <v>0.23270889474412071</v>
      </c>
      <c r="K105" s="78">
        <f t="shared" si="27"/>
        <v>0.22175692392274693</v>
      </c>
      <c r="L105" s="78">
        <f t="shared" si="27"/>
        <v>0.2389460431257136</v>
      </c>
      <c r="M105" s="78">
        <f t="shared" si="27"/>
        <v>0.24024532309663643</v>
      </c>
      <c r="N105" s="78">
        <f t="shared" si="27"/>
        <v>0.25124026826961232</v>
      </c>
      <c r="O105" s="78">
        <f t="shared" si="27"/>
        <v>0.25900778703988769</v>
      </c>
      <c r="P105" s="78">
        <f t="shared" si="27"/>
        <v>0.26667127014209308</v>
      </c>
      <c r="Q105" s="78">
        <f t="shared" si="27"/>
        <v>0.26276703583351241</v>
      </c>
      <c r="R105" s="78">
        <f t="shared" si="27"/>
        <v>0.27260776232668105</v>
      </c>
      <c r="S105" s="78">
        <f t="shared" si="27"/>
        <v>0.27647168348048906</v>
      </c>
      <c r="T105" s="78">
        <f t="shared" si="27"/>
        <v>0.28602953716310892</v>
      </c>
      <c r="U105" s="78">
        <f t="shared" si="27"/>
        <v>0.28134667868006863</v>
      </c>
      <c r="V105" s="78">
        <f t="shared" si="27"/>
        <v>9.5831704602508047E-2</v>
      </c>
      <c r="W105" s="78">
        <f t="shared" si="27"/>
        <v>0.11530185832389185</v>
      </c>
      <c r="DA105" s="63"/>
    </row>
    <row r="106" spans="1:105" ht="11.4" customHeight="1" x14ac:dyDescent="0.35">
      <c r="A106" s="59" t="str">
        <f>$A$14</f>
        <v>Domestic</v>
      </c>
      <c r="B106" s="77">
        <f t="shared" si="27"/>
        <v>3.6012203539651376E-3</v>
      </c>
      <c r="C106" s="77">
        <f t="shared" si="27"/>
        <v>3.7163683949050447E-3</v>
      </c>
      <c r="D106" s="77">
        <f t="shared" si="27"/>
        <v>3.3659933801970577E-3</v>
      </c>
      <c r="E106" s="77">
        <f t="shared" si="27"/>
        <v>3.6655860546735567E-3</v>
      </c>
      <c r="F106" s="77">
        <f t="shared" si="27"/>
        <v>4.463506795158256E-3</v>
      </c>
      <c r="G106" s="77">
        <f t="shared" si="27"/>
        <v>4.4536295552266882E-3</v>
      </c>
      <c r="H106" s="77">
        <f t="shared" si="27"/>
        <v>4.8035666458102781E-3</v>
      </c>
      <c r="I106" s="77">
        <f t="shared" si="27"/>
        <v>5.2571777656951158E-3</v>
      </c>
      <c r="J106" s="77">
        <f t="shared" si="27"/>
        <v>5.3798201367868861E-3</v>
      </c>
      <c r="K106" s="77">
        <f t="shared" si="27"/>
        <v>5.5014935477715552E-3</v>
      </c>
      <c r="L106" s="77">
        <f t="shared" si="27"/>
        <v>6.5149305554701772E-3</v>
      </c>
      <c r="M106" s="77">
        <f t="shared" si="27"/>
        <v>5.8950397856590946E-3</v>
      </c>
      <c r="N106" s="77">
        <f t="shared" si="27"/>
        <v>4.5581771498488417E-3</v>
      </c>
      <c r="O106" s="77">
        <f t="shared" si="27"/>
        <v>4.5211643210318576E-3</v>
      </c>
      <c r="P106" s="77">
        <f t="shared" si="27"/>
        <v>4.5179047834229338E-3</v>
      </c>
      <c r="Q106" s="77">
        <f t="shared" si="27"/>
        <v>4.2655664346821619E-3</v>
      </c>
      <c r="R106" s="77">
        <f t="shared" si="27"/>
        <v>4.3322580169983058E-3</v>
      </c>
      <c r="S106" s="77">
        <f t="shared" si="27"/>
        <v>4.0979998371649265E-3</v>
      </c>
      <c r="T106" s="77">
        <f t="shared" si="27"/>
        <v>3.9527648291862076E-3</v>
      </c>
      <c r="U106" s="77">
        <f t="shared" si="27"/>
        <v>3.6889673784119134E-3</v>
      </c>
      <c r="V106" s="77">
        <f t="shared" si="27"/>
        <v>2.2078027950069483E-3</v>
      </c>
      <c r="W106" s="77">
        <f t="shared" si="27"/>
        <v>2.9713398808436957E-3</v>
      </c>
      <c r="DA106" s="49"/>
    </row>
    <row r="107" spans="1:105" ht="11.4" customHeight="1" x14ac:dyDescent="0.35">
      <c r="A107" s="59" t="str">
        <f>$A$15</f>
        <v>International - Intra-EEAwUK</v>
      </c>
      <c r="B107" s="77">
        <f t="shared" si="27"/>
        <v>0.12588174243358422</v>
      </c>
      <c r="C107" s="77">
        <f t="shared" si="27"/>
        <v>0.13113414212262481</v>
      </c>
      <c r="D107" s="77">
        <f t="shared" si="27"/>
        <v>0.1308420899929674</v>
      </c>
      <c r="E107" s="77">
        <f t="shared" si="27"/>
        <v>0.12728913172241435</v>
      </c>
      <c r="F107" s="77">
        <f t="shared" si="27"/>
        <v>0.12905374670233485</v>
      </c>
      <c r="G107" s="77">
        <f t="shared" si="27"/>
        <v>0.13361907083229807</v>
      </c>
      <c r="H107" s="77">
        <f t="shared" si="27"/>
        <v>0.13559328874247936</v>
      </c>
      <c r="I107" s="77">
        <f t="shared" si="27"/>
        <v>0.13336012024741975</v>
      </c>
      <c r="J107" s="77">
        <f t="shared" si="27"/>
        <v>0.12623587111604789</v>
      </c>
      <c r="K107" s="77">
        <f t="shared" si="27"/>
        <v>0.11890385974656607</v>
      </c>
      <c r="L107" s="77">
        <f t="shared" si="27"/>
        <v>0.12593066004259507</v>
      </c>
      <c r="M107" s="77">
        <f t="shared" si="27"/>
        <v>0.13079997189135006</v>
      </c>
      <c r="N107" s="77">
        <f t="shared" si="27"/>
        <v>0.13393806399537964</v>
      </c>
      <c r="O107" s="77">
        <f t="shared" ref="O107:W108" si="28">IF(O15=0,0,O15/O$4)</f>
        <v>0.13898570962973367</v>
      </c>
      <c r="P107" s="77">
        <f t="shared" si="28"/>
        <v>0.13957543567811082</v>
      </c>
      <c r="Q107" s="77">
        <f t="shared" si="28"/>
        <v>0.13822379161433754</v>
      </c>
      <c r="R107" s="77">
        <f t="shared" si="28"/>
        <v>0.14950802984882591</v>
      </c>
      <c r="S107" s="77">
        <f t="shared" si="28"/>
        <v>0.15269593172459761</v>
      </c>
      <c r="T107" s="77">
        <f t="shared" si="28"/>
        <v>0.1540892240477961</v>
      </c>
      <c r="U107" s="77">
        <f t="shared" si="28"/>
        <v>0.1470160546275299</v>
      </c>
      <c r="V107" s="77">
        <f t="shared" si="28"/>
        <v>5.0855940974020811E-2</v>
      </c>
      <c r="W107" s="77">
        <f t="shared" si="28"/>
        <v>7.3541641817055192E-2</v>
      </c>
      <c r="DA107" s="49"/>
    </row>
    <row r="108" spans="1:105" ht="11.4" customHeight="1" x14ac:dyDescent="0.35">
      <c r="A108" s="59" t="str">
        <f>$A$16</f>
        <v>International - Extra-EEAwUK</v>
      </c>
      <c r="B108" s="77">
        <f t="shared" ref="B108:Q108" si="29">IF(B16=0,0,B16/B$4)</f>
        <v>7.7284280560957638E-2</v>
      </c>
      <c r="C108" s="77">
        <f t="shared" si="29"/>
        <v>8.0094857697962901E-2</v>
      </c>
      <c r="D108" s="77">
        <f t="shared" si="29"/>
        <v>8.083250114125419E-2</v>
      </c>
      <c r="E108" s="77">
        <f t="shared" si="29"/>
        <v>7.8339990878143681E-2</v>
      </c>
      <c r="F108" s="77">
        <f t="shared" si="29"/>
        <v>8.7749243715981445E-2</v>
      </c>
      <c r="G108" s="77">
        <f t="shared" si="29"/>
        <v>9.8606044942390003E-2</v>
      </c>
      <c r="H108" s="77">
        <f t="shared" si="29"/>
        <v>0.10210846539565938</v>
      </c>
      <c r="I108" s="77">
        <f t="shared" si="29"/>
        <v>0.10090334182587266</v>
      </c>
      <c r="J108" s="77">
        <f t="shared" si="29"/>
        <v>0.10109320349128594</v>
      </c>
      <c r="K108" s="77">
        <f t="shared" si="29"/>
        <v>9.7351570628409281E-2</v>
      </c>
      <c r="L108" s="77">
        <f t="shared" si="29"/>
        <v>0.10650045252764838</v>
      </c>
      <c r="M108" s="77">
        <f t="shared" si="29"/>
        <v>0.10355031141962728</v>
      </c>
      <c r="N108" s="77">
        <f t="shared" si="29"/>
        <v>0.11274402712438385</v>
      </c>
      <c r="O108" s="77">
        <f t="shared" si="29"/>
        <v>0.11550091308912216</v>
      </c>
      <c r="P108" s="77">
        <f t="shared" si="29"/>
        <v>0.12257792968055939</v>
      </c>
      <c r="Q108" s="77">
        <f t="shared" si="29"/>
        <v>0.12027767778449268</v>
      </c>
      <c r="R108" s="77">
        <f t="shared" si="28"/>
        <v>0.11876747446085688</v>
      </c>
      <c r="S108" s="77">
        <f t="shared" si="28"/>
        <v>0.11967775191872658</v>
      </c>
      <c r="T108" s="77">
        <f t="shared" si="28"/>
        <v>0.1279875482861266</v>
      </c>
      <c r="U108" s="77">
        <f t="shared" si="28"/>
        <v>0.1306416566741268</v>
      </c>
      <c r="V108" s="77">
        <f t="shared" si="28"/>
        <v>4.2767960833480285E-2</v>
      </c>
      <c r="W108" s="77">
        <f t="shared" si="28"/>
        <v>3.8788876625992973E-2</v>
      </c>
      <c r="DA108" s="49"/>
    </row>
    <row r="109" spans="1:105" ht="11.4" customHeight="1" x14ac:dyDescent="0.35">
      <c r="A109" s="53" t="s">
        <v>168</v>
      </c>
      <c r="B109" s="75">
        <f t="shared" ref="B109:W120" si="30">IF(B17=0,0,B17/B$17)</f>
        <v>1</v>
      </c>
      <c r="C109" s="75">
        <f t="shared" si="30"/>
        <v>1</v>
      </c>
      <c r="D109" s="75">
        <f t="shared" si="30"/>
        <v>1</v>
      </c>
      <c r="E109" s="75">
        <f t="shared" si="30"/>
        <v>1</v>
      </c>
      <c r="F109" s="75">
        <f t="shared" si="30"/>
        <v>1</v>
      </c>
      <c r="G109" s="75">
        <f t="shared" si="30"/>
        <v>1</v>
      </c>
      <c r="H109" s="75">
        <f t="shared" si="30"/>
        <v>1</v>
      </c>
      <c r="I109" s="75">
        <f t="shared" si="30"/>
        <v>1</v>
      </c>
      <c r="J109" s="75">
        <f t="shared" si="30"/>
        <v>1</v>
      </c>
      <c r="K109" s="75">
        <f t="shared" si="30"/>
        <v>1</v>
      </c>
      <c r="L109" s="75">
        <f t="shared" si="30"/>
        <v>1</v>
      </c>
      <c r="M109" s="75">
        <f t="shared" si="30"/>
        <v>1</v>
      </c>
      <c r="N109" s="75">
        <f t="shared" si="30"/>
        <v>1</v>
      </c>
      <c r="O109" s="75">
        <f t="shared" si="30"/>
        <v>1</v>
      </c>
      <c r="P109" s="75">
        <f t="shared" si="30"/>
        <v>1</v>
      </c>
      <c r="Q109" s="75">
        <f t="shared" si="30"/>
        <v>1</v>
      </c>
      <c r="R109" s="75">
        <f t="shared" si="30"/>
        <v>1</v>
      </c>
      <c r="S109" s="75">
        <f t="shared" si="30"/>
        <v>1</v>
      </c>
      <c r="T109" s="75">
        <f t="shared" si="30"/>
        <v>1</v>
      </c>
      <c r="U109" s="75">
        <f t="shared" si="30"/>
        <v>1</v>
      </c>
      <c r="V109" s="75">
        <f t="shared" si="30"/>
        <v>1</v>
      </c>
      <c r="W109" s="75">
        <f t="shared" si="30"/>
        <v>1</v>
      </c>
      <c r="DA109" s="55"/>
    </row>
    <row r="110" spans="1:105" ht="11.4" customHeight="1" x14ac:dyDescent="0.35">
      <c r="A110" s="56" t="str">
        <f>$A$18</f>
        <v>Road transport</v>
      </c>
      <c r="B110" s="76">
        <f t="shared" si="30"/>
        <v>0.81689161895859386</v>
      </c>
      <c r="C110" s="76">
        <f t="shared" si="30"/>
        <v>0.80238917074075411</v>
      </c>
      <c r="D110" s="76">
        <f t="shared" si="30"/>
        <v>0.82398919966437778</v>
      </c>
      <c r="E110" s="76">
        <f t="shared" si="30"/>
        <v>0.81141445680200763</v>
      </c>
      <c r="F110" s="76">
        <f t="shared" si="30"/>
        <v>0.80623223100242447</v>
      </c>
      <c r="G110" s="76">
        <f t="shared" si="30"/>
        <v>0.81760971410130923</v>
      </c>
      <c r="H110" s="76">
        <f t="shared" si="30"/>
        <v>0.81893737384130172</v>
      </c>
      <c r="I110" s="76">
        <f t="shared" si="30"/>
        <v>0.82379209953148647</v>
      </c>
      <c r="J110" s="76">
        <f t="shared" si="30"/>
        <v>0.81383741913827723</v>
      </c>
      <c r="K110" s="76">
        <f t="shared" si="30"/>
        <v>0.82458891583367511</v>
      </c>
      <c r="L110" s="76">
        <f t="shared" si="30"/>
        <v>0.7980454839932456</v>
      </c>
      <c r="M110" s="76">
        <f t="shared" si="30"/>
        <v>0.7931076481519358</v>
      </c>
      <c r="N110" s="76">
        <f t="shared" si="30"/>
        <v>0.7994324439009185</v>
      </c>
      <c r="O110" s="76">
        <f t="shared" si="30"/>
        <v>0.81571372508742634</v>
      </c>
      <c r="P110" s="76">
        <f t="shared" si="30"/>
        <v>0.81170962145459336</v>
      </c>
      <c r="Q110" s="76">
        <f t="shared" si="30"/>
        <v>0.80229019681984137</v>
      </c>
      <c r="R110" s="76">
        <f t="shared" si="30"/>
        <v>0.81296883133237652</v>
      </c>
      <c r="S110" s="76">
        <f t="shared" si="30"/>
        <v>0.81352485347609094</v>
      </c>
      <c r="T110" s="76">
        <f t="shared" si="30"/>
        <v>0.81524690126054633</v>
      </c>
      <c r="U110" s="76">
        <f t="shared" si="30"/>
        <v>0.81521668093651867</v>
      </c>
      <c r="V110" s="76">
        <f t="shared" si="30"/>
        <v>0.83497635108681945</v>
      </c>
      <c r="W110" s="76">
        <f t="shared" si="30"/>
        <v>0.84883353568684616</v>
      </c>
      <c r="DA110" s="58"/>
    </row>
    <row r="111" spans="1:105" ht="11.4" customHeight="1" x14ac:dyDescent="0.35">
      <c r="A111" s="59" t="str">
        <f>$A$19</f>
        <v>Light commercial vehicles</v>
      </c>
      <c r="B111" s="77">
        <f t="shared" si="30"/>
        <v>4.9090711371492429E-2</v>
      </c>
      <c r="C111" s="77">
        <f t="shared" si="30"/>
        <v>5.0985707687954095E-2</v>
      </c>
      <c r="D111" s="77">
        <f t="shared" si="30"/>
        <v>5.2970194068157478E-2</v>
      </c>
      <c r="E111" s="77">
        <f t="shared" si="30"/>
        <v>5.4916240367259637E-2</v>
      </c>
      <c r="F111" s="77">
        <f t="shared" si="30"/>
        <v>5.8579242302591178E-2</v>
      </c>
      <c r="G111" s="77">
        <f t="shared" si="30"/>
        <v>6.1184869647548122E-2</v>
      </c>
      <c r="H111" s="77">
        <f t="shared" si="30"/>
        <v>6.396221284646933E-2</v>
      </c>
      <c r="I111" s="77">
        <f t="shared" si="30"/>
        <v>6.7546137267215103E-2</v>
      </c>
      <c r="J111" s="77">
        <f t="shared" si="30"/>
        <v>6.5011161857158759E-2</v>
      </c>
      <c r="K111" s="77">
        <f t="shared" si="30"/>
        <v>6.9474765109605804E-2</v>
      </c>
      <c r="L111" s="77">
        <f t="shared" si="30"/>
        <v>6.4441195286412525E-2</v>
      </c>
      <c r="M111" s="77">
        <f t="shared" si="30"/>
        <v>5.5174644567385016E-2</v>
      </c>
      <c r="N111" s="77">
        <f t="shared" si="30"/>
        <v>5.147378403357071E-2</v>
      </c>
      <c r="O111" s="77">
        <f t="shared" si="30"/>
        <v>4.8193795193064111E-2</v>
      </c>
      <c r="P111" s="77">
        <f t="shared" si="30"/>
        <v>4.5936641445860321E-2</v>
      </c>
      <c r="Q111" s="77">
        <f t="shared" si="30"/>
        <v>4.6966887347271863E-2</v>
      </c>
      <c r="R111" s="77">
        <f t="shared" si="30"/>
        <v>4.4691937936121862E-2</v>
      </c>
      <c r="S111" s="77">
        <f t="shared" si="30"/>
        <v>4.6265100910204013E-2</v>
      </c>
      <c r="T111" s="77">
        <f t="shared" si="30"/>
        <v>4.9671173487474969E-2</v>
      </c>
      <c r="U111" s="77">
        <f t="shared" si="30"/>
        <v>4.8022371194828536E-2</v>
      </c>
      <c r="V111" s="77">
        <f t="shared" si="30"/>
        <v>4.477449887180409E-2</v>
      </c>
      <c r="W111" s="77">
        <f t="shared" si="30"/>
        <v>4.5087576544296529E-2</v>
      </c>
      <c r="DA111" s="49"/>
    </row>
    <row r="112" spans="1:105" ht="11.4" customHeight="1" x14ac:dyDescent="0.35">
      <c r="A112" s="59" t="str">
        <f>$A$20</f>
        <v>Heavy goods vehicles</v>
      </c>
      <c r="B112" s="77">
        <f t="shared" si="30"/>
        <v>0.7678009075871014</v>
      </c>
      <c r="C112" s="77">
        <f t="shared" si="30"/>
        <v>0.75140346305280004</v>
      </c>
      <c r="D112" s="77">
        <f t="shared" si="30"/>
        <v>0.77101900559622027</v>
      </c>
      <c r="E112" s="77">
        <f t="shared" si="30"/>
        <v>0.75649821643474802</v>
      </c>
      <c r="F112" s="77">
        <f t="shared" si="30"/>
        <v>0.74765298869983321</v>
      </c>
      <c r="G112" s="77">
        <f t="shared" si="30"/>
        <v>0.75642484445376112</v>
      </c>
      <c r="H112" s="77">
        <f t="shared" si="30"/>
        <v>0.75497516099483231</v>
      </c>
      <c r="I112" s="77">
        <f t="shared" si="30"/>
        <v>0.75624596226427132</v>
      </c>
      <c r="J112" s="77">
        <f t="shared" si="30"/>
        <v>0.7488262572811184</v>
      </c>
      <c r="K112" s="77">
        <f t="shared" si="30"/>
        <v>0.75511415072406929</v>
      </c>
      <c r="L112" s="77">
        <f t="shared" si="30"/>
        <v>0.73360428870683314</v>
      </c>
      <c r="M112" s="77">
        <f t="shared" si="30"/>
        <v>0.73793300358455083</v>
      </c>
      <c r="N112" s="77">
        <f t="shared" si="30"/>
        <v>0.74795865986734777</v>
      </c>
      <c r="O112" s="77">
        <f t="shared" si="30"/>
        <v>0.76751992989436224</v>
      </c>
      <c r="P112" s="77">
        <f t="shared" si="30"/>
        <v>0.76577298000873306</v>
      </c>
      <c r="Q112" s="77">
        <f t="shared" si="30"/>
        <v>0.75532330947256954</v>
      </c>
      <c r="R112" s="77">
        <f t="shared" si="30"/>
        <v>0.7682768933962546</v>
      </c>
      <c r="S112" s="77">
        <f t="shared" si="30"/>
        <v>0.76725975256588685</v>
      </c>
      <c r="T112" s="77">
        <f t="shared" si="30"/>
        <v>0.76557572777307137</v>
      </c>
      <c r="U112" s="77">
        <f t="shared" si="30"/>
        <v>0.76719430974169012</v>
      </c>
      <c r="V112" s="77">
        <f t="shared" si="30"/>
        <v>0.79020185221501538</v>
      </c>
      <c r="W112" s="77">
        <f t="shared" si="30"/>
        <v>0.80374595914254965</v>
      </c>
      <c r="DA112" s="49"/>
    </row>
    <row r="113" spans="1:105" ht="11.4" customHeight="1" x14ac:dyDescent="0.35">
      <c r="A113" s="61" t="str">
        <f>$A$21</f>
        <v>Rail transport</v>
      </c>
      <c r="B113" s="78">
        <f t="shared" si="30"/>
        <v>0.10272765467112072</v>
      </c>
      <c r="C113" s="78">
        <f t="shared" si="30"/>
        <v>0.10258167013625394</v>
      </c>
      <c r="D113" s="78">
        <f t="shared" si="30"/>
        <v>9.1900467695498617E-2</v>
      </c>
      <c r="E113" s="78">
        <f t="shared" si="30"/>
        <v>9.517372147539746E-2</v>
      </c>
      <c r="F113" s="78">
        <f t="shared" si="30"/>
        <v>0.1079864658317045</v>
      </c>
      <c r="G113" s="78">
        <f t="shared" si="30"/>
        <v>8.9041450879747464E-2</v>
      </c>
      <c r="H113" s="78">
        <f t="shared" si="30"/>
        <v>8.0736610653870694E-2</v>
      </c>
      <c r="I113" s="78">
        <f t="shared" si="30"/>
        <v>7.3166808301999856E-2</v>
      </c>
      <c r="J113" s="78">
        <f t="shared" si="30"/>
        <v>7.3875378573746625E-2</v>
      </c>
      <c r="K113" s="78">
        <f t="shared" si="30"/>
        <v>7.5887512495929538E-2</v>
      </c>
      <c r="L113" s="78">
        <f t="shared" si="30"/>
        <v>9.5254226719441615E-2</v>
      </c>
      <c r="M113" s="78">
        <f t="shared" si="30"/>
        <v>0.104616310364429</v>
      </c>
      <c r="N113" s="78">
        <f t="shared" si="30"/>
        <v>9.1747691338509685E-2</v>
      </c>
      <c r="O113" s="78">
        <f t="shared" si="30"/>
        <v>9.7408066817014652E-2</v>
      </c>
      <c r="P113" s="78">
        <f t="shared" si="30"/>
        <v>9.6245096017630719E-2</v>
      </c>
      <c r="Q113" s="78">
        <f t="shared" si="30"/>
        <v>0.10278348906804617</v>
      </c>
      <c r="R113" s="78">
        <f t="shared" si="30"/>
        <v>9.7569091322588355E-2</v>
      </c>
      <c r="S113" s="78">
        <f t="shared" si="30"/>
        <v>0.10001621363388033</v>
      </c>
      <c r="T113" s="78">
        <f t="shared" si="30"/>
        <v>0.10286457255999934</v>
      </c>
      <c r="U113" s="78">
        <f t="shared" si="30"/>
        <v>9.9540909105275563E-2</v>
      </c>
      <c r="V113" s="78">
        <f t="shared" si="30"/>
        <v>9.5798631200296289E-2</v>
      </c>
      <c r="W113" s="78">
        <f t="shared" si="30"/>
        <v>7.6672245297905936E-2</v>
      </c>
      <c r="DA113" s="63"/>
    </row>
    <row r="114" spans="1:105" ht="11.4" customHeight="1" x14ac:dyDescent="0.35">
      <c r="A114" s="61" t="str">
        <f>$A$22</f>
        <v>Aviation</v>
      </c>
      <c r="B114" s="78">
        <f t="shared" si="30"/>
        <v>2.6030571686263783E-3</v>
      </c>
      <c r="C114" s="78">
        <f t="shared" si="30"/>
        <v>2.7574128927563089E-3</v>
      </c>
      <c r="D114" s="78">
        <f t="shared" si="30"/>
        <v>2.5219591399487725E-3</v>
      </c>
      <c r="E114" s="78">
        <f t="shared" si="30"/>
        <v>1.9266692984940689E-3</v>
      </c>
      <c r="F114" s="78">
        <f t="shared" si="30"/>
        <v>1.8729811386281475E-3</v>
      </c>
      <c r="G114" s="78">
        <f t="shared" si="30"/>
        <v>1.910564922448148E-3</v>
      </c>
      <c r="H114" s="78">
        <f t="shared" si="30"/>
        <v>1.7621467327506534E-3</v>
      </c>
      <c r="I114" s="78">
        <f t="shared" si="30"/>
        <v>1.5780592370821598E-3</v>
      </c>
      <c r="J114" s="78">
        <f t="shared" si="30"/>
        <v>1.9231700908169065E-2</v>
      </c>
      <c r="K114" s="78">
        <f t="shared" si="30"/>
        <v>1.7658935491720207E-2</v>
      </c>
      <c r="L114" s="78">
        <f t="shared" si="30"/>
        <v>1.9060189398101321E-2</v>
      </c>
      <c r="M114" s="78">
        <f t="shared" si="30"/>
        <v>1.8051747245735054E-2</v>
      </c>
      <c r="N114" s="78">
        <f t="shared" si="30"/>
        <v>2.1879261086551902E-2</v>
      </c>
      <c r="O114" s="78">
        <f t="shared" si="30"/>
        <v>1.879183879803625E-2</v>
      </c>
      <c r="P114" s="78">
        <f t="shared" si="30"/>
        <v>2.4134891873277785E-2</v>
      </c>
      <c r="Q114" s="78">
        <f t="shared" si="30"/>
        <v>2.233653122301137E-2</v>
      </c>
      <c r="R114" s="78">
        <f t="shared" si="30"/>
        <v>1.888728777362916E-2</v>
      </c>
      <c r="S114" s="78">
        <f t="shared" si="30"/>
        <v>2.0987821814676195E-2</v>
      </c>
      <c r="T114" s="78">
        <f t="shared" si="30"/>
        <v>1.7984088923191845E-2</v>
      </c>
      <c r="U114" s="78">
        <f t="shared" si="30"/>
        <v>2.070540648354479E-2</v>
      </c>
      <c r="V114" s="78">
        <f t="shared" si="30"/>
        <v>1.1768400547891267E-2</v>
      </c>
      <c r="W114" s="78">
        <f t="shared" si="30"/>
        <v>1.600090130728787E-2</v>
      </c>
      <c r="DA114" s="63"/>
    </row>
    <row r="115" spans="1:105" ht="11.4" customHeight="1" x14ac:dyDescent="0.35">
      <c r="A115" s="59" t="s">
        <v>82</v>
      </c>
      <c r="B115" s="77">
        <f t="shared" si="30"/>
        <v>1.9872026117590575E-5</v>
      </c>
      <c r="C115" s="77">
        <f t="shared" si="30"/>
        <v>2.0218036483789536E-5</v>
      </c>
      <c r="D115" s="77">
        <f t="shared" si="30"/>
        <v>1.8836475813041864E-5</v>
      </c>
      <c r="E115" s="77">
        <f t="shared" si="30"/>
        <v>1.379587699216966E-5</v>
      </c>
      <c r="F115" s="77">
        <f t="shared" si="30"/>
        <v>1.4006760982736074E-5</v>
      </c>
      <c r="G115" s="77">
        <f t="shared" si="30"/>
        <v>1.5018133854296685E-5</v>
      </c>
      <c r="H115" s="77">
        <f t="shared" si="30"/>
        <v>1.4229962245660539E-5</v>
      </c>
      <c r="I115" s="77">
        <f t="shared" si="30"/>
        <v>1.1097473795899597E-5</v>
      </c>
      <c r="J115" s="77">
        <f t="shared" si="30"/>
        <v>1.811724996313512E-5</v>
      </c>
      <c r="K115" s="77">
        <f t="shared" si="30"/>
        <v>1.4906186799425103E-5</v>
      </c>
      <c r="L115" s="77">
        <f t="shared" si="30"/>
        <v>5.3253716622881485E-6</v>
      </c>
      <c r="M115" s="77">
        <f t="shared" si="30"/>
        <v>2.870338904716248E-6</v>
      </c>
      <c r="N115" s="77">
        <f t="shared" si="30"/>
        <v>2.3053678968048638E-6</v>
      </c>
      <c r="O115" s="77">
        <f t="shared" si="30"/>
        <v>2.8380781773351645E-6</v>
      </c>
      <c r="P115" s="77">
        <f t="shared" si="30"/>
        <v>3.3826227703765856E-6</v>
      </c>
      <c r="Q115" s="77">
        <f t="shared" si="30"/>
        <v>3.3220768659782059E-6</v>
      </c>
      <c r="R115" s="77">
        <f t="shared" si="30"/>
        <v>9.1974569822390164E-7</v>
      </c>
      <c r="S115" s="77">
        <f t="shared" si="30"/>
        <v>1.5224642677009823E-6</v>
      </c>
      <c r="T115" s="77">
        <f t="shared" si="30"/>
        <v>2.2218990534543952E-6</v>
      </c>
      <c r="U115" s="77">
        <f t="shared" si="30"/>
        <v>2.4953565689566274E-6</v>
      </c>
      <c r="V115" s="77">
        <f t="shared" si="30"/>
        <v>3.0108580038811477E-6</v>
      </c>
      <c r="W115" s="77">
        <f t="shared" si="30"/>
        <v>5.3913687600669782E-6</v>
      </c>
      <c r="DA115" s="49"/>
    </row>
    <row r="116" spans="1:105" ht="11.4" customHeight="1" x14ac:dyDescent="0.35">
      <c r="A116" s="59" t="str">
        <f>$A$24</f>
        <v>International - Intra-EEAwUK</v>
      </c>
      <c r="B116" s="77">
        <f t="shared" si="30"/>
        <v>2.1765622700833597E-3</v>
      </c>
      <c r="C116" s="77">
        <f t="shared" si="30"/>
        <v>2.3023755165193804E-3</v>
      </c>
      <c r="D116" s="77">
        <f t="shared" si="30"/>
        <v>2.0285729809167798E-3</v>
      </c>
      <c r="E116" s="77">
        <f t="shared" si="30"/>
        <v>1.4521618877433556E-3</v>
      </c>
      <c r="F116" s="77">
        <f t="shared" si="30"/>
        <v>1.4250207482756506E-3</v>
      </c>
      <c r="G116" s="77">
        <f t="shared" si="30"/>
        <v>1.6135663076163056E-3</v>
      </c>
      <c r="H116" s="77">
        <f t="shared" si="30"/>
        <v>1.6131434261008419E-3</v>
      </c>
      <c r="I116" s="77">
        <f t="shared" si="30"/>
        <v>1.4208028819995026E-3</v>
      </c>
      <c r="J116" s="77">
        <f t="shared" si="30"/>
        <v>2.8903826568877139E-3</v>
      </c>
      <c r="K116" s="77">
        <f t="shared" si="30"/>
        <v>2.3123115918526477E-3</v>
      </c>
      <c r="L116" s="77">
        <f t="shared" si="30"/>
        <v>1.5900328038437222E-3</v>
      </c>
      <c r="M116" s="77">
        <f t="shared" si="30"/>
        <v>1.5034326266901738E-3</v>
      </c>
      <c r="N116" s="77">
        <f t="shared" si="30"/>
        <v>1.4608413326734431E-3</v>
      </c>
      <c r="O116" s="77">
        <f t="shared" si="30"/>
        <v>1.2140744111821412E-3</v>
      </c>
      <c r="P116" s="77">
        <f t="shared" si="30"/>
        <v>1.9632087758906396E-3</v>
      </c>
      <c r="Q116" s="77">
        <f t="shared" si="30"/>
        <v>1.9051796166277405E-3</v>
      </c>
      <c r="R116" s="77">
        <f t="shared" si="30"/>
        <v>1.5675681094120054E-3</v>
      </c>
      <c r="S116" s="77">
        <f t="shared" si="30"/>
        <v>1.7425358031319181E-3</v>
      </c>
      <c r="T116" s="77">
        <f t="shared" si="30"/>
        <v>1.85068940145967E-3</v>
      </c>
      <c r="U116" s="77">
        <f t="shared" si="30"/>
        <v>2.1166050982775807E-3</v>
      </c>
      <c r="V116" s="77">
        <f t="shared" si="30"/>
        <v>2.017202265961198E-3</v>
      </c>
      <c r="W116" s="77">
        <f t="shared" si="30"/>
        <v>2.89846264562368E-3</v>
      </c>
      <c r="DA116" s="49"/>
    </row>
    <row r="117" spans="1:105" ht="11.4" customHeight="1" x14ac:dyDescent="0.35">
      <c r="A117" s="59" t="str">
        <f>$A$25</f>
        <v>International - Extra-EEAwUK</v>
      </c>
      <c r="B117" s="77">
        <f t="shared" si="30"/>
        <v>4.0662287242542816E-4</v>
      </c>
      <c r="C117" s="77">
        <f t="shared" si="30"/>
        <v>4.3481933975313868E-4</v>
      </c>
      <c r="D117" s="77">
        <f t="shared" si="30"/>
        <v>4.7454968321895071E-4</v>
      </c>
      <c r="E117" s="77">
        <f t="shared" si="30"/>
        <v>4.6071153375854354E-4</v>
      </c>
      <c r="F117" s="77">
        <f t="shared" si="30"/>
        <v>4.33953629369761E-4</v>
      </c>
      <c r="G117" s="77">
        <f t="shared" si="30"/>
        <v>2.8198048097754591E-4</v>
      </c>
      <c r="H117" s="77">
        <f t="shared" si="30"/>
        <v>1.3477334440415074E-4</v>
      </c>
      <c r="I117" s="77">
        <f t="shared" si="30"/>
        <v>1.4615888128675781E-4</v>
      </c>
      <c r="J117" s="77">
        <f t="shared" si="30"/>
        <v>1.6323201001318215E-2</v>
      </c>
      <c r="K117" s="77">
        <f t="shared" si="30"/>
        <v>1.5331717713068132E-2</v>
      </c>
      <c r="L117" s="77">
        <f t="shared" si="30"/>
        <v>1.746483122259531E-2</v>
      </c>
      <c r="M117" s="77">
        <f t="shared" si="30"/>
        <v>1.6545444280140164E-2</v>
      </c>
      <c r="N117" s="77">
        <f t="shared" si="30"/>
        <v>2.0416114385981655E-2</v>
      </c>
      <c r="O117" s="77">
        <f t="shared" si="30"/>
        <v>1.7574926308676776E-2</v>
      </c>
      <c r="P117" s="77">
        <f t="shared" si="30"/>
        <v>2.2168300474616771E-2</v>
      </c>
      <c r="Q117" s="77">
        <f t="shared" si="30"/>
        <v>2.0428029529517649E-2</v>
      </c>
      <c r="R117" s="77">
        <f t="shared" si="30"/>
        <v>1.731879991851893E-2</v>
      </c>
      <c r="S117" s="77">
        <f t="shared" si="30"/>
        <v>1.9243763547276572E-2</v>
      </c>
      <c r="T117" s="77">
        <f t="shared" si="30"/>
        <v>1.6131177622678721E-2</v>
      </c>
      <c r="U117" s="77">
        <f t="shared" si="30"/>
        <v>1.8586306028698256E-2</v>
      </c>
      <c r="V117" s="77">
        <f t="shared" si="30"/>
        <v>9.7481874239261877E-3</v>
      </c>
      <c r="W117" s="77">
        <f t="shared" si="30"/>
        <v>1.3097047292904123E-2</v>
      </c>
      <c r="DA117" s="49"/>
    </row>
    <row r="118" spans="1:105" ht="11.4" customHeight="1" x14ac:dyDescent="0.35">
      <c r="A118" s="61" t="s">
        <v>99</v>
      </c>
      <c r="B118" s="78">
        <f t="shared" si="30"/>
        <v>7.777766920165903E-2</v>
      </c>
      <c r="C118" s="78">
        <f t="shared" si="30"/>
        <v>9.2271746230235555E-2</v>
      </c>
      <c r="D118" s="78">
        <f t="shared" si="30"/>
        <v>8.1588373500174796E-2</v>
      </c>
      <c r="E118" s="78">
        <f t="shared" si="30"/>
        <v>9.1485152424100838E-2</v>
      </c>
      <c r="F118" s="78">
        <f t="shared" si="30"/>
        <v>8.3908322027242896E-2</v>
      </c>
      <c r="G118" s="78">
        <f t="shared" si="30"/>
        <v>9.1438270096495328E-2</v>
      </c>
      <c r="H118" s="78">
        <f t="shared" si="30"/>
        <v>9.8563868772076957E-2</v>
      </c>
      <c r="I118" s="78">
        <f t="shared" si="30"/>
        <v>0.10146303292943146</v>
      </c>
      <c r="J118" s="78">
        <f t="shared" si="30"/>
        <v>9.3055501379807046E-2</v>
      </c>
      <c r="K118" s="78">
        <f t="shared" si="30"/>
        <v>8.1864636178675107E-2</v>
      </c>
      <c r="L118" s="78">
        <f t="shared" si="30"/>
        <v>8.764009988921144E-2</v>
      </c>
      <c r="M118" s="78">
        <f t="shared" si="30"/>
        <v>8.4224294237900302E-2</v>
      </c>
      <c r="N118" s="78">
        <f t="shared" si="30"/>
        <v>8.6940603674019859E-2</v>
      </c>
      <c r="O118" s="78">
        <f t="shared" si="30"/>
        <v>6.8086369297522639E-2</v>
      </c>
      <c r="P118" s="78">
        <f t="shared" si="30"/>
        <v>6.7910390654498096E-2</v>
      </c>
      <c r="Q118" s="78">
        <f t="shared" si="30"/>
        <v>7.258978288910109E-2</v>
      </c>
      <c r="R118" s="78">
        <f t="shared" si="30"/>
        <v>7.0574789571405949E-2</v>
      </c>
      <c r="S118" s="78">
        <f t="shared" si="30"/>
        <v>6.5471111075352445E-2</v>
      </c>
      <c r="T118" s="78">
        <f t="shared" si="30"/>
        <v>6.3904437256262533E-2</v>
      </c>
      <c r="U118" s="78">
        <f t="shared" si="30"/>
        <v>6.4537003474660987E-2</v>
      </c>
      <c r="V118" s="78">
        <f t="shared" si="30"/>
        <v>5.7456617164993048E-2</v>
      </c>
      <c r="W118" s="78">
        <f t="shared" si="30"/>
        <v>5.8493317707959992E-2</v>
      </c>
      <c r="DA118" s="63"/>
    </row>
    <row r="119" spans="1:105" ht="11.4" customHeight="1" x14ac:dyDescent="0.35">
      <c r="A119" s="59" t="str">
        <f>$A$27</f>
        <v>Domestic coastal shipping</v>
      </c>
      <c r="B119" s="77">
        <f t="shared" si="30"/>
        <v>7.777766920165903E-2</v>
      </c>
      <c r="C119" s="77">
        <f t="shared" si="30"/>
        <v>9.2271746230235555E-2</v>
      </c>
      <c r="D119" s="77">
        <f t="shared" si="30"/>
        <v>8.1588373500174796E-2</v>
      </c>
      <c r="E119" s="77">
        <f t="shared" si="30"/>
        <v>9.1485152424100838E-2</v>
      </c>
      <c r="F119" s="77">
        <f t="shared" si="30"/>
        <v>8.3908322027242896E-2</v>
      </c>
      <c r="G119" s="77">
        <f t="shared" si="30"/>
        <v>9.1438270096495328E-2</v>
      </c>
      <c r="H119" s="77">
        <f t="shared" si="30"/>
        <v>9.8563868772076957E-2</v>
      </c>
      <c r="I119" s="77">
        <f t="shared" si="30"/>
        <v>0.10146303292943146</v>
      </c>
      <c r="J119" s="77">
        <f t="shared" si="30"/>
        <v>9.3055501379807046E-2</v>
      </c>
      <c r="K119" s="77">
        <f t="shared" si="30"/>
        <v>8.1864636178675107E-2</v>
      </c>
      <c r="L119" s="77">
        <f t="shared" si="30"/>
        <v>8.764009988921144E-2</v>
      </c>
      <c r="M119" s="77">
        <f t="shared" si="30"/>
        <v>8.4224294237900302E-2</v>
      </c>
      <c r="N119" s="77">
        <f t="shared" si="30"/>
        <v>8.6940603674019859E-2</v>
      </c>
      <c r="O119" s="77">
        <f t="shared" si="30"/>
        <v>6.8086369297522639E-2</v>
      </c>
      <c r="P119" s="77">
        <f t="shared" si="30"/>
        <v>6.7910390654498096E-2</v>
      </c>
      <c r="Q119" s="77">
        <f t="shared" si="30"/>
        <v>7.258978288910109E-2</v>
      </c>
      <c r="R119" s="77">
        <f t="shared" si="30"/>
        <v>7.0574789571405949E-2</v>
      </c>
      <c r="S119" s="77">
        <f t="shared" si="30"/>
        <v>6.5471111075352445E-2</v>
      </c>
      <c r="T119" s="77">
        <f t="shared" si="30"/>
        <v>6.3904437256262533E-2</v>
      </c>
      <c r="U119" s="77">
        <f t="shared" si="30"/>
        <v>6.4537003474660987E-2</v>
      </c>
      <c r="V119" s="77">
        <f t="shared" si="30"/>
        <v>5.7456617164993048E-2</v>
      </c>
      <c r="W119" s="77">
        <f t="shared" si="30"/>
        <v>5.8493317707959992E-2</v>
      </c>
      <c r="DA119" s="49"/>
    </row>
    <row r="120" spans="1:105" ht="11.4" customHeight="1" x14ac:dyDescent="0.35">
      <c r="A120" s="67" t="str">
        <f>$A$28</f>
        <v>Inland waterways</v>
      </c>
      <c r="B120" s="79">
        <f t="shared" si="30"/>
        <v>0</v>
      </c>
      <c r="C120" s="79">
        <f t="shared" si="30"/>
        <v>0</v>
      </c>
      <c r="D120" s="79">
        <f t="shared" si="30"/>
        <v>0</v>
      </c>
      <c r="E120" s="79">
        <f t="shared" si="30"/>
        <v>0</v>
      </c>
      <c r="F120" s="79">
        <f t="shared" si="30"/>
        <v>0</v>
      </c>
      <c r="G120" s="79">
        <f t="shared" si="30"/>
        <v>0</v>
      </c>
      <c r="H120" s="79">
        <f t="shared" si="30"/>
        <v>0</v>
      </c>
      <c r="I120" s="79">
        <f t="shared" si="30"/>
        <v>0</v>
      </c>
      <c r="J120" s="79">
        <f t="shared" si="30"/>
        <v>0</v>
      </c>
      <c r="K120" s="79">
        <f t="shared" si="30"/>
        <v>0</v>
      </c>
      <c r="L120" s="79">
        <f t="shared" si="30"/>
        <v>0</v>
      </c>
      <c r="M120" s="79">
        <f t="shared" si="30"/>
        <v>0</v>
      </c>
      <c r="N120" s="79">
        <f t="shared" si="30"/>
        <v>0</v>
      </c>
      <c r="O120" s="79">
        <f t="shared" ref="O120:W120" si="31">IF(O28=0,0,O28/O$17)</f>
        <v>0</v>
      </c>
      <c r="P120" s="79">
        <f t="shared" si="31"/>
        <v>0</v>
      </c>
      <c r="Q120" s="79">
        <f t="shared" si="31"/>
        <v>0</v>
      </c>
      <c r="R120" s="79">
        <f t="shared" si="31"/>
        <v>0</v>
      </c>
      <c r="S120" s="79">
        <f t="shared" si="31"/>
        <v>0</v>
      </c>
      <c r="T120" s="79">
        <f t="shared" si="31"/>
        <v>0</v>
      </c>
      <c r="U120" s="79">
        <f t="shared" si="31"/>
        <v>0</v>
      </c>
      <c r="V120" s="79">
        <f t="shared" si="31"/>
        <v>0</v>
      </c>
      <c r="W120" s="79">
        <f t="shared" si="31"/>
        <v>0</v>
      </c>
      <c r="DA120" s="69"/>
    </row>
    <row r="121" spans="1:105" ht="11.4" customHeight="1" x14ac:dyDescent="0.35">
      <c r="A121" s="53" t="s">
        <v>169</v>
      </c>
      <c r="B121" s="75">
        <f t="shared" ref="B121:B123" si="32">IF(B29=0,0,B29/B$29)</f>
        <v>1</v>
      </c>
      <c r="C121" s="75">
        <f>IF(C29=0,0,C29/C$29)</f>
        <v>1</v>
      </c>
      <c r="D121" s="75">
        <f t="shared" ref="D121:W123" si="33">IF(D29=0,0,D29/D$29)</f>
        <v>1</v>
      </c>
      <c r="E121" s="75">
        <f t="shared" si="33"/>
        <v>1</v>
      </c>
      <c r="F121" s="75">
        <f t="shared" si="33"/>
        <v>1</v>
      </c>
      <c r="G121" s="75">
        <f t="shared" si="33"/>
        <v>1</v>
      </c>
      <c r="H121" s="75">
        <f t="shared" si="33"/>
        <v>1</v>
      </c>
      <c r="I121" s="75">
        <f t="shared" si="33"/>
        <v>1</v>
      </c>
      <c r="J121" s="75">
        <f t="shared" si="33"/>
        <v>1</v>
      </c>
      <c r="K121" s="75">
        <f t="shared" si="33"/>
        <v>1</v>
      </c>
      <c r="L121" s="75">
        <f t="shared" si="33"/>
        <v>1</v>
      </c>
      <c r="M121" s="75">
        <f t="shared" si="33"/>
        <v>1</v>
      </c>
      <c r="N121" s="75">
        <f t="shared" si="33"/>
        <v>1</v>
      </c>
      <c r="O121" s="75">
        <f t="shared" si="33"/>
        <v>1</v>
      </c>
      <c r="P121" s="75">
        <f t="shared" si="33"/>
        <v>1</v>
      </c>
      <c r="Q121" s="75">
        <f t="shared" si="33"/>
        <v>1</v>
      </c>
      <c r="R121" s="75">
        <f t="shared" si="33"/>
        <v>1</v>
      </c>
      <c r="S121" s="75">
        <f t="shared" si="33"/>
        <v>1</v>
      </c>
      <c r="T121" s="75">
        <f t="shared" si="33"/>
        <v>1</v>
      </c>
      <c r="U121" s="75">
        <f t="shared" si="33"/>
        <v>1</v>
      </c>
      <c r="V121" s="75">
        <f t="shared" si="33"/>
        <v>1</v>
      </c>
      <c r="W121" s="75">
        <f t="shared" si="33"/>
        <v>1</v>
      </c>
      <c r="DA121" s="55"/>
    </row>
    <row r="122" spans="1:105" ht="11.4" customHeight="1" x14ac:dyDescent="0.35">
      <c r="A122" s="59" t="str">
        <f>$A$30</f>
        <v>Intra-EEA</v>
      </c>
      <c r="B122" s="77">
        <f t="shared" si="32"/>
        <v>0.26907394429914056</v>
      </c>
      <c r="C122" s="77">
        <f>IF(C30=0,0,C30/C$29)</f>
        <v>0.26323965666371923</v>
      </c>
      <c r="D122" s="77">
        <f t="shared" si="33"/>
        <v>0.27870702802526354</v>
      </c>
      <c r="E122" s="77">
        <f t="shared" si="33"/>
        <v>0.24107102755523854</v>
      </c>
      <c r="F122" s="77">
        <f t="shared" si="33"/>
        <v>0.29086286759763547</v>
      </c>
      <c r="G122" s="77">
        <f t="shared" si="33"/>
        <v>0.29986320948168815</v>
      </c>
      <c r="H122" s="77">
        <f t="shared" si="33"/>
        <v>0.23803948090894717</v>
      </c>
      <c r="I122" s="77">
        <f t="shared" si="33"/>
        <v>0.25252031422782034</v>
      </c>
      <c r="J122" s="77">
        <f t="shared" si="33"/>
        <v>0.25501020840963506</v>
      </c>
      <c r="K122" s="77">
        <f t="shared" si="33"/>
        <v>0.25746723952162603</v>
      </c>
      <c r="L122" s="77">
        <f t="shared" si="33"/>
        <v>0.29001042124251758</v>
      </c>
      <c r="M122" s="77">
        <f t="shared" si="33"/>
        <v>0.23627463675030369</v>
      </c>
      <c r="N122" s="77">
        <f t="shared" si="33"/>
        <v>0.30169972666748196</v>
      </c>
      <c r="O122" s="77">
        <f t="shared" si="33"/>
        <v>0.34076364723782826</v>
      </c>
      <c r="P122" s="77">
        <f t="shared" si="33"/>
        <v>0.29797003016023249</v>
      </c>
      <c r="Q122" s="77">
        <f t="shared" si="33"/>
        <v>0.24472886276214964</v>
      </c>
      <c r="R122" s="77">
        <f t="shared" si="33"/>
        <v>0.24785628701474957</v>
      </c>
      <c r="S122" s="77">
        <f t="shared" si="33"/>
        <v>0.25286135375275726</v>
      </c>
      <c r="T122" s="77">
        <f t="shared" si="33"/>
        <v>0.23732758821575201</v>
      </c>
      <c r="U122" s="77">
        <f t="shared" si="33"/>
        <v>0.22922669244236832</v>
      </c>
      <c r="V122" s="77">
        <f t="shared" si="33"/>
        <v>0.22263047748416487</v>
      </c>
      <c r="W122" s="77">
        <f t="shared" si="33"/>
        <v>0.21309063279032664</v>
      </c>
      <c r="DA122" s="49"/>
    </row>
    <row r="123" spans="1:105" ht="11.4" customHeight="1" x14ac:dyDescent="0.35">
      <c r="A123" s="67" t="str">
        <f>$A$31</f>
        <v>Extra-EEA</v>
      </c>
      <c r="B123" s="79">
        <f t="shared" si="32"/>
        <v>0.73092605570085944</v>
      </c>
      <c r="C123" s="79">
        <f>IF(C31=0,0,C31/C$29)</f>
        <v>0.73676034333628082</v>
      </c>
      <c r="D123" s="79">
        <f t="shared" si="33"/>
        <v>0.72129297197473652</v>
      </c>
      <c r="E123" s="79">
        <f t="shared" si="33"/>
        <v>0.75892897244476154</v>
      </c>
      <c r="F123" s="79">
        <f t="shared" si="33"/>
        <v>0.70913713240236453</v>
      </c>
      <c r="G123" s="79">
        <f t="shared" si="33"/>
        <v>0.7001367905183119</v>
      </c>
      <c r="H123" s="79">
        <f t="shared" si="33"/>
        <v>0.76196051909105278</v>
      </c>
      <c r="I123" s="79">
        <f t="shared" si="33"/>
        <v>0.74747968577217971</v>
      </c>
      <c r="J123" s="79">
        <f t="shared" si="33"/>
        <v>0.74498979159036505</v>
      </c>
      <c r="K123" s="79">
        <f t="shared" si="33"/>
        <v>0.74253276047837402</v>
      </c>
      <c r="L123" s="79">
        <f t="shared" si="33"/>
        <v>0.70998957875748248</v>
      </c>
      <c r="M123" s="79">
        <f t="shared" si="33"/>
        <v>0.76372536324969631</v>
      </c>
      <c r="N123" s="79">
        <f t="shared" si="33"/>
        <v>0.6983002733325181</v>
      </c>
      <c r="O123" s="79">
        <f t="shared" si="33"/>
        <v>0.65923635276217185</v>
      </c>
      <c r="P123" s="79">
        <f t="shared" si="33"/>
        <v>0.70202996983976751</v>
      </c>
      <c r="Q123" s="79">
        <f t="shared" si="33"/>
        <v>0.75527113723785033</v>
      </c>
      <c r="R123" s="79">
        <f t="shared" si="33"/>
        <v>0.75214371298525051</v>
      </c>
      <c r="S123" s="79">
        <f t="shared" si="33"/>
        <v>0.7471386462472428</v>
      </c>
      <c r="T123" s="79">
        <f t="shared" si="33"/>
        <v>0.76267241178424805</v>
      </c>
      <c r="U123" s="79">
        <f t="shared" si="33"/>
        <v>0.77077330755763163</v>
      </c>
      <c r="V123" s="79">
        <f t="shared" si="33"/>
        <v>0.77736952251583513</v>
      </c>
      <c r="W123" s="79">
        <f t="shared" si="33"/>
        <v>0.7869093672096733</v>
      </c>
      <c r="DA123" s="69"/>
    </row>
    <row r="124" spans="1:105" x14ac:dyDescent="0.3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DA124" s="49"/>
    </row>
    <row r="125" spans="1:105" ht="11.4" customHeight="1" x14ac:dyDescent="0.35">
      <c r="A125" s="50" t="s">
        <v>170</v>
      </c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DA125" s="52"/>
    </row>
    <row r="126" spans="1:105" ht="11.4" customHeight="1" x14ac:dyDescent="0.35">
      <c r="A126" s="53" t="s">
        <v>109</v>
      </c>
      <c r="B126" s="75">
        <f t="shared" ref="B126:W137" si="34">IF(B34=0,0,B34/B$34)</f>
        <v>1</v>
      </c>
      <c r="C126" s="75">
        <f t="shared" si="34"/>
        <v>1</v>
      </c>
      <c r="D126" s="75">
        <f t="shared" si="34"/>
        <v>1</v>
      </c>
      <c r="E126" s="75">
        <f t="shared" si="34"/>
        <v>1</v>
      </c>
      <c r="F126" s="75">
        <f t="shared" si="34"/>
        <v>1</v>
      </c>
      <c r="G126" s="75">
        <f t="shared" si="34"/>
        <v>1</v>
      </c>
      <c r="H126" s="75">
        <f t="shared" si="34"/>
        <v>1</v>
      </c>
      <c r="I126" s="75">
        <f t="shared" si="34"/>
        <v>1</v>
      </c>
      <c r="J126" s="75">
        <f t="shared" si="34"/>
        <v>1</v>
      </c>
      <c r="K126" s="75">
        <f t="shared" si="34"/>
        <v>1</v>
      </c>
      <c r="L126" s="75">
        <f t="shared" si="34"/>
        <v>1</v>
      </c>
      <c r="M126" s="75">
        <f t="shared" si="34"/>
        <v>1</v>
      </c>
      <c r="N126" s="75">
        <f t="shared" si="34"/>
        <v>1</v>
      </c>
      <c r="O126" s="75">
        <f t="shared" si="34"/>
        <v>1</v>
      </c>
      <c r="P126" s="75">
        <f t="shared" si="34"/>
        <v>1</v>
      </c>
      <c r="Q126" s="75">
        <f t="shared" si="34"/>
        <v>1</v>
      </c>
      <c r="R126" s="75">
        <f t="shared" si="34"/>
        <v>1</v>
      </c>
      <c r="S126" s="75">
        <f t="shared" si="34"/>
        <v>1</v>
      </c>
      <c r="T126" s="75">
        <f t="shared" si="34"/>
        <v>1</v>
      </c>
      <c r="U126" s="75">
        <f t="shared" si="34"/>
        <v>1</v>
      </c>
      <c r="V126" s="75">
        <f t="shared" si="34"/>
        <v>1</v>
      </c>
      <c r="W126" s="75">
        <f t="shared" si="34"/>
        <v>1</v>
      </c>
      <c r="DA126" s="55"/>
    </row>
    <row r="127" spans="1:105" ht="11.4" customHeight="1" x14ac:dyDescent="0.35">
      <c r="A127" s="56" t="str">
        <f>$A$5</f>
        <v>Road transport</v>
      </c>
      <c r="B127" s="76">
        <f t="shared" si="34"/>
        <v>0.7238741850487892</v>
      </c>
      <c r="C127" s="76">
        <f t="shared" si="34"/>
        <v>0.7190437573230295</v>
      </c>
      <c r="D127" s="76">
        <f t="shared" si="34"/>
        <v>0.74605267411898657</v>
      </c>
      <c r="E127" s="76">
        <f t="shared" si="34"/>
        <v>0.74318946258439922</v>
      </c>
      <c r="F127" s="76">
        <f t="shared" si="34"/>
        <v>0.72295671326503819</v>
      </c>
      <c r="G127" s="76">
        <f t="shared" si="34"/>
        <v>0.71305547632015231</v>
      </c>
      <c r="H127" s="76">
        <f t="shared" si="34"/>
        <v>0.71455861137634058</v>
      </c>
      <c r="I127" s="76">
        <f t="shared" si="34"/>
        <v>0.71805337520913892</v>
      </c>
      <c r="J127" s="76">
        <f t="shared" si="34"/>
        <v>0.72800643166928147</v>
      </c>
      <c r="K127" s="76">
        <f t="shared" si="34"/>
        <v>0.74525384964884211</v>
      </c>
      <c r="L127" s="76">
        <f t="shared" si="34"/>
        <v>0.7374000027202533</v>
      </c>
      <c r="M127" s="76">
        <f t="shared" si="34"/>
        <v>0.73759551891011688</v>
      </c>
      <c r="N127" s="76">
        <f t="shared" si="34"/>
        <v>0.72626710198358035</v>
      </c>
      <c r="O127" s="76">
        <f t="shared" si="34"/>
        <v>0.72530668885799587</v>
      </c>
      <c r="P127" s="76">
        <f t="shared" si="34"/>
        <v>0.71582812946482877</v>
      </c>
      <c r="Q127" s="76">
        <f t="shared" si="34"/>
        <v>0.73424620101309668</v>
      </c>
      <c r="R127" s="76">
        <f t="shared" si="34"/>
        <v>0.71677894038203338</v>
      </c>
      <c r="S127" s="76">
        <f t="shared" si="34"/>
        <v>0.71054085977513293</v>
      </c>
      <c r="T127" s="76">
        <f t="shared" si="34"/>
        <v>0.70536360370687923</v>
      </c>
      <c r="U127" s="76">
        <f t="shared" si="34"/>
        <v>0.70008352585745759</v>
      </c>
      <c r="V127" s="76">
        <f t="shared" si="34"/>
        <v>0.85709140946838025</v>
      </c>
      <c r="W127" s="76">
        <f t="shared" si="34"/>
        <v>0.83448962371592195</v>
      </c>
      <c r="DA127" s="58"/>
    </row>
    <row r="128" spans="1:105" ht="11.4" customHeight="1" x14ac:dyDescent="0.35">
      <c r="A128" s="59" t="str">
        <f>$A$6</f>
        <v>Powered two-wheelers</v>
      </c>
      <c r="B128" s="77">
        <f t="shared" si="34"/>
        <v>7.1672834313936794E-3</v>
      </c>
      <c r="C128" s="77">
        <f t="shared" si="34"/>
        <v>6.8059107091284522E-3</v>
      </c>
      <c r="D128" s="77">
        <f t="shared" si="34"/>
        <v>7.220113156842926E-3</v>
      </c>
      <c r="E128" s="77">
        <f t="shared" si="34"/>
        <v>7.1084972056511906E-3</v>
      </c>
      <c r="F128" s="77">
        <f t="shared" si="34"/>
        <v>6.8073585696630462E-3</v>
      </c>
      <c r="G128" s="77">
        <f t="shared" si="34"/>
        <v>6.769910280936443E-3</v>
      </c>
      <c r="H128" s="77">
        <f t="shared" si="34"/>
        <v>6.9681962918921626E-3</v>
      </c>
      <c r="I128" s="77">
        <f t="shared" si="34"/>
        <v>7.0562798706900031E-3</v>
      </c>
      <c r="J128" s="77">
        <f t="shared" si="34"/>
        <v>7.1153640010316972E-3</v>
      </c>
      <c r="K128" s="77">
        <f t="shared" si="34"/>
        <v>7.0274901776100612E-3</v>
      </c>
      <c r="L128" s="77">
        <f t="shared" si="34"/>
        <v>6.9281337447191669E-3</v>
      </c>
      <c r="M128" s="77">
        <f t="shared" si="34"/>
        <v>6.679078999828056E-3</v>
      </c>
      <c r="N128" s="77">
        <f t="shared" si="34"/>
        <v>6.9894965284085855E-3</v>
      </c>
      <c r="O128" s="77">
        <f t="shared" si="34"/>
        <v>7.0593613101408411E-3</v>
      </c>
      <c r="P128" s="77">
        <f t="shared" si="34"/>
        <v>6.9493565109533416E-3</v>
      </c>
      <c r="Q128" s="77">
        <f t="shared" si="34"/>
        <v>6.6231787419122456E-3</v>
      </c>
      <c r="R128" s="77">
        <f t="shared" si="34"/>
        <v>6.4709199577259909E-3</v>
      </c>
      <c r="S128" s="77">
        <f t="shared" si="34"/>
        <v>6.0027754808157632E-3</v>
      </c>
      <c r="T128" s="77">
        <f t="shared" si="34"/>
        <v>5.5127436292181043E-3</v>
      </c>
      <c r="U128" s="77">
        <f t="shared" si="34"/>
        <v>5.6991829937373248E-3</v>
      </c>
      <c r="V128" s="77">
        <f t="shared" si="34"/>
        <v>6.7219017391068892E-3</v>
      </c>
      <c r="W128" s="77">
        <f t="shared" si="34"/>
        <v>6.4001101419478299E-3</v>
      </c>
      <c r="DA128" s="49"/>
    </row>
    <row r="129" spans="1:105" ht="11.4" customHeight="1" x14ac:dyDescent="0.35">
      <c r="A129" s="59" t="str">
        <f>$A$7</f>
        <v>Passenger cars</v>
      </c>
      <c r="B129" s="77">
        <f t="shared" si="34"/>
        <v>0.61278847000315229</v>
      </c>
      <c r="C129" s="77">
        <f t="shared" si="34"/>
        <v>0.61042007095840689</v>
      </c>
      <c r="D129" s="77">
        <f t="shared" si="34"/>
        <v>0.63693761544661709</v>
      </c>
      <c r="E129" s="77">
        <f t="shared" si="34"/>
        <v>0.63517111239216062</v>
      </c>
      <c r="F129" s="77">
        <f t="shared" si="34"/>
        <v>0.62021871536586271</v>
      </c>
      <c r="G129" s="77">
        <f t="shared" si="34"/>
        <v>0.61101821550007063</v>
      </c>
      <c r="H129" s="77">
        <f t="shared" si="34"/>
        <v>0.6125192906847664</v>
      </c>
      <c r="I129" s="77">
        <f t="shared" si="34"/>
        <v>0.62056961753398943</v>
      </c>
      <c r="J129" s="77">
        <f t="shared" si="34"/>
        <v>0.62732825944178494</v>
      </c>
      <c r="K129" s="77">
        <f t="shared" si="34"/>
        <v>0.63968598292036016</v>
      </c>
      <c r="L129" s="77">
        <f t="shared" si="34"/>
        <v>0.63075811876190402</v>
      </c>
      <c r="M129" s="77">
        <f t="shared" si="34"/>
        <v>0.63592058544057817</v>
      </c>
      <c r="N129" s="77">
        <f t="shared" si="34"/>
        <v>0.62617279665115422</v>
      </c>
      <c r="O129" s="77">
        <f t="shared" si="34"/>
        <v>0.62828666791297738</v>
      </c>
      <c r="P129" s="77">
        <f t="shared" si="34"/>
        <v>0.61825153326655735</v>
      </c>
      <c r="Q129" s="77">
        <f t="shared" si="34"/>
        <v>0.63921649288919125</v>
      </c>
      <c r="R129" s="77">
        <f t="shared" si="34"/>
        <v>0.62011817459081897</v>
      </c>
      <c r="S129" s="77">
        <f t="shared" si="34"/>
        <v>0.61025886921450934</v>
      </c>
      <c r="T129" s="77">
        <f t="shared" si="34"/>
        <v>0.60814126370114263</v>
      </c>
      <c r="U129" s="77">
        <f t="shared" si="34"/>
        <v>0.60469602070577433</v>
      </c>
      <c r="V129" s="77">
        <f t="shared" si="34"/>
        <v>0.7317183010993904</v>
      </c>
      <c r="W129" s="77">
        <f t="shared" si="34"/>
        <v>0.71381690384146068</v>
      </c>
      <c r="DA129" s="49"/>
    </row>
    <row r="130" spans="1:105" ht="11.4" customHeight="1" x14ac:dyDescent="0.35">
      <c r="A130" s="59" t="str">
        <f>$A$8</f>
        <v>Motor coaches, buses and trolley buses</v>
      </c>
      <c r="B130" s="77">
        <f t="shared" si="34"/>
        <v>0.10391843161424322</v>
      </c>
      <c r="C130" s="77">
        <f t="shared" si="34"/>
        <v>0.10181777565549417</v>
      </c>
      <c r="D130" s="77">
        <f t="shared" si="34"/>
        <v>0.10189494551552657</v>
      </c>
      <c r="E130" s="77">
        <f t="shared" si="34"/>
        <v>0.10090985298658756</v>
      </c>
      <c r="F130" s="77">
        <f t="shared" si="34"/>
        <v>9.593063932951254E-2</v>
      </c>
      <c r="G130" s="77">
        <f t="shared" si="34"/>
        <v>9.5267350539145312E-2</v>
      </c>
      <c r="H130" s="77">
        <f t="shared" si="34"/>
        <v>9.5071124399682017E-2</v>
      </c>
      <c r="I130" s="77">
        <f t="shared" si="34"/>
        <v>9.0427477804459533E-2</v>
      </c>
      <c r="J130" s="77">
        <f t="shared" si="34"/>
        <v>9.3562808226464719E-2</v>
      </c>
      <c r="K130" s="77">
        <f t="shared" si="34"/>
        <v>9.8540376550871875E-2</v>
      </c>
      <c r="L130" s="77">
        <f t="shared" si="34"/>
        <v>9.9713750213630173E-2</v>
      </c>
      <c r="M130" s="77">
        <f t="shared" si="34"/>
        <v>9.4995854469710636E-2</v>
      </c>
      <c r="N130" s="77">
        <f t="shared" si="34"/>
        <v>9.3104808804017711E-2</v>
      </c>
      <c r="O130" s="77">
        <f t="shared" si="34"/>
        <v>8.9960659634877663E-2</v>
      </c>
      <c r="P130" s="77">
        <f t="shared" si="34"/>
        <v>9.0627239687318034E-2</v>
      </c>
      <c r="Q130" s="77">
        <f t="shared" si="34"/>
        <v>8.8406529381993212E-2</v>
      </c>
      <c r="R130" s="77">
        <f t="shared" si="34"/>
        <v>9.0189845833488283E-2</v>
      </c>
      <c r="S130" s="77">
        <f t="shared" si="34"/>
        <v>9.4279215079807882E-2</v>
      </c>
      <c r="T130" s="77">
        <f t="shared" si="34"/>
        <v>9.1709596376518487E-2</v>
      </c>
      <c r="U130" s="77">
        <f t="shared" si="34"/>
        <v>8.9688322157945963E-2</v>
      </c>
      <c r="V130" s="77">
        <f t="shared" si="34"/>
        <v>0.11865120662988299</v>
      </c>
      <c r="W130" s="77">
        <f t="shared" si="34"/>
        <v>0.11427260973251341</v>
      </c>
      <c r="DA130" s="49"/>
    </row>
    <row r="131" spans="1:105" ht="11.4" customHeight="1" x14ac:dyDescent="0.35">
      <c r="A131" s="61" t="str">
        <f>$A$9</f>
        <v>Rail, metro and tram</v>
      </c>
      <c r="B131" s="78">
        <f t="shared" si="34"/>
        <v>2.7172437767953098E-2</v>
      </c>
      <c r="C131" s="78">
        <f t="shared" si="34"/>
        <v>2.6013599415478962E-2</v>
      </c>
      <c r="D131" s="78">
        <f t="shared" si="34"/>
        <v>2.7535526951015875E-2</v>
      </c>
      <c r="E131" s="78">
        <f t="shared" si="34"/>
        <v>2.7343206693015688E-2</v>
      </c>
      <c r="F131" s="78">
        <f t="shared" si="34"/>
        <v>2.6088278960033882E-2</v>
      </c>
      <c r="G131" s="78">
        <f t="shared" si="34"/>
        <v>2.7542358322281441E-2</v>
      </c>
      <c r="H131" s="78">
        <f t="shared" si="34"/>
        <v>2.7311363672999949E-2</v>
      </c>
      <c r="I131" s="78">
        <f t="shared" si="34"/>
        <v>2.6074498307517402E-2</v>
      </c>
      <c r="J131" s="78">
        <f t="shared" si="34"/>
        <v>2.7766760981683968E-2</v>
      </c>
      <c r="K131" s="78">
        <f t="shared" si="34"/>
        <v>2.895335617321575E-2</v>
      </c>
      <c r="L131" s="78">
        <f t="shared" si="34"/>
        <v>2.9366628993344263E-2</v>
      </c>
      <c r="M131" s="78">
        <f t="shared" si="34"/>
        <v>2.8598084298982446E-2</v>
      </c>
      <c r="N131" s="78">
        <f t="shared" si="34"/>
        <v>3.0199220480971612E-2</v>
      </c>
      <c r="O131" s="78">
        <f t="shared" si="34"/>
        <v>3.0010504761778606E-2</v>
      </c>
      <c r="P131" s="78">
        <f t="shared" si="34"/>
        <v>2.9550865325204977E-2</v>
      </c>
      <c r="Q131" s="78">
        <f t="shared" si="34"/>
        <v>2.7732322998367018E-2</v>
      </c>
      <c r="R131" s="78">
        <f t="shared" si="34"/>
        <v>2.8115484580389538E-2</v>
      </c>
      <c r="S131" s="78">
        <f t="shared" si="34"/>
        <v>2.7410960206619019E-2</v>
      </c>
      <c r="T131" s="78">
        <f t="shared" si="34"/>
        <v>2.5134245188231392E-2</v>
      </c>
      <c r="U131" s="78">
        <f t="shared" si="34"/>
        <v>2.5609136994085069E-2</v>
      </c>
      <c r="V131" s="78">
        <f t="shared" si="34"/>
        <v>3.1071418073473675E-2</v>
      </c>
      <c r="W131" s="78">
        <f t="shared" si="34"/>
        <v>3.003492420755358E-2</v>
      </c>
      <c r="DA131" s="63"/>
    </row>
    <row r="132" spans="1:105" ht="11.4" customHeight="1" x14ac:dyDescent="0.35">
      <c r="A132" s="59" t="str">
        <f>$A$10</f>
        <v>Metro and tram, urban light rail</v>
      </c>
      <c r="B132" s="77">
        <f t="shared" si="34"/>
        <v>0</v>
      </c>
      <c r="C132" s="77">
        <f t="shared" si="34"/>
        <v>0</v>
      </c>
      <c r="D132" s="77">
        <f t="shared" si="34"/>
        <v>1.2809810080888819E-5</v>
      </c>
      <c r="E132" s="77">
        <f t="shared" si="34"/>
        <v>9.5550050572763051E-5</v>
      </c>
      <c r="F132" s="77">
        <f t="shared" si="34"/>
        <v>1.7563044363986789E-4</v>
      </c>
      <c r="G132" s="77">
        <f t="shared" si="34"/>
        <v>2.2009025850096604E-4</v>
      </c>
      <c r="H132" s="77">
        <f t="shared" si="34"/>
        <v>2.194641538473992E-4</v>
      </c>
      <c r="I132" s="77">
        <f t="shared" si="34"/>
        <v>2.2501401429013011E-4</v>
      </c>
      <c r="J132" s="77">
        <f t="shared" si="34"/>
        <v>2.5241355103673105E-4</v>
      </c>
      <c r="K132" s="77">
        <f t="shared" si="34"/>
        <v>2.8798337228917503E-4</v>
      </c>
      <c r="L132" s="77">
        <f t="shared" si="34"/>
        <v>3.1427443519308238E-4</v>
      </c>
      <c r="M132" s="77">
        <f t="shared" si="34"/>
        <v>3.5511424425835119E-4</v>
      </c>
      <c r="N132" s="77">
        <f t="shared" si="34"/>
        <v>3.600994702966642E-4</v>
      </c>
      <c r="O132" s="77">
        <f t="shared" si="34"/>
        <v>3.7460503591863511E-4</v>
      </c>
      <c r="P132" s="77">
        <f t="shared" si="34"/>
        <v>3.7615470206641099E-4</v>
      </c>
      <c r="Q132" s="77">
        <f t="shared" si="34"/>
        <v>3.6277308517407151E-4</v>
      </c>
      <c r="R132" s="77">
        <f t="shared" si="34"/>
        <v>3.794198287381053E-4</v>
      </c>
      <c r="S132" s="77">
        <f t="shared" si="34"/>
        <v>3.9947873046265649E-4</v>
      </c>
      <c r="T132" s="77">
        <f t="shared" si="34"/>
        <v>4.0167081653830965E-4</v>
      </c>
      <c r="U132" s="77">
        <f t="shared" si="34"/>
        <v>4.5846894504225058E-4</v>
      </c>
      <c r="V132" s="77">
        <f t="shared" si="34"/>
        <v>6.0917530839256647E-4</v>
      </c>
      <c r="W132" s="77">
        <f t="shared" si="34"/>
        <v>5.8963989874468022E-4</v>
      </c>
      <c r="DA132" s="49"/>
    </row>
    <row r="133" spans="1:105" ht="11.4" customHeight="1" x14ac:dyDescent="0.35">
      <c r="A133" s="59" t="str">
        <f>$A$11</f>
        <v>Conventional passenger trains</v>
      </c>
      <c r="B133" s="77">
        <f t="shared" si="34"/>
        <v>2.7172437767953098E-2</v>
      </c>
      <c r="C133" s="77">
        <f t="shared" si="34"/>
        <v>2.6013599415478962E-2</v>
      </c>
      <c r="D133" s="77">
        <f t="shared" si="34"/>
        <v>2.7522717140934985E-2</v>
      </c>
      <c r="E133" s="77">
        <f t="shared" si="34"/>
        <v>2.7247656642442927E-2</v>
      </c>
      <c r="F133" s="77">
        <f t="shared" si="34"/>
        <v>2.5912648516394014E-2</v>
      </c>
      <c r="G133" s="77">
        <f t="shared" si="34"/>
        <v>2.7322268063780478E-2</v>
      </c>
      <c r="H133" s="77">
        <f t="shared" si="34"/>
        <v>2.7091899519152546E-2</v>
      </c>
      <c r="I133" s="77">
        <f t="shared" si="34"/>
        <v>2.5849484293227268E-2</v>
      </c>
      <c r="J133" s="77">
        <f t="shared" si="34"/>
        <v>2.7514347430647235E-2</v>
      </c>
      <c r="K133" s="77">
        <f t="shared" si="34"/>
        <v>2.8665372800926573E-2</v>
      </c>
      <c r="L133" s="77">
        <f t="shared" si="34"/>
        <v>2.9052354558151177E-2</v>
      </c>
      <c r="M133" s="77">
        <f t="shared" si="34"/>
        <v>2.8242970054724092E-2</v>
      </c>
      <c r="N133" s="77">
        <f t="shared" si="34"/>
        <v>2.9839121010674947E-2</v>
      </c>
      <c r="O133" s="77">
        <f t="shared" si="34"/>
        <v>2.9635899725859973E-2</v>
      </c>
      <c r="P133" s="77">
        <f t="shared" si="34"/>
        <v>2.9174710623138568E-2</v>
      </c>
      <c r="Q133" s="77">
        <f t="shared" si="34"/>
        <v>2.7369549913192948E-2</v>
      </c>
      <c r="R133" s="77">
        <f t="shared" si="34"/>
        <v>2.7736064751651433E-2</v>
      </c>
      <c r="S133" s="77">
        <f t="shared" si="34"/>
        <v>2.7011481476156361E-2</v>
      </c>
      <c r="T133" s="77">
        <f t="shared" si="34"/>
        <v>2.4732574371693083E-2</v>
      </c>
      <c r="U133" s="77">
        <f t="shared" si="34"/>
        <v>2.5150668049042819E-2</v>
      </c>
      <c r="V133" s="77">
        <f t="shared" si="34"/>
        <v>3.046224276508111E-2</v>
      </c>
      <c r="W133" s="77">
        <f t="shared" si="34"/>
        <v>2.9445284308808897E-2</v>
      </c>
      <c r="DA133" s="49"/>
    </row>
    <row r="134" spans="1:105" ht="11.4" customHeight="1" x14ac:dyDescent="0.35">
      <c r="A134" s="59" t="str">
        <f>$A$12</f>
        <v>High speed passenger trains</v>
      </c>
      <c r="B134" s="77">
        <f t="shared" si="34"/>
        <v>0</v>
      </c>
      <c r="C134" s="77">
        <f t="shared" si="34"/>
        <v>0</v>
      </c>
      <c r="D134" s="77">
        <f t="shared" si="34"/>
        <v>0</v>
      </c>
      <c r="E134" s="77">
        <f t="shared" si="34"/>
        <v>0</v>
      </c>
      <c r="F134" s="77">
        <f t="shared" si="34"/>
        <v>0</v>
      </c>
      <c r="G134" s="77">
        <f t="shared" si="34"/>
        <v>0</v>
      </c>
      <c r="H134" s="77">
        <f t="shared" si="34"/>
        <v>0</v>
      </c>
      <c r="I134" s="77">
        <f t="shared" si="34"/>
        <v>0</v>
      </c>
      <c r="J134" s="77">
        <f t="shared" si="34"/>
        <v>0</v>
      </c>
      <c r="K134" s="77">
        <f t="shared" si="34"/>
        <v>0</v>
      </c>
      <c r="L134" s="77">
        <f t="shared" si="34"/>
        <v>0</v>
      </c>
      <c r="M134" s="77">
        <f t="shared" si="34"/>
        <v>0</v>
      </c>
      <c r="N134" s="77">
        <f t="shared" si="34"/>
        <v>0</v>
      </c>
      <c r="O134" s="77">
        <f t="shared" si="34"/>
        <v>0</v>
      </c>
      <c r="P134" s="77">
        <f t="shared" si="34"/>
        <v>0</v>
      </c>
      <c r="Q134" s="77">
        <f t="shared" si="34"/>
        <v>0</v>
      </c>
      <c r="R134" s="77">
        <f t="shared" si="34"/>
        <v>0</v>
      </c>
      <c r="S134" s="77">
        <f t="shared" si="34"/>
        <v>0</v>
      </c>
      <c r="T134" s="77">
        <f t="shared" si="34"/>
        <v>0</v>
      </c>
      <c r="U134" s="77">
        <f t="shared" si="34"/>
        <v>0</v>
      </c>
      <c r="V134" s="77">
        <f t="shared" si="34"/>
        <v>0</v>
      </c>
      <c r="W134" s="77">
        <f t="shared" si="34"/>
        <v>0</v>
      </c>
      <c r="DA134" s="49"/>
    </row>
    <row r="135" spans="1:105" ht="11.4" customHeight="1" x14ac:dyDescent="0.35">
      <c r="A135" s="61" t="str">
        <f>$A$13</f>
        <v>Aviation</v>
      </c>
      <c r="B135" s="78">
        <f t="shared" si="34"/>
        <v>0.24895337718325758</v>
      </c>
      <c r="C135" s="78">
        <f t="shared" si="34"/>
        <v>0.25494264326149157</v>
      </c>
      <c r="D135" s="78">
        <f t="shared" si="34"/>
        <v>0.22641179892999752</v>
      </c>
      <c r="E135" s="78">
        <f t="shared" si="34"/>
        <v>0.22946733072258499</v>
      </c>
      <c r="F135" s="78">
        <f t="shared" si="34"/>
        <v>0.25095500777492802</v>
      </c>
      <c r="G135" s="78">
        <f t="shared" si="34"/>
        <v>0.25940216535756622</v>
      </c>
      <c r="H135" s="78">
        <f t="shared" si="34"/>
        <v>0.2581300249506594</v>
      </c>
      <c r="I135" s="78">
        <f t="shared" si="34"/>
        <v>0.25587212648334379</v>
      </c>
      <c r="J135" s="78">
        <f t="shared" si="34"/>
        <v>0.24422680734903449</v>
      </c>
      <c r="K135" s="78">
        <f t="shared" si="34"/>
        <v>0.22579279417794215</v>
      </c>
      <c r="L135" s="78">
        <f t="shared" si="34"/>
        <v>0.23323336828640256</v>
      </c>
      <c r="M135" s="78">
        <f t="shared" si="34"/>
        <v>0.23380639679090076</v>
      </c>
      <c r="N135" s="78">
        <f t="shared" si="34"/>
        <v>0.24353367753544802</v>
      </c>
      <c r="O135" s="78">
        <f t="shared" si="34"/>
        <v>0.24468280638022546</v>
      </c>
      <c r="P135" s="78">
        <f t="shared" si="34"/>
        <v>0.25462100520996633</v>
      </c>
      <c r="Q135" s="78">
        <f t="shared" si="34"/>
        <v>0.23802147598853629</v>
      </c>
      <c r="R135" s="78">
        <f t="shared" si="34"/>
        <v>0.25510557503757725</v>
      </c>
      <c r="S135" s="78">
        <f t="shared" si="34"/>
        <v>0.26204818001824809</v>
      </c>
      <c r="T135" s="78">
        <f t="shared" si="34"/>
        <v>0.2695021511048894</v>
      </c>
      <c r="U135" s="78">
        <f t="shared" si="34"/>
        <v>0.27430733714845729</v>
      </c>
      <c r="V135" s="78">
        <f t="shared" si="34"/>
        <v>0.11183717245814602</v>
      </c>
      <c r="W135" s="78">
        <f t="shared" si="34"/>
        <v>0.13547545207652448</v>
      </c>
      <c r="DA135" s="63"/>
    </row>
    <row r="136" spans="1:105" ht="11.4" customHeight="1" x14ac:dyDescent="0.35">
      <c r="A136" s="59" t="str">
        <f>$A$14</f>
        <v>Domestic</v>
      </c>
      <c r="B136" s="77">
        <f t="shared" si="34"/>
        <v>1.4064782199205704E-2</v>
      </c>
      <c r="C136" s="77">
        <f t="shared" si="34"/>
        <v>1.4487887466223651E-2</v>
      </c>
      <c r="D136" s="77">
        <f t="shared" si="34"/>
        <v>1.2290758377300573E-2</v>
      </c>
      <c r="E136" s="77">
        <f t="shared" si="34"/>
        <v>1.1725240450135352E-2</v>
      </c>
      <c r="F136" s="77">
        <f t="shared" si="34"/>
        <v>9.5093542991483079E-3</v>
      </c>
      <c r="G136" s="77">
        <f t="shared" si="34"/>
        <v>9.9582738735924884E-3</v>
      </c>
      <c r="H136" s="77">
        <f t="shared" si="34"/>
        <v>1.0461590086444166E-2</v>
      </c>
      <c r="I136" s="77">
        <f t="shared" si="34"/>
        <v>1.1791830311470476E-2</v>
      </c>
      <c r="J136" s="77">
        <f t="shared" si="34"/>
        <v>1.2576043839331273E-2</v>
      </c>
      <c r="K136" s="77">
        <f t="shared" si="34"/>
        <v>1.3022174141357023E-2</v>
      </c>
      <c r="L136" s="77">
        <f t="shared" si="34"/>
        <v>1.3556072743814507E-2</v>
      </c>
      <c r="M136" s="77">
        <f t="shared" si="34"/>
        <v>1.2648410750480822E-2</v>
      </c>
      <c r="N136" s="77">
        <f t="shared" si="34"/>
        <v>1.1343250677947612E-2</v>
      </c>
      <c r="O136" s="77">
        <f t="shared" si="34"/>
        <v>1.1108785113819917E-2</v>
      </c>
      <c r="P136" s="77">
        <f t="shared" si="34"/>
        <v>1.0482498154915825E-2</v>
      </c>
      <c r="Q136" s="77">
        <f t="shared" si="34"/>
        <v>9.2620653165756007E-3</v>
      </c>
      <c r="R136" s="77">
        <f t="shared" si="34"/>
        <v>9.4734108324715342E-3</v>
      </c>
      <c r="S136" s="77">
        <f t="shared" si="34"/>
        <v>9.0197732942975378E-3</v>
      </c>
      <c r="T136" s="77">
        <f t="shared" si="34"/>
        <v>8.3121449203918708E-3</v>
      </c>
      <c r="U136" s="77">
        <f t="shared" si="34"/>
        <v>8.3402304026946438E-3</v>
      </c>
      <c r="V136" s="77">
        <f t="shared" si="34"/>
        <v>5.9524717334465517E-3</v>
      </c>
      <c r="W136" s="77">
        <f t="shared" si="34"/>
        <v>6.1286779723332286E-3</v>
      </c>
      <c r="DA136" s="49"/>
    </row>
    <row r="137" spans="1:105" ht="11.4" customHeight="1" x14ac:dyDescent="0.35">
      <c r="A137" s="59" t="str">
        <f>$A$15</f>
        <v>International - Intra-EEAwUK</v>
      </c>
      <c r="B137" s="77">
        <f t="shared" si="34"/>
        <v>0.13239455461932173</v>
      </c>
      <c r="C137" s="77">
        <f t="shared" si="34"/>
        <v>0.13553029936462055</v>
      </c>
      <c r="D137" s="77">
        <f t="shared" si="34"/>
        <v>0.12585218180390814</v>
      </c>
      <c r="E137" s="77">
        <f t="shared" si="34"/>
        <v>0.12965499138159087</v>
      </c>
      <c r="F137" s="77">
        <f t="shared" si="34"/>
        <v>0.13881363298980354</v>
      </c>
      <c r="G137" s="77">
        <f t="shared" si="34"/>
        <v>0.14277022952499382</v>
      </c>
      <c r="H137" s="77">
        <f t="shared" si="34"/>
        <v>0.14281214166620301</v>
      </c>
      <c r="I137" s="77">
        <f t="shared" si="34"/>
        <v>0.14236419693251268</v>
      </c>
      <c r="J137" s="77">
        <f t="shared" si="34"/>
        <v>0.13486795837452398</v>
      </c>
      <c r="K137" s="77">
        <f t="shared" si="34"/>
        <v>0.11976483305285489</v>
      </c>
      <c r="L137" s="77">
        <f t="shared" si="34"/>
        <v>0.12291089187745143</v>
      </c>
      <c r="M137" s="77">
        <f t="shared" si="34"/>
        <v>0.12427667535900412</v>
      </c>
      <c r="N137" s="77">
        <f t="shared" si="34"/>
        <v>0.12940758708361461</v>
      </c>
      <c r="O137" s="77">
        <f t="shared" ref="O137:W137" si="35">IF(O45=0,0,O45/O$34)</f>
        <v>0.13057119569025435</v>
      </c>
      <c r="P137" s="77">
        <f t="shared" si="35"/>
        <v>0.13690482321988023</v>
      </c>
      <c r="Q137" s="77">
        <f t="shared" si="35"/>
        <v>0.1291930154921076</v>
      </c>
      <c r="R137" s="77">
        <f t="shared" si="35"/>
        <v>0.14280134134973549</v>
      </c>
      <c r="S137" s="77">
        <f t="shared" si="35"/>
        <v>0.14804772728642956</v>
      </c>
      <c r="T137" s="77">
        <f t="shared" si="35"/>
        <v>0.15153924202680438</v>
      </c>
      <c r="U137" s="77">
        <f t="shared" si="35"/>
        <v>0.15146508649942236</v>
      </c>
      <c r="V137" s="77">
        <f t="shared" si="35"/>
        <v>5.2643908313784453E-2</v>
      </c>
      <c r="W137" s="77">
        <f t="shared" si="35"/>
        <v>6.8717243469001113E-2</v>
      </c>
      <c r="DA137" s="49"/>
    </row>
    <row r="138" spans="1:105" ht="11.4" customHeight="1" x14ac:dyDescent="0.35">
      <c r="A138" s="59" t="str">
        <f>$A$16</f>
        <v>International - Extra-EEAwUK</v>
      </c>
      <c r="B138" s="77">
        <f t="shared" ref="B138:W138" si="36">IF(B46=0,0,B46/B$34)</f>
        <v>0.10249404036473014</v>
      </c>
      <c r="C138" s="77">
        <f t="shared" si="36"/>
        <v>0.10492445643064736</v>
      </c>
      <c r="D138" s="77">
        <f t="shared" si="36"/>
        <v>8.8268858748788787E-2</v>
      </c>
      <c r="E138" s="77">
        <f t="shared" si="36"/>
        <v>8.8087098890858764E-2</v>
      </c>
      <c r="F138" s="77">
        <f t="shared" si="36"/>
        <v>0.10263202048597615</v>
      </c>
      <c r="G138" s="77">
        <f t="shared" si="36"/>
        <v>0.10667366195897993</v>
      </c>
      <c r="H138" s="77">
        <f t="shared" si="36"/>
        <v>0.10485629319801221</v>
      </c>
      <c r="I138" s="77">
        <f t="shared" si="36"/>
        <v>0.10171609923936062</v>
      </c>
      <c r="J138" s="77">
        <f t="shared" si="36"/>
        <v>9.6782805135179228E-2</v>
      </c>
      <c r="K138" s="77">
        <f t="shared" si="36"/>
        <v>9.3005786983730243E-2</v>
      </c>
      <c r="L138" s="77">
        <f t="shared" si="36"/>
        <v>9.6766403665136641E-2</v>
      </c>
      <c r="M138" s="77">
        <f t="shared" si="36"/>
        <v>9.6881310681415811E-2</v>
      </c>
      <c r="N138" s="77">
        <f t="shared" si="36"/>
        <v>0.10278283977388578</v>
      </c>
      <c r="O138" s="77">
        <f t="shared" si="36"/>
        <v>0.10300282557615119</v>
      </c>
      <c r="P138" s="77">
        <f t="shared" si="36"/>
        <v>0.10723368383517029</v>
      </c>
      <c r="Q138" s="77">
        <f t="shared" si="36"/>
        <v>9.9566395179853079E-2</v>
      </c>
      <c r="R138" s="77">
        <f t="shared" si="36"/>
        <v>0.10283082285537021</v>
      </c>
      <c r="S138" s="77">
        <f t="shared" si="36"/>
        <v>0.10498067943752099</v>
      </c>
      <c r="T138" s="77">
        <f t="shared" si="36"/>
        <v>0.10965076415769316</v>
      </c>
      <c r="U138" s="77">
        <f t="shared" si="36"/>
        <v>0.11450202024634033</v>
      </c>
      <c r="V138" s="77">
        <f t="shared" si="36"/>
        <v>5.3240792410915012E-2</v>
      </c>
      <c r="W138" s="77">
        <f t="shared" si="36"/>
        <v>6.0629530635190144E-2</v>
      </c>
      <c r="DA138" s="49"/>
    </row>
    <row r="139" spans="1:105" ht="11.4" customHeight="1" x14ac:dyDescent="0.35">
      <c r="A139" s="53" t="s">
        <v>122</v>
      </c>
      <c r="B139" s="75">
        <f t="shared" ref="B139:W150" si="37">IF(B47=0,0,B47/B$47)</f>
        <v>1</v>
      </c>
      <c r="C139" s="75">
        <f t="shared" si="37"/>
        <v>1</v>
      </c>
      <c r="D139" s="75">
        <f t="shared" si="37"/>
        <v>1</v>
      </c>
      <c r="E139" s="75">
        <f t="shared" si="37"/>
        <v>1</v>
      </c>
      <c r="F139" s="75">
        <f t="shared" si="37"/>
        <v>1</v>
      </c>
      <c r="G139" s="75">
        <f t="shared" si="37"/>
        <v>1</v>
      </c>
      <c r="H139" s="75">
        <f t="shared" si="37"/>
        <v>1</v>
      </c>
      <c r="I139" s="75">
        <f t="shared" si="37"/>
        <v>1</v>
      </c>
      <c r="J139" s="75">
        <f t="shared" si="37"/>
        <v>1</v>
      </c>
      <c r="K139" s="75">
        <f t="shared" si="37"/>
        <v>1</v>
      </c>
      <c r="L139" s="75">
        <f t="shared" si="37"/>
        <v>1</v>
      </c>
      <c r="M139" s="75">
        <f t="shared" si="37"/>
        <v>1</v>
      </c>
      <c r="N139" s="75">
        <f t="shared" si="37"/>
        <v>1</v>
      </c>
      <c r="O139" s="75">
        <f t="shared" si="37"/>
        <v>1</v>
      </c>
      <c r="P139" s="75">
        <f t="shared" si="37"/>
        <v>1</v>
      </c>
      <c r="Q139" s="75">
        <f t="shared" si="37"/>
        <v>1</v>
      </c>
      <c r="R139" s="75">
        <f t="shared" si="37"/>
        <v>1</v>
      </c>
      <c r="S139" s="75">
        <f t="shared" si="37"/>
        <v>1</v>
      </c>
      <c r="T139" s="75">
        <f t="shared" si="37"/>
        <v>1</v>
      </c>
      <c r="U139" s="75">
        <f t="shared" si="37"/>
        <v>1</v>
      </c>
      <c r="V139" s="75">
        <f t="shared" si="37"/>
        <v>1</v>
      </c>
      <c r="W139" s="75">
        <f t="shared" si="37"/>
        <v>1</v>
      </c>
      <c r="DA139" s="55"/>
    </row>
    <row r="140" spans="1:105" ht="11.4" customHeight="1" x14ac:dyDescent="0.35">
      <c r="A140" s="56" t="str">
        <f>$A$18</f>
        <v>Road transport</v>
      </c>
      <c r="B140" s="76">
        <f t="shared" si="37"/>
        <v>0.87536827347793755</v>
      </c>
      <c r="C140" s="76">
        <f t="shared" si="37"/>
        <v>0.8770266067518242</v>
      </c>
      <c r="D140" s="76">
        <f t="shared" si="37"/>
        <v>0.86799914569152381</v>
      </c>
      <c r="E140" s="76">
        <f t="shared" si="37"/>
        <v>0.87852374571949543</v>
      </c>
      <c r="F140" s="76">
        <f t="shared" si="37"/>
        <v>0.89584703046496361</v>
      </c>
      <c r="G140" s="76">
        <f t="shared" si="37"/>
        <v>0.88421925249486999</v>
      </c>
      <c r="H140" s="76">
        <f t="shared" si="37"/>
        <v>0.89775628902079452</v>
      </c>
      <c r="I140" s="76">
        <f t="shared" si="37"/>
        <v>0.9129889023254899</v>
      </c>
      <c r="J140" s="76">
        <f t="shared" si="37"/>
        <v>0.86142427655920251</v>
      </c>
      <c r="K140" s="76">
        <f t="shared" si="37"/>
        <v>0.86355968392898486</v>
      </c>
      <c r="L140" s="76">
        <f t="shared" si="37"/>
        <v>0.87223885287066549</v>
      </c>
      <c r="M140" s="76">
        <f t="shared" si="37"/>
        <v>0.8692477832641311</v>
      </c>
      <c r="N140" s="76">
        <f t="shared" si="37"/>
        <v>0.86089957073942724</v>
      </c>
      <c r="O140" s="76">
        <f t="shared" si="37"/>
        <v>0.85961917279431488</v>
      </c>
      <c r="P140" s="76">
        <f t="shared" si="37"/>
        <v>0.87452305232582039</v>
      </c>
      <c r="Q140" s="76">
        <f t="shared" si="37"/>
        <v>0.86322716172419811</v>
      </c>
      <c r="R140" s="76">
        <f t="shared" si="37"/>
        <v>0.88715824027334067</v>
      </c>
      <c r="S140" s="76">
        <f t="shared" si="37"/>
        <v>0.89159216751139647</v>
      </c>
      <c r="T140" s="76">
        <f t="shared" si="37"/>
        <v>0.89747286020222938</v>
      </c>
      <c r="U140" s="76">
        <f t="shared" si="37"/>
        <v>0.88862809511892327</v>
      </c>
      <c r="V140" s="76">
        <f t="shared" si="37"/>
        <v>0.88787772941219589</v>
      </c>
      <c r="W140" s="76">
        <f t="shared" si="37"/>
        <v>0.87244543300203536</v>
      </c>
      <c r="DA140" s="58"/>
    </row>
    <row r="141" spans="1:105" ht="11.4" customHeight="1" x14ac:dyDescent="0.35">
      <c r="A141" s="59" t="str">
        <f>$A$19</f>
        <v>Light commercial vehicles</v>
      </c>
      <c r="B141" s="77">
        <f t="shared" si="37"/>
        <v>0.41226938476033242</v>
      </c>
      <c r="C141" s="77">
        <f t="shared" si="37"/>
        <v>0.40878558288780292</v>
      </c>
      <c r="D141" s="77">
        <f t="shared" si="37"/>
        <v>0.39879682189249216</v>
      </c>
      <c r="E141" s="77">
        <f t="shared" si="37"/>
        <v>0.37938413457754605</v>
      </c>
      <c r="F141" s="77">
        <f t="shared" si="37"/>
        <v>0.38189973909193536</v>
      </c>
      <c r="G141" s="77">
        <f t="shared" si="37"/>
        <v>0.38535845705063426</v>
      </c>
      <c r="H141" s="77">
        <f t="shared" si="37"/>
        <v>0.39985581478473059</v>
      </c>
      <c r="I141" s="77">
        <f t="shared" si="37"/>
        <v>0.41769418107681683</v>
      </c>
      <c r="J141" s="77">
        <f t="shared" si="37"/>
        <v>0.40536009220825342</v>
      </c>
      <c r="K141" s="77">
        <f t="shared" si="37"/>
        <v>0.42411526964389179</v>
      </c>
      <c r="L141" s="77">
        <f t="shared" si="37"/>
        <v>0.41629250355680381</v>
      </c>
      <c r="M141" s="77">
        <f t="shared" si="37"/>
        <v>0.39402947345103095</v>
      </c>
      <c r="N141" s="77">
        <f t="shared" si="37"/>
        <v>0.39220039168413229</v>
      </c>
      <c r="O141" s="77">
        <f t="shared" si="37"/>
        <v>0.38308221088829136</v>
      </c>
      <c r="P141" s="77">
        <f t="shared" si="37"/>
        <v>0.36437762122192469</v>
      </c>
      <c r="Q141" s="77">
        <f t="shared" si="37"/>
        <v>0.3761941848304251</v>
      </c>
      <c r="R141" s="77">
        <f t="shared" si="37"/>
        <v>0.35869963269972582</v>
      </c>
      <c r="S141" s="77">
        <f t="shared" si="37"/>
        <v>0.36137270536259253</v>
      </c>
      <c r="T141" s="77">
        <f t="shared" si="37"/>
        <v>0.35761928551525307</v>
      </c>
      <c r="U141" s="77">
        <f t="shared" si="37"/>
        <v>0.34993538413655323</v>
      </c>
      <c r="V141" s="77">
        <f t="shared" si="37"/>
        <v>0.339373027077918</v>
      </c>
      <c r="W141" s="77">
        <f t="shared" si="37"/>
        <v>0.33140814022908971</v>
      </c>
      <c r="DA141" s="49"/>
    </row>
    <row r="142" spans="1:105" ht="11.4" customHeight="1" x14ac:dyDescent="0.35">
      <c r="A142" s="59" t="str">
        <f>$A$20</f>
        <v>Heavy goods vehicles</v>
      </c>
      <c r="B142" s="77">
        <f t="shared" si="37"/>
        <v>0.46309888871760513</v>
      </c>
      <c r="C142" s="77">
        <f t="shared" si="37"/>
        <v>0.46824102386402133</v>
      </c>
      <c r="D142" s="77">
        <f t="shared" si="37"/>
        <v>0.46920232379903176</v>
      </c>
      <c r="E142" s="77">
        <f t="shared" si="37"/>
        <v>0.49913961114194927</v>
      </c>
      <c r="F142" s="77">
        <f t="shared" si="37"/>
        <v>0.51394729137302819</v>
      </c>
      <c r="G142" s="77">
        <f t="shared" si="37"/>
        <v>0.49886079544423567</v>
      </c>
      <c r="H142" s="77">
        <f t="shared" si="37"/>
        <v>0.49790047423606393</v>
      </c>
      <c r="I142" s="77">
        <f t="shared" si="37"/>
        <v>0.49529472124867302</v>
      </c>
      <c r="J142" s="77">
        <f t="shared" si="37"/>
        <v>0.45606418435094914</v>
      </c>
      <c r="K142" s="77">
        <f t="shared" si="37"/>
        <v>0.43944441428509312</v>
      </c>
      <c r="L142" s="77">
        <f t="shared" si="37"/>
        <v>0.45594634931386174</v>
      </c>
      <c r="M142" s="77">
        <f t="shared" si="37"/>
        <v>0.47521830981310015</v>
      </c>
      <c r="N142" s="77">
        <f t="shared" si="37"/>
        <v>0.46869917905529485</v>
      </c>
      <c r="O142" s="77">
        <f t="shared" si="37"/>
        <v>0.47653696190602352</v>
      </c>
      <c r="P142" s="77">
        <f t="shared" si="37"/>
        <v>0.51014543110389565</v>
      </c>
      <c r="Q142" s="77">
        <f t="shared" si="37"/>
        <v>0.48703297689377306</v>
      </c>
      <c r="R142" s="77">
        <f t="shared" si="37"/>
        <v>0.52845860757361485</v>
      </c>
      <c r="S142" s="77">
        <f t="shared" si="37"/>
        <v>0.530219462148804</v>
      </c>
      <c r="T142" s="77">
        <f t="shared" si="37"/>
        <v>0.53985357468697648</v>
      </c>
      <c r="U142" s="77">
        <f t="shared" si="37"/>
        <v>0.53869271098237015</v>
      </c>
      <c r="V142" s="77">
        <f t="shared" si="37"/>
        <v>0.54850470233427795</v>
      </c>
      <c r="W142" s="77">
        <f t="shared" si="37"/>
        <v>0.54103729277294565</v>
      </c>
      <c r="DA142" s="49"/>
    </row>
    <row r="143" spans="1:105" ht="11.4" customHeight="1" x14ac:dyDescent="0.35">
      <c r="A143" s="61" t="str">
        <f>$A$21</f>
        <v>Rail transport</v>
      </c>
      <c r="B143" s="78">
        <f t="shared" si="37"/>
        <v>9.0979269220769435E-3</v>
      </c>
      <c r="C143" s="78">
        <f t="shared" si="37"/>
        <v>8.3196110453298191E-3</v>
      </c>
      <c r="D143" s="78">
        <f t="shared" si="37"/>
        <v>7.3385355088045612E-3</v>
      </c>
      <c r="E143" s="78">
        <f t="shared" si="37"/>
        <v>6.7057451216544018E-3</v>
      </c>
      <c r="F143" s="78">
        <f t="shared" si="37"/>
        <v>7.3054921611981202E-3</v>
      </c>
      <c r="G143" s="78">
        <f t="shared" si="37"/>
        <v>6.6068556391153267E-3</v>
      </c>
      <c r="H143" s="78">
        <f t="shared" si="37"/>
        <v>5.8450307906931613E-3</v>
      </c>
      <c r="I143" s="78">
        <f t="shared" si="37"/>
        <v>5.14355791496535E-3</v>
      </c>
      <c r="J143" s="78">
        <f t="shared" si="37"/>
        <v>5.5012558963353254E-3</v>
      </c>
      <c r="K143" s="78">
        <f t="shared" si="37"/>
        <v>5.4721187603911804E-3</v>
      </c>
      <c r="L143" s="78">
        <f t="shared" si="37"/>
        <v>7.0987496515073321E-3</v>
      </c>
      <c r="M143" s="78">
        <f t="shared" si="37"/>
        <v>8.4086654296299888E-3</v>
      </c>
      <c r="N143" s="78">
        <f t="shared" si="37"/>
        <v>7.5496573675138323E-3</v>
      </c>
      <c r="O143" s="78">
        <f t="shared" si="37"/>
        <v>8.0811312890870859E-3</v>
      </c>
      <c r="P143" s="78">
        <f t="shared" si="37"/>
        <v>8.4032022726199338E-3</v>
      </c>
      <c r="Q143" s="78">
        <f t="shared" si="37"/>
        <v>9.3279739512583029E-3</v>
      </c>
      <c r="R143" s="78">
        <f t="shared" si="37"/>
        <v>9.1843796169049086E-3</v>
      </c>
      <c r="S143" s="78">
        <f t="shared" si="37"/>
        <v>8.0712106962538936E-3</v>
      </c>
      <c r="T143" s="78">
        <f t="shared" si="37"/>
        <v>7.3882288188644087E-3</v>
      </c>
      <c r="U143" s="78">
        <f t="shared" si="37"/>
        <v>6.8269806863185071E-3</v>
      </c>
      <c r="V143" s="78">
        <f t="shared" si="37"/>
        <v>7.7371401781538007E-3</v>
      </c>
      <c r="W143" s="78">
        <f t="shared" si="37"/>
        <v>6.1358989138731437E-3</v>
      </c>
      <c r="DA143" s="63"/>
    </row>
    <row r="144" spans="1:105" ht="11.4" customHeight="1" x14ac:dyDescent="0.35">
      <c r="A144" s="61" t="str">
        <f>$A$22</f>
        <v>Aviation</v>
      </c>
      <c r="B144" s="78">
        <f t="shared" si="37"/>
        <v>5.260266501671218E-3</v>
      </c>
      <c r="C144" s="78">
        <f t="shared" si="37"/>
        <v>5.2245481690870394E-3</v>
      </c>
      <c r="D144" s="78">
        <f t="shared" si="37"/>
        <v>4.7326552581037429E-3</v>
      </c>
      <c r="E144" s="78">
        <f t="shared" si="37"/>
        <v>3.5381133323118862E-3</v>
      </c>
      <c r="F144" s="78">
        <f t="shared" si="37"/>
        <v>3.8051773084843187E-3</v>
      </c>
      <c r="G144" s="78">
        <f t="shared" si="37"/>
        <v>4.2563378158000644E-3</v>
      </c>
      <c r="H144" s="78">
        <f t="shared" si="37"/>
        <v>4.8936443136216477E-3</v>
      </c>
      <c r="I144" s="78">
        <f t="shared" si="37"/>
        <v>4.6148091962898491E-3</v>
      </c>
      <c r="J144" s="78">
        <f t="shared" si="37"/>
        <v>3.4900466918698934E-2</v>
      </c>
      <c r="K144" s="78">
        <f t="shared" si="37"/>
        <v>2.7977532803521197E-2</v>
      </c>
      <c r="L144" s="78">
        <f t="shared" si="37"/>
        <v>2.9854893483034581E-2</v>
      </c>
      <c r="M144" s="78">
        <f t="shared" si="37"/>
        <v>2.9763292529069015E-2</v>
      </c>
      <c r="N144" s="78">
        <f t="shared" si="37"/>
        <v>3.3981175896330672E-2</v>
      </c>
      <c r="O144" s="78">
        <f t="shared" si="37"/>
        <v>2.9899494126462416E-2</v>
      </c>
      <c r="P144" s="78">
        <f t="shared" si="37"/>
        <v>3.54113014218135E-2</v>
      </c>
      <c r="Q144" s="78">
        <f t="shared" si="37"/>
        <v>3.2664342189034933E-2</v>
      </c>
      <c r="R144" s="78">
        <f t="shared" si="37"/>
        <v>2.4778862432357076E-2</v>
      </c>
      <c r="S144" s="78">
        <f t="shared" si="37"/>
        <v>2.5014405804455214E-2</v>
      </c>
      <c r="T144" s="78">
        <f t="shared" si="37"/>
        <v>1.8313656753834118E-2</v>
      </c>
      <c r="U144" s="78">
        <f t="shared" si="37"/>
        <v>2.2098082344377976E-2</v>
      </c>
      <c r="V144" s="78">
        <f t="shared" si="37"/>
        <v>2.103580116252184E-2</v>
      </c>
      <c r="W144" s="78">
        <f t="shared" si="37"/>
        <v>2.8615627687300804E-2</v>
      </c>
      <c r="DA144" s="63"/>
    </row>
    <row r="145" spans="1:105" ht="11.4" customHeight="1" x14ac:dyDescent="0.35">
      <c r="A145" s="59" t="s">
        <v>82</v>
      </c>
      <c r="B145" s="77">
        <f t="shared" si="37"/>
        <v>1.6848221337437035E-4</v>
      </c>
      <c r="C145" s="77">
        <f t="shared" si="37"/>
        <v>1.7064487263248362E-4</v>
      </c>
      <c r="D145" s="77">
        <f t="shared" si="37"/>
        <v>1.2260116720327248E-4</v>
      </c>
      <c r="E145" s="77">
        <f t="shared" si="37"/>
        <v>6.6094926346817594E-5</v>
      </c>
      <c r="F145" s="77">
        <f t="shared" si="37"/>
        <v>4.3187109809923048E-5</v>
      </c>
      <c r="G145" s="77">
        <f t="shared" si="37"/>
        <v>5.3420473093367026E-5</v>
      </c>
      <c r="H145" s="77">
        <f t="shared" si="37"/>
        <v>6.3543957058275239E-5</v>
      </c>
      <c r="I145" s="77">
        <f t="shared" si="37"/>
        <v>6.5067291437061338E-5</v>
      </c>
      <c r="J145" s="77">
        <f t="shared" si="37"/>
        <v>1.2896876994607061E-4</v>
      </c>
      <c r="K145" s="77">
        <f t="shared" si="37"/>
        <v>1.3355885603007984E-4</v>
      </c>
      <c r="L145" s="77">
        <f t="shared" si="37"/>
        <v>5.8950316712876489E-5</v>
      </c>
      <c r="M145" s="77">
        <f t="shared" si="37"/>
        <v>3.4509694537448154E-5</v>
      </c>
      <c r="N145" s="77">
        <f t="shared" si="37"/>
        <v>3.6650507978250802E-5</v>
      </c>
      <c r="O145" s="77">
        <f t="shared" si="37"/>
        <v>3.9003663688167845E-5</v>
      </c>
      <c r="P145" s="77">
        <f t="shared" si="37"/>
        <v>3.6313028883029502E-5</v>
      </c>
      <c r="Q145" s="77">
        <f t="shared" si="37"/>
        <v>3.0760909848083861E-5</v>
      </c>
      <c r="R145" s="77">
        <f t="shared" si="37"/>
        <v>7.0134143662510049E-6</v>
      </c>
      <c r="S145" s="77">
        <f t="shared" si="37"/>
        <v>1.1455031145738113E-5</v>
      </c>
      <c r="T145" s="77">
        <f t="shared" si="37"/>
        <v>1.4225011713598926E-5</v>
      </c>
      <c r="U145" s="77">
        <f t="shared" si="37"/>
        <v>1.2323510052251051E-5</v>
      </c>
      <c r="V145" s="77">
        <f t="shared" si="37"/>
        <v>1.6063879736362461E-5</v>
      </c>
      <c r="W145" s="77">
        <f t="shared" si="37"/>
        <v>2.5728165159395039E-5</v>
      </c>
      <c r="DA145" s="49"/>
    </row>
    <row r="146" spans="1:105" ht="11.4" customHeight="1" x14ac:dyDescent="0.35">
      <c r="A146" s="59" t="str">
        <f>$A$24</f>
        <v>International - Intra-EEAwUK</v>
      </c>
      <c r="B146" s="77">
        <f t="shared" si="37"/>
        <v>4.6168377082977038E-3</v>
      </c>
      <c r="C146" s="77">
        <f t="shared" si="37"/>
        <v>4.5749534988969815E-3</v>
      </c>
      <c r="D146" s="77">
        <f t="shared" si="37"/>
        <v>4.0823729624765975E-3</v>
      </c>
      <c r="E146" s="77">
        <f t="shared" si="37"/>
        <v>2.9023228645506673E-3</v>
      </c>
      <c r="F146" s="77">
        <f t="shared" si="37"/>
        <v>3.1977657733044521E-3</v>
      </c>
      <c r="G146" s="77">
        <f t="shared" si="37"/>
        <v>3.8252158615605858E-3</v>
      </c>
      <c r="H146" s="77">
        <f t="shared" si="37"/>
        <v>4.6466079361482835E-3</v>
      </c>
      <c r="I146" s="77">
        <f t="shared" si="37"/>
        <v>4.3277061931485585E-3</v>
      </c>
      <c r="J146" s="77">
        <f t="shared" si="37"/>
        <v>8.9157591700238254E-3</v>
      </c>
      <c r="K146" s="77">
        <f t="shared" si="37"/>
        <v>6.4707261116233247E-3</v>
      </c>
      <c r="L146" s="77">
        <f t="shared" si="37"/>
        <v>4.466127152894182E-3</v>
      </c>
      <c r="M146" s="77">
        <f t="shared" si="37"/>
        <v>4.539541752891973E-3</v>
      </c>
      <c r="N146" s="77">
        <f t="shared" si="37"/>
        <v>4.3494034487920859E-3</v>
      </c>
      <c r="O146" s="77">
        <f t="shared" si="37"/>
        <v>3.7110764311269148E-3</v>
      </c>
      <c r="P146" s="77">
        <f t="shared" si="37"/>
        <v>6.174508558748972E-3</v>
      </c>
      <c r="Q146" s="77">
        <f t="shared" si="37"/>
        <v>6.2550371333522656E-3</v>
      </c>
      <c r="R146" s="77">
        <f t="shared" si="37"/>
        <v>4.8813570845390453E-3</v>
      </c>
      <c r="S146" s="77">
        <f t="shared" si="37"/>
        <v>5.9636484636235061E-3</v>
      </c>
      <c r="T146" s="77">
        <f t="shared" si="37"/>
        <v>5.96898032744807E-3</v>
      </c>
      <c r="U146" s="77">
        <f t="shared" si="37"/>
        <v>7.1257744421894583E-3</v>
      </c>
      <c r="V146" s="77">
        <f t="shared" si="37"/>
        <v>7.1118275006336711E-3</v>
      </c>
      <c r="W146" s="77">
        <f t="shared" si="37"/>
        <v>9.839745028501606E-3</v>
      </c>
      <c r="DA146" s="49"/>
    </row>
    <row r="147" spans="1:105" ht="11.4" customHeight="1" x14ac:dyDescent="0.35">
      <c r="A147" s="59" t="str">
        <f>$A$25</f>
        <v>International - Extra-EEAwUK</v>
      </c>
      <c r="B147" s="77">
        <f t="shared" si="37"/>
        <v>4.7494657999914367E-4</v>
      </c>
      <c r="C147" s="77">
        <f t="shared" si="37"/>
        <v>4.7894979755757489E-4</v>
      </c>
      <c r="D147" s="77">
        <f t="shared" si="37"/>
        <v>5.2768112842387321E-4</v>
      </c>
      <c r="E147" s="77">
        <f t="shared" si="37"/>
        <v>5.6969554141440121E-4</v>
      </c>
      <c r="F147" s="77">
        <f t="shared" si="37"/>
        <v>5.642244253699438E-4</v>
      </c>
      <c r="G147" s="77">
        <f t="shared" si="37"/>
        <v>3.7770148114611219E-4</v>
      </c>
      <c r="H147" s="77">
        <f t="shared" si="37"/>
        <v>1.8349242041508889E-4</v>
      </c>
      <c r="I147" s="77">
        <f t="shared" si="37"/>
        <v>2.2203571170422977E-4</v>
      </c>
      <c r="J147" s="77">
        <f t="shared" si="37"/>
        <v>2.5855738978729042E-2</v>
      </c>
      <c r="K147" s="77">
        <f t="shared" si="37"/>
        <v>2.137324783586779E-2</v>
      </c>
      <c r="L147" s="77">
        <f t="shared" si="37"/>
        <v>2.5329816013427521E-2</v>
      </c>
      <c r="M147" s="77">
        <f t="shared" si="37"/>
        <v>2.5189241081639592E-2</v>
      </c>
      <c r="N147" s="77">
        <f t="shared" si="37"/>
        <v>2.9595121939560338E-2</v>
      </c>
      <c r="O147" s="77">
        <f t="shared" si="37"/>
        <v>2.6149414031647337E-2</v>
      </c>
      <c r="P147" s="77">
        <f t="shared" si="37"/>
        <v>2.9200479834181496E-2</v>
      </c>
      <c r="Q147" s="77">
        <f t="shared" si="37"/>
        <v>2.6378544145834581E-2</v>
      </c>
      <c r="R147" s="77">
        <f t="shared" si="37"/>
        <v>1.9890491933451781E-2</v>
      </c>
      <c r="S147" s="77">
        <f t="shared" si="37"/>
        <v>1.9039302309685969E-2</v>
      </c>
      <c r="T147" s="77">
        <f t="shared" si="37"/>
        <v>1.233045141467245E-2</v>
      </c>
      <c r="U147" s="77">
        <f t="shared" si="37"/>
        <v>1.4959984392136269E-2</v>
      </c>
      <c r="V147" s="77">
        <f t="shared" si="37"/>
        <v>1.3907909782151806E-2</v>
      </c>
      <c r="W147" s="77">
        <f t="shared" si="37"/>
        <v>1.8750154493639801E-2</v>
      </c>
      <c r="DA147" s="49"/>
    </row>
    <row r="148" spans="1:105" ht="11.4" customHeight="1" x14ac:dyDescent="0.35">
      <c r="A148" s="61" t="s">
        <v>99</v>
      </c>
      <c r="B148" s="78">
        <f t="shared" si="37"/>
        <v>0.11027353309831427</v>
      </c>
      <c r="C148" s="78">
        <f t="shared" si="37"/>
        <v>0.10942923403375893</v>
      </c>
      <c r="D148" s="78">
        <f t="shared" si="37"/>
        <v>0.11992966354156775</v>
      </c>
      <c r="E148" s="78">
        <f t="shared" si="37"/>
        <v>0.11123239582653821</v>
      </c>
      <c r="F148" s="78">
        <f t="shared" si="37"/>
        <v>9.3042300065353842E-2</v>
      </c>
      <c r="G148" s="78">
        <f t="shared" si="37"/>
        <v>0.10491755405021472</v>
      </c>
      <c r="H148" s="78">
        <f t="shared" si="37"/>
        <v>9.1505035874890756E-2</v>
      </c>
      <c r="I148" s="78">
        <f t="shared" si="37"/>
        <v>7.7252730563254907E-2</v>
      </c>
      <c r="J148" s="78">
        <f t="shared" si="37"/>
        <v>9.8174000625763161E-2</v>
      </c>
      <c r="K148" s="78">
        <f t="shared" si="37"/>
        <v>0.10299066450710267</v>
      </c>
      <c r="L148" s="78">
        <f t="shared" si="37"/>
        <v>9.0807503994792482E-2</v>
      </c>
      <c r="M148" s="78">
        <f t="shared" si="37"/>
        <v>9.258025877716998E-2</v>
      </c>
      <c r="N148" s="78">
        <f t="shared" si="37"/>
        <v>9.756959599672832E-2</v>
      </c>
      <c r="O148" s="78">
        <f t="shared" si="37"/>
        <v>0.10240020179013562</v>
      </c>
      <c r="P148" s="78">
        <f t="shared" si="37"/>
        <v>8.1662443979746022E-2</v>
      </c>
      <c r="Q148" s="78">
        <f t="shared" si="37"/>
        <v>9.4780522135508583E-2</v>
      </c>
      <c r="R148" s="78">
        <f t="shared" si="37"/>
        <v>7.8878517677397467E-2</v>
      </c>
      <c r="S148" s="78">
        <f t="shared" si="37"/>
        <v>7.53222159878945E-2</v>
      </c>
      <c r="T148" s="78">
        <f t="shared" si="37"/>
        <v>7.6825254225071929E-2</v>
      </c>
      <c r="U148" s="78">
        <f t="shared" si="37"/>
        <v>8.2446841850380162E-2</v>
      </c>
      <c r="V148" s="78">
        <f t="shared" si="37"/>
        <v>8.3349329247128415E-2</v>
      </c>
      <c r="W148" s="78">
        <f t="shared" si="37"/>
        <v>9.2803040396790562E-2</v>
      </c>
      <c r="DA148" s="63"/>
    </row>
    <row r="149" spans="1:105" ht="11.4" customHeight="1" x14ac:dyDescent="0.35">
      <c r="A149" s="59" t="str">
        <f>$A$27</f>
        <v>Domestic coastal shipping</v>
      </c>
      <c r="B149" s="77">
        <f t="shared" si="37"/>
        <v>0.11027353309831427</v>
      </c>
      <c r="C149" s="77">
        <f t="shared" si="37"/>
        <v>0.10942923403375893</v>
      </c>
      <c r="D149" s="77">
        <f t="shared" si="37"/>
        <v>0.11992966354156775</v>
      </c>
      <c r="E149" s="77">
        <f t="shared" si="37"/>
        <v>0.11123239582653821</v>
      </c>
      <c r="F149" s="77">
        <f t="shared" si="37"/>
        <v>9.3042300065353842E-2</v>
      </c>
      <c r="G149" s="77">
        <f t="shared" si="37"/>
        <v>0.10491755405021472</v>
      </c>
      <c r="H149" s="77">
        <f t="shared" si="37"/>
        <v>9.1505035874890756E-2</v>
      </c>
      <c r="I149" s="77">
        <f t="shared" si="37"/>
        <v>7.7252730563254907E-2</v>
      </c>
      <c r="J149" s="77">
        <f t="shared" si="37"/>
        <v>9.8174000625763161E-2</v>
      </c>
      <c r="K149" s="77">
        <f t="shared" si="37"/>
        <v>0.10299066450710267</v>
      </c>
      <c r="L149" s="77">
        <f t="shared" si="37"/>
        <v>9.0807503994792482E-2</v>
      </c>
      <c r="M149" s="77">
        <f t="shared" si="37"/>
        <v>9.258025877716998E-2</v>
      </c>
      <c r="N149" s="77">
        <f t="shared" si="37"/>
        <v>9.756959599672832E-2</v>
      </c>
      <c r="O149" s="77">
        <f t="shared" si="37"/>
        <v>0.10240020179013562</v>
      </c>
      <c r="P149" s="77">
        <f t="shared" si="37"/>
        <v>8.1662443979746022E-2</v>
      </c>
      <c r="Q149" s="77">
        <f t="shared" si="37"/>
        <v>9.4780522135508583E-2</v>
      </c>
      <c r="R149" s="77">
        <f t="shared" si="37"/>
        <v>7.8878517677397467E-2</v>
      </c>
      <c r="S149" s="77">
        <f t="shared" si="37"/>
        <v>7.53222159878945E-2</v>
      </c>
      <c r="T149" s="77">
        <f t="shared" si="37"/>
        <v>7.6825254225071929E-2</v>
      </c>
      <c r="U149" s="77">
        <f t="shared" si="37"/>
        <v>8.2446841850380162E-2</v>
      </c>
      <c r="V149" s="77">
        <f t="shared" si="37"/>
        <v>8.3349329247128415E-2</v>
      </c>
      <c r="W149" s="77">
        <f t="shared" si="37"/>
        <v>9.2803040396790562E-2</v>
      </c>
      <c r="DA149" s="49"/>
    </row>
    <row r="150" spans="1:105" ht="11.4" customHeight="1" x14ac:dyDescent="0.35">
      <c r="A150" s="67" t="str">
        <f>$A$28</f>
        <v>Inland waterways</v>
      </c>
      <c r="B150" s="79">
        <f t="shared" si="37"/>
        <v>0</v>
      </c>
      <c r="C150" s="79">
        <f t="shared" si="37"/>
        <v>0</v>
      </c>
      <c r="D150" s="79">
        <f t="shared" si="37"/>
        <v>0</v>
      </c>
      <c r="E150" s="79">
        <f t="shared" si="37"/>
        <v>0</v>
      </c>
      <c r="F150" s="79">
        <f t="shared" si="37"/>
        <v>0</v>
      </c>
      <c r="G150" s="79">
        <f t="shared" si="37"/>
        <v>0</v>
      </c>
      <c r="H150" s="79">
        <f t="shared" si="37"/>
        <v>0</v>
      </c>
      <c r="I150" s="79">
        <f t="shared" si="37"/>
        <v>0</v>
      </c>
      <c r="J150" s="79">
        <f t="shared" si="37"/>
        <v>0</v>
      </c>
      <c r="K150" s="79">
        <f t="shared" si="37"/>
        <v>0</v>
      </c>
      <c r="L150" s="79">
        <f t="shared" si="37"/>
        <v>0</v>
      </c>
      <c r="M150" s="79">
        <f t="shared" si="37"/>
        <v>0</v>
      </c>
      <c r="N150" s="79">
        <f t="shared" si="37"/>
        <v>0</v>
      </c>
      <c r="O150" s="79">
        <f t="shared" ref="O150:W150" si="38">IF(O58=0,0,O58/O$47)</f>
        <v>0</v>
      </c>
      <c r="P150" s="79">
        <f t="shared" si="38"/>
        <v>0</v>
      </c>
      <c r="Q150" s="79">
        <f t="shared" si="38"/>
        <v>0</v>
      </c>
      <c r="R150" s="79">
        <f t="shared" si="38"/>
        <v>0</v>
      </c>
      <c r="S150" s="79">
        <f t="shared" si="38"/>
        <v>0</v>
      </c>
      <c r="T150" s="79">
        <f t="shared" si="38"/>
        <v>0</v>
      </c>
      <c r="U150" s="79">
        <f t="shared" si="38"/>
        <v>0</v>
      </c>
      <c r="V150" s="79">
        <f t="shared" si="38"/>
        <v>0</v>
      </c>
      <c r="W150" s="79">
        <f t="shared" si="38"/>
        <v>0</v>
      </c>
      <c r="DA150" s="69"/>
    </row>
    <row r="151" spans="1:105" ht="11.4" customHeight="1" x14ac:dyDescent="0.35">
      <c r="A151" s="53" t="s">
        <v>134</v>
      </c>
      <c r="B151" s="75">
        <f>IF(B59=0,0,B59/B$59)</f>
        <v>1</v>
      </c>
      <c r="C151" s="75">
        <f t="shared" ref="C151:W153" si="39">IF(C59=0,0,C59/C$59)</f>
        <v>1</v>
      </c>
      <c r="D151" s="75">
        <f t="shared" si="39"/>
        <v>1</v>
      </c>
      <c r="E151" s="75">
        <f t="shared" si="39"/>
        <v>1</v>
      </c>
      <c r="F151" s="75">
        <f t="shared" si="39"/>
        <v>1</v>
      </c>
      <c r="G151" s="75">
        <f t="shared" si="39"/>
        <v>1</v>
      </c>
      <c r="H151" s="75">
        <f t="shared" si="39"/>
        <v>1</v>
      </c>
      <c r="I151" s="75">
        <f t="shared" si="39"/>
        <v>1</v>
      </c>
      <c r="J151" s="75">
        <f t="shared" si="39"/>
        <v>1</v>
      </c>
      <c r="K151" s="75">
        <f t="shared" si="39"/>
        <v>1</v>
      </c>
      <c r="L151" s="75">
        <f t="shared" si="39"/>
        <v>1</v>
      </c>
      <c r="M151" s="75">
        <f t="shared" si="39"/>
        <v>1</v>
      </c>
      <c r="N151" s="75">
        <f t="shared" si="39"/>
        <v>1</v>
      </c>
      <c r="O151" s="75">
        <f t="shared" si="39"/>
        <v>1</v>
      </c>
      <c r="P151" s="75">
        <f t="shared" si="39"/>
        <v>1</v>
      </c>
      <c r="Q151" s="75">
        <f t="shared" si="39"/>
        <v>1</v>
      </c>
      <c r="R151" s="75">
        <f t="shared" si="39"/>
        <v>1</v>
      </c>
      <c r="S151" s="75">
        <f t="shared" si="39"/>
        <v>1</v>
      </c>
      <c r="T151" s="75">
        <f t="shared" si="39"/>
        <v>1</v>
      </c>
      <c r="U151" s="75">
        <f t="shared" si="39"/>
        <v>1</v>
      </c>
      <c r="V151" s="75">
        <f t="shared" si="39"/>
        <v>1</v>
      </c>
      <c r="W151" s="75">
        <f t="shared" si="39"/>
        <v>1</v>
      </c>
      <c r="DA151" s="55"/>
    </row>
    <row r="152" spans="1:105" ht="11.4" customHeight="1" x14ac:dyDescent="0.35">
      <c r="A152" s="59" t="str">
        <f>$A$30</f>
        <v>Intra-EEA</v>
      </c>
      <c r="B152" s="77">
        <f>IF(B60=0,0,B60/B$59)</f>
        <v>0.42892232377966183</v>
      </c>
      <c r="C152" s="77">
        <f t="shared" si="39"/>
        <v>0.42872691734657842</v>
      </c>
      <c r="D152" s="77">
        <f t="shared" si="39"/>
        <v>0.43775784712805399</v>
      </c>
      <c r="E152" s="77">
        <f t="shared" si="39"/>
        <v>0.41742393061465577</v>
      </c>
      <c r="F152" s="77">
        <f t="shared" si="39"/>
        <v>0.44781544028041143</v>
      </c>
      <c r="G152" s="77">
        <f t="shared" si="39"/>
        <v>0.45397099568563171</v>
      </c>
      <c r="H152" s="77">
        <f t="shared" si="39"/>
        <v>0.40927103719824298</v>
      </c>
      <c r="I152" s="77">
        <f t="shared" si="39"/>
        <v>0.42113114443734412</v>
      </c>
      <c r="J152" s="77">
        <f t="shared" si="39"/>
        <v>0.42584522108979045</v>
      </c>
      <c r="K152" s="77">
        <f t="shared" si="39"/>
        <v>0.42870767001818161</v>
      </c>
      <c r="L152" s="77">
        <f t="shared" si="39"/>
        <v>0.45178459037002455</v>
      </c>
      <c r="M152" s="77">
        <f t="shared" si="39"/>
        <v>0.41060024434441106</v>
      </c>
      <c r="N152" s="77">
        <f t="shared" si="39"/>
        <v>0.45707975188655953</v>
      </c>
      <c r="O152" s="77">
        <f t="shared" si="39"/>
        <v>0.48124134188455026</v>
      </c>
      <c r="P152" s="77">
        <f t="shared" si="39"/>
        <v>0.4566768436640592</v>
      </c>
      <c r="Q152" s="77">
        <f t="shared" si="39"/>
        <v>0.43141330159256513</v>
      </c>
      <c r="R152" s="77">
        <f t="shared" si="39"/>
        <v>0.42945949079310158</v>
      </c>
      <c r="S152" s="77">
        <f t="shared" si="39"/>
        <v>0.43343592645345469</v>
      </c>
      <c r="T152" s="77">
        <f t="shared" si="39"/>
        <v>0.42500786503082172</v>
      </c>
      <c r="U152" s="77">
        <f t="shared" si="39"/>
        <v>0.41913529354351292</v>
      </c>
      <c r="V152" s="77">
        <f t="shared" si="39"/>
        <v>0.37587423627331457</v>
      </c>
      <c r="W152" s="77">
        <f t="shared" si="39"/>
        <v>0.36770911590309141</v>
      </c>
      <c r="DA152" s="49"/>
    </row>
    <row r="153" spans="1:105" ht="11.4" customHeight="1" x14ac:dyDescent="0.35">
      <c r="A153" s="67" t="str">
        <f>$A$31</f>
        <v>Extra-EEA</v>
      </c>
      <c r="B153" s="79">
        <f>IF(B61=0,0,B61/B$59)</f>
        <v>0.57107767622033834</v>
      </c>
      <c r="C153" s="79">
        <f t="shared" si="39"/>
        <v>0.57127308265342158</v>
      </c>
      <c r="D153" s="79">
        <f t="shared" si="39"/>
        <v>0.56224215287194601</v>
      </c>
      <c r="E153" s="79">
        <f t="shared" si="39"/>
        <v>0.58257606938534412</v>
      </c>
      <c r="F153" s="79">
        <f t="shared" si="39"/>
        <v>0.55218455971958857</v>
      </c>
      <c r="G153" s="79">
        <f t="shared" si="39"/>
        <v>0.5460290043143684</v>
      </c>
      <c r="H153" s="79">
        <f t="shared" si="39"/>
        <v>0.59072896280175713</v>
      </c>
      <c r="I153" s="79">
        <f t="shared" si="39"/>
        <v>0.57886885556265588</v>
      </c>
      <c r="J153" s="79">
        <f t="shared" si="39"/>
        <v>0.57415477891020961</v>
      </c>
      <c r="K153" s="79">
        <f t="shared" si="39"/>
        <v>0.57129232998181834</v>
      </c>
      <c r="L153" s="79">
        <f t="shared" si="39"/>
        <v>0.5482154096299755</v>
      </c>
      <c r="M153" s="79">
        <f t="shared" si="39"/>
        <v>0.589399755655589</v>
      </c>
      <c r="N153" s="79">
        <f t="shared" si="39"/>
        <v>0.54292024811344042</v>
      </c>
      <c r="O153" s="79">
        <f t="shared" si="39"/>
        <v>0.51875865811544974</v>
      </c>
      <c r="P153" s="79">
        <f t="shared" si="39"/>
        <v>0.54332315633594075</v>
      </c>
      <c r="Q153" s="79">
        <f t="shared" si="39"/>
        <v>0.56858669840743492</v>
      </c>
      <c r="R153" s="79">
        <f t="shared" si="39"/>
        <v>0.57054050920689836</v>
      </c>
      <c r="S153" s="79">
        <f t="shared" si="39"/>
        <v>0.56656407354654525</v>
      </c>
      <c r="T153" s="79">
        <f t="shared" si="39"/>
        <v>0.57499213496917834</v>
      </c>
      <c r="U153" s="79">
        <f t="shared" si="39"/>
        <v>0.58086470645648702</v>
      </c>
      <c r="V153" s="79">
        <f t="shared" si="39"/>
        <v>0.62412576372668549</v>
      </c>
      <c r="W153" s="79">
        <f t="shared" si="39"/>
        <v>0.63229088409690848</v>
      </c>
      <c r="DA153" s="69"/>
    </row>
    <row r="154" spans="1:105" x14ac:dyDescent="0.3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DA154" s="49"/>
    </row>
    <row r="155" spans="1:105" ht="11.4" customHeight="1" x14ac:dyDescent="0.35">
      <c r="A155" s="50" t="s">
        <v>171</v>
      </c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DA155" s="52"/>
    </row>
    <row r="156" spans="1:105" ht="11.4" customHeight="1" x14ac:dyDescent="0.35">
      <c r="A156" s="53" t="s">
        <v>109</v>
      </c>
      <c r="B156" s="75">
        <f t="shared" ref="B156:W167" si="40">IF(B64=0,0,B64/B$64)</f>
        <v>1</v>
      </c>
      <c r="C156" s="75">
        <f t="shared" si="40"/>
        <v>1</v>
      </c>
      <c r="D156" s="75">
        <f t="shared" si="40"/>
        <v>1</v>
      </c>
      <c r="E156" s="75">
        <f t="shared" si="40"/>
        <v>1</v>
      </c>
      <c r="F156" s="75">
        <f t="shared" si="40"/>
        <v>1</v>
      </c>
      <c r="G156" s="75">
        <f t="shared" si="40"/>
        <v>1</v>
      </c>
      <c r="H156" s="75">
        <f t="shared" si="40"/>
        <v>1</v>
      </c>
      <c r="I156" s="75">
        <f t="shared" si="40"/>
        <v>1</v>
      </c>
      <c r="J156" s="75">
        <f t="shared" si="40"/>
        <v>1</v>
      </c>
      <c r="K156" s="75">
        <f t="shared" si="40"/>
        <v>1</v>
      </c>
      <c r="L156" s="75">
        <f t="shared" si="40"/>
        <v>1</v>
      </c>
      <c r="M156" s="75">
        <f t="shared" si="40"/>
        <v>1</v>
      </c>
      <c r="N156" s="75">
        <f t="shared" si="40"/>
        <v>1</v>
      </c>
      <c r="O156" s="75">
        <f t="shared" si="40"/>
        <v>1</v>
      </c>
      <c r="P156" s="75">
        <f t="shared" si="40"/>
        <v>1</v>
      </c>
      <c r="Q156" s="75">
        <f t="shared" si="40"/>
        <v>1</v>
      </c>
      <c r="R156" s="75">
        <f t="shared" si="40"/>
        <v>1</v>
      </c>
      <c r="S156" s="75">
        <f t="shared" si="40"/>
        <v>1</v>
      </c>
      <c r="T156" s="75">
        <f t="shared" si="40"/>
        <v>1</v>
      </c>
      <c r="U156" s="75">
        <f t="shared" si="40"/>
        <v>1</v>
      </c>
      <c r="V156" s="75">
        <f t="shared" si="40"/>
        <v>1</v>
      </c>
      <c r="W156" s="75">
        <f t="shared" si="40"/>
        <v>1</v>
      </c>
      <c r="DA156" s="55"/>
    </row>
    <row r="157" spans="1:105" ht="11.4" customHeight="1" x14ac:dyDescent="0.35">
      <c r="A157" s="56" t="str">
        <f>$A$5</f>
        <v>Road transport</v>
      </c>
      <c r="B157" s="76">
        <f t="shared" si="40"/>
        <v>0.72463557318641758</v>
      </c>
      <c r="C157" s="76">
        <f t="shared" si="40"/>
        <v>0.71984084814974569</v>
      </c>
      <c r="D157" s="76">
        <f t="shared" si="40"/>
        <v>0.74792704211411087</v>
      </c>
      <c r="E157" s="76">
        <f t="shared" si="40"/>
        <v>0.74470124020950401</v>
      </c>
      <c r="F157" s="76">
        <f t="shared" si="40"/>
        <v>0.72430221200145251</v>
      </c>
      <c r="G157" s="76">
        <f t="shared" si="40"/>
        <v>0.71456506616795867</v>
      </c>
      <c r="H157" s="76">
        <f t="shared" si="40"/>
        <v>0.71623735790504606</v>
      </c>
      <c r="I157" s="76">
        <f t="shared" si="40"/>
        <v>0.71962876090775374</v>
      </c>
      <c r="J157" s="76">
        <f t="shared" si="40"/>
        <v>0.73042209911705358</v>
      </c>
      <c r="K157" s="76">
        <f t="shared" si="40"/>
        <v>0.74886963254793082</v>
      </c>
      <c r="L157" s="76">
        <f t="shared" si="40"/>
        <v>0.73986965202303923</v>
      </c>
      <c r="M157" s="76">
        <f t="shared" si="40"/>
        <v>0.73558290301330165</v>
      </c>
      <c r="N157" s="76">
        <f t="shared" si="40"/>
        <v>0.72064115153903729</v>
      </c>
      <c r="O157" s="76">
        <f t="shared" si="40"/>
        <v>0.71969708581006875</v>
      </c>
      <c r="P157" s="76">
        <f t="shared" si="40"/>
        <v>0.70982638158538724</v>
      </c>
      <c r="Q157" s="76">
        <f t="shared" si="40"/>
        <v>0.72893674320045132</v>
      </c>
      <c r="R157" s="76">
        <f t="shared" si="40"/>
        <v>0.71112634579407752</v>
      </c>
      <c r="S157" s="76">
        <f t="shared" si="40"/>
        <v>0.70485329927285867</v>
      </c>
      <c r="T157" s="76">
        <f t="shared" si="40"/>
        <v>0.69963771983731593</v>
      </c>
      <c r="U157" s="76">
        <f t="shared" si="40"/>
        <v>0.69327211685925205</v>
      </c>
      <c r="V157" s="76">
        <f t="shared" si="40"/>
        <v>0.85700788368670355</v>
      </c>
      <c r="W157" s="76">
        <f t="shared" si="40"/>
        <v>0.83216752186299392</v>
      </c>
      <c r="DA157" s="58"/>
    </row>
    <row r="158" spans="1:105" ht="11.4" customHeight="1" x14ac:dyDescent="0.35">
      <c r="A158" s="59" t="str">
        <f>$A$6</f>
        <v>Powered two-wheelers</v>
      </c>
      <c r="B158" s="77">
        <f t="shared" si="40"/>
        <v>7.0773516753762748E-3</v>
      </c>
      <c r="C158" s="77">
        <f t="shared" si="40"/>
        <v>6.7191766071625792E-3</v>
      </c>
      <c r="D158" s="77">
        <f t="shared" si="40"/>
        <v>7.1368142676740713E-3</v>
      </c>
      <c r="E158" s="77">
        <f t="shared" si="40"/>
        <v>7.0177904311835163E-3</v>
      </c>
      <c r="F158" s="77">
        <f t="shared" si="40"/>
        <v>6.712663879748189E-3</v>
      </c>
      <c r="G158" s="77">
        <f t="shared" si="40"/>
        <v>6.6658674370529804E-3</v>
      </c>
      <c r="H158" s="77">
        <f t="shared" si="40"/>
        <v>6.849076597850657E-3</v>
      </c>
      <c r="I158" s="77">
        <f t="shared" si="40"/>
        <v>6.9149594453493278E-3</v>
      </c>
      <c r="J158" s="77">
        <f t="shared" si="40"/>
        <v>6.9677677111177581E-3</v>
      </c>
      <c r="K158" s="77">
        <f t="shared" si="40"/>
        <v>6.8843854501395409E-3</v>
      </c>
      <c r="L158" s="77">
        <f t="shared" si="40"/>
        <v>6.7171830823762524E-3</v>
      </c>
      <c r="M158" s="77">
        <f t="shared" si="40"/>
        <v>6.488043501196015E-3</v>
      </c>
      <c r="N158" s="77">
        <f t="shared" si="40"/>
        <v>6.8333362833281662E-3</v>
      </c>
      <c r="O158" s="77">
        <f t="shared" si="40"/>
        <v>6.9160671179132405E-3</v>
      </c>
      <c r="P158" s="77">
        <f t="shared" si="40"/>
        <v>6.8052810253007171E-3</v>
      </c>
      <c r="Q158" s="77">
        <f t="shared" si="40"/>
        <v>6.4990093767477233E-3</v>
      </c>
      <c r="R158" s="77">
        <f t="shared" si="40"/>
        <v>6.3412539459001358E-3</v>
      </c>
      <c r="S158" s="77">
        <f t="shared" si="40"/>
        <v>5.8697516770548066E-3</v>
      </c>
      <c r="T158" s="77">
        <f t="shared" si="40"/>
        <v>5.3851961176141954E-3</v>
      </c>
      <c r="U158" s="77">
        <f t="shared" si="40"/>
        <v>5.5864892763128043E-3</v>
      </c>
      <c r="V158" s="77">
        <f t="shared" si="40"/>
        <v>6.5584557298355205E-3</v>
      </c>
      <c r="W158" s="77">
        <f t="shared" si="40"/>
        <v>6.2848694453711386E-3</v>
      </c>
      <c r="DA158" s="49"/>
    </row>
    <row r="159" spans="1:105" ht="11.4" customHeight="1" x14ac:dyDescent="0.35">
      <c r="A159" s="59" t="str">
        <f>$A$7</f>
        <v>Passenger cars</v>
      </c>
      <c r="B159" s="77">
        <f t="shared" si="40"/>
        <v>0.608137415949078</v>
      </c>
      <c r="C159" s="77">
        <f t="shared" si="40"/>
        <v>0.60594698735898289</v>
      </c>
      <c r="D159" s="77">
        <f t="shared" si="40"/>
        <v>0.6334093621815684</v>
      </c>
      <c r="E159" s="77">
        <f t="shared" si="40"/>
        <v>0.63135648836997849</v>
      </c>
      <c r="F159" s="77">
        <f t="shared" si="40"/>
        <v>0.61659656506936056</v>
      </c>
      <c r="G159" s="77">
        <f t="shared" si="40"/>
        <v>0.6077422421662021</v>
      </c>
      <c r="H159" s="77">
        <f t="shared" si="40"/>
        <v>0.60941156555556319</v>
      </c>
      <c r="I159" s="77">
        <f t="shared" si="40"/>
        <v>0.61780248018303241</v>
      </c>
      <c r="J159" s="77">
        <f t="shared" si="40"/>
        <v>0.62533947239252863</v>
      </c>
      <c r="K159" s="77">
        <f t="shared" si="40"/>
        <v>0.63873910726029104</v>
      </c>
      <c r="L159" s="77">
        <f t="shared" si="40"/>
        <v>0.62816577409674434</v>
      </c>
      <c r="M159" s="77">
        <f t="shared" si="40"/>
        <v>0.63097260058371174</v>
      </c>
      <c r="N159" s="77">
        <f t="shared" si="40"/>
        <v>0.61972428635582588</v>
      </c>
      <c r="O159" s="77">
        <f t="shared" si="40"/>
        <v>0.62217603725063964</v>
      </c>
      <c r="P159" s="77">
        <f t="shared" si="40"/>
        <v>0.61187019409858157</v>
      </c>
      <c r="Q159" s="77">
        <f t="shared" si="40"/>
        <v>0.6334611404889593</v>
      </c>
      <c r="R159" s="77">
        <f t="shared" si="40"/>
        <v>0.61413238827254346</v>
      </c>
      <c r="S159" s="77">
        <f t="shared" si="40"/>
        <v>0.60430009555953201</v>
      </c>
      <c r="T159" s="77">
        <f t="shared" si="40"/>
        <v>0.60207258542390885</v>
      </c>
      <c r="U159" s="77">
        <f t="shared" si="40"/>
        <v>0.59841600269118933</v>
      </c>
      <c r="V159" s="77">
        <f t="shared" si="40"/>
        <v>0.7287683720357554</v>
      </c>
      <c r="W159" s="77">
        <f t="shared" si="40"/>
        <v>0.70938730779901382</v>
      </c>
      <c r="DA159" s="49"/>
    </row>
    <row r="160" spans="1:105" ht="11.4" customHeight="1" x14ac:dyDescent="0.35">
      <c r="A160" s="59" t="str">
        <f>$A$8</f>
        <v>Motor coaches, buses and trolley buses</v>
      </c>
      <c r="B160" s="77">
        <f t="shared" si="40"/>
        <v>0.10942080556196325</v>
      </c>
      <c r="C160" s="77">
        <f t="shared" si="40"/>
        <v>0.10717468418360017</v>
      </c>
      <c r="D160" s="77">
        <f t="shared" si="40"/>
        <v>0.10738086566486837</v>
      </c>
      <c r="E160" s="77">
        <f t="shared" si="40"/>
        <v>0.10632696140834197</v>
      </c>
      <c r="F160" s="77">
        <f t="shared" si="40"/>
        <v>0.10099298305234376</v>
      </c>
      <c r="G160" s="77">
        <f t="shared" si="40"/>
        <v>0.10015695656470353</v>
      </c>
      <c r="H160" s="77">
        <f t="shared" si="40"/>
        <v>9.9976715751632222E-2</v>
      </c>
      <c r="I160" s="77">
        <f t="shared" si="40"/>
        <v>9.4911321279372018E-2</v>
      </c>
      <c r="J160" s="77">
        <f t="shared" si="40"/>
        <v>9.8114859013407232E-2</v>
      </c>
      <c r="K160" s="77">
        <f t="shared" si="40"/>
        <v>0.10324613983750014</v>
      </c>
      <c r="L160" s="77">
        <f t="shared" si="40"/>
        <v>0.10498669484391848</v>
      </c>
      <c r="M160" s="77">
        <f t="shared" si="40"/>
        <v>9.8122258928394018E-2</v>
      </c>
      <c r="N160" s="77">
        <f t="shared" si="40"/>
        <v>9.4083528899883237E-2</v>
      </c>
      <c r="O160" s="77">
        <f t="shared" si="40"/>
        <v>9.0604981441515936E-2</v>
      </c>
      <c r="P160" s="77">
        <f t="shared" si="40"/>
        <v>9.1150906461504991E-2</v>
      </c>
      <c r="Q160" s="77">
        <f t="shared" si="40"/>
        <v>8.8976593334744336E-2</v>
      </c>
      <c r="R160" s="77">
        <f t="shared" si="40"/>
        <v>9.0652703575633847E-2</v>
      </c>
      <c r="S160" s="77">
        <f t="shared" si="40"/>
        <v>9.468345203627182E-2</v>
      </c>
      <c r="T160" s="77">
        <f t="shared" si="40"/>
        <v>9.2179938295792879E-2</v>
      </c>
      <c r="U160" s="77">
        <f t="shared" si="40"/>
        <v>8.9269624891749944E-2</v>
      </c>
      <c r="V160" s="77">
        <f t="shared" si="40"/>
        <v>0.1216810559211127</v>
      </c>
      <c r="W160" s="77">
        <f t="shared" si="40"/>
        <v>0.1164953446186089</v>
      </c>
      <c r="DA160" s="49"/>
    </row>
    <row r="161" spans="1:105" ht="11.4" customHeight="1" x14ac:dyDescent="0.35">
      <c r="A161" s="61" t="str">
        <f>$A$9</f>
        <v>Rail, metro and tram</v>
      </c>
      <c r="B161" s="78">
        <f t="shared" si="40"/>
        <v>2.0328790958529092E-2</v>
      </c>
      <c r="C161" s="78">
        <f t="shared" si="40"/>
        <v>1.9039591544905463E-2</v>
      </c>
      <c r="D161" s="78">
        <f t="shared" si="40"/>
        <v>1.990317973536004E-2</v>
      </c>
      <c r="E161" s="78">
        <f t="shared" si="40"/>
        <v>2.0277466692140481E-2</v>
      </c>
      <c r="F161" s="78">
        <f t="shared" si="40"/>
        <v>1.8974350298238435E-2</v>
      </c>
      <c r="G161" s="78">
        <f t="shared" si="40"/>
        <v>2.0461227625265126E-2</v>
      </c>
      <c r="H161" s="78">
        <f t="shared" si="40"/>
        <v>2.0008859348310457E-2</v>
      </c>
      <c r="I161" s="78">
        <f t="shared" si="40"/>
        <v>1.9433404482652305E-2</v>
      </c>
      <c r="J161" s="78">
        <f t="shared" si="40"/>
        <v>2.0749211392562247E-2</v>
      </c>
      <c r="K161" s="78">
        <f t="shared" si="40"/>
        <v>2.0961447478278855E-2</v>
      </c>
      <c r="L161" s="78">
        <f t="shared" si="40"/>
        <v>2.1531509331420229E-2</v>
      </c>
      <c r="M161" s="78">
        <f t="shared" si="40"/>
        <v>2.1568806842535766E-2</v>
      </c>
      <c r="N161" s="78">
        <f t="shared" si="40"/>
        <v>2.333663405150627E-2</v>
      </c>
      <c r="O161" s="78">
        <f t="shared" si="40"/>
        <v>2.305360505909641E-2</v>
      </c>
      <c r="P161" s="78">
        <f t="shared" si="40"/>
        <v>2.2744766387120731E-2</v>
      </c>
      <c r="Q161" s="78">
        <f t="shared" si="40"/>
        <v>2.1076753636654906E-2</v>
      </c>
      <c r="R161" s="78">
        <f t="shared" si="40"/>
        <v>2.124455874608629E-2</v>
      </c>
      <c r="S161" s="78">
        <f t="shared" si="40"/>
        <v>2.0464604728178876E-2</v>
      </c>
      <c r="T161" s="78">
        <f t="shared" si="40"/>
        <v>1.8318641225228569E-2</v>
      </c>
      <c r="U161" s="78">
        <f t="shared" si="40"/>
        <v>1.8511907148880097E-2</v>
      </c>
      <c r="V161" s="78">
        <f t="shared" si="40"/>
        <v>2.2110141006817709E-2</v>
      </c>
      <c r="W161" s="78">
        <f t="shared" si="40"/>
        <v>2.0445645517606081E-2</v>
      </c>
      <c r="DA161" s="63"/>
    </row>
    <row r="162" spans="1:105" ht="11.4" customHeight="1" x14ac:dyDescent="0.35">
      <c r="A162" s="59" t="str">
        <f>$A$10</f>
        <v>Metro and tram, urban light rail</v>
      </c>
      <c r="B162" s="77">
        <f t="shared" si="40"/>
        <v>0</v>
      </c>
      <c r="C162" s="77">
        <f t="shared" si="40"/>
        <v>0</v>
      </c>
      <c r="D162" s="77">
        <f t="shared" si="40"/>
        <v>0</v>
      </c>
      <c r="E162" s="77">
        <f t="shared" si="40"/>
        <v>0</v>
      </c>
      <c r="F162" s="77">
        <f t="shared" si="40"/>
        <v>0</v>
      </c>
      <c r="G162" s="77">
        <f t="shared" si="40"/>
        <v>0</v>
      </c>
      <c r="H162" s="77">
        <f t="shared" si="40"/>
        <v>0</v>
      </c>
      <c r="I162" s="77">
        <f t="shared" si="40"/>
        <v>0</v>
      </c>
      <c r="J162" s="77">
        <f t="shared" si="40"/>
        <v>0</v>
      </c>
      <c r="K162" s="77">
        <f t="shared" si="40"/>
        <v>0</v>
      </c>
      <c r="L162" s="77">
        <f t="shared" si="40"/>
        <v>0</v>
      </c>
      <c r="M162" s="77">
        <f t="shared" si="40"/>
        <v>0</v>
      </c>
      <c r="N162" s="77">
        <f t="shared" si="40"/>
        <v>0</v>
      </c>
      <c r="O162" s="77">
        <f t="shared" si="40"/>
        <v>0</v>
      </c>
      <c r="P162" s="77">
        <f t="shared" si="40"/>
        <v>0</v>
      </c>
      <c r="Q162" s="77">
        <f t="shared" si="40"/>
        <v>0</v>
      </c>
      <c r="R162" s="77">
        <f t="shared" si="40"/>
        <v>0</v>
      </c>
      <c r="S162" s="77">
        <f t="shared" si="40"/>
        <v>0</v>
      </c>
      <c r="T162" s="77">
        <f t="shared" si="40"/>
        <v>0</v>
      </c>
      <c r="U162" s="77">
        <f t="shared" si="40"/>
        <v>0</v>
      </c>
      <c r="V162" s="77">
        <f t="shared" si="40"/>
        <v>0</v>
      </c>
      <c r="W162" s="77">
        <f t="shared" si="40"/>
        <v>0</v>
      </c>
      <c r="DA162" s="49"/>
    </row>
    <row r="163" spans="1:105" ht="11.4" customHeight="1" x14ac:dyDescent="0.35">
      <c r="A163" s="59" t="str">
        <f>$A$11</f>
        <v>Conventional passenger trains</v>
      </c>
      <c r="B163" s="77">
        <f t="shared" si="40"/>
        <v>2.0328790958529092E-2</v>
      </c>
      <c r="C163" s="77">
        <f t="shared" si="40"/>
        <v>1.9039591544905463E-2</v>
      </c>
      <c r="D163" s="77">
        <f t="shared" si="40"/>
        <v>1.990317973536004E-2</v>
      </c>
      <c r="E163" s="77">
        <f t="shared" si="40"/>
        <v>2.0277466692140481E-2</v>
      </c>
      <c r="F163" s="77">
        <f t="shared" si="40"/>
        <v>1.8974350298238435E-2</v>
      </c>
      <c r="G163" s="77">
        <f t="shared" si="40"/>
        <v>2.0461227625265126E-2</v>
      </c>
      <c r="H163" s="77">
        <f t="shared" si="40"/>
        <v>2.0008859348310457E-2</v>
      </c>
      <c r="I163" s="77">
        <f t="shared" si="40"/>
        <v>1.9433404482652305E-2</v>
      </c>
      <c r="J163" s="77">
        <f t="shared" si="40"/>
        <v>2.0749211392562247E-2</v>
      </c>
      <c r="K163" s="77">
        <f t="shared" si="40"/>
        <v>2.0961447478278855E-2</v>
      </c>
      <c r="L163" s="77">
        <f t="shared" si="40"/>
        <v>2.1531509331420229E-2</v>
      </c>
      <c r="M163" s="77">
        <f t="shared" si="40"/>
        <v>2.1568806842535766E-2</v>
      </c>
      <c r="N163" s="77">
        <f t="shared" si="40"/>
        <v>2.333663405150627E-2</v>
      </c>
      <c r="O163" s="77">
        <f t="shared" si="40"/>
        <v>2.305360505909641E-2</v>
      </c>
      <c r="P163" s="77">
        <f t="shared" si="40"/>
        <v>2.2744766387120731E-2</v>
      </c>
      <c r="Q163" s="77">
        <f t="shared" si="40"/>
        <v>2.1076753636654906E-2</v>
      </c>
      <c r="R163" s="77">
        <f t="shared" si="40"/>
        <v>2.124455874608629E-2</v>
      </c>
      <c r="S163" s="77">
        <f t="shared" si="40"/>
        <v>2.0464604728178876E-2</v>
      </c>
      <c r="T163" s="77">
        <f t="shared" si="40"/>
        <v>1.8318641225228569E-2</v>
      </c>
      <c r="U163" s="77">
        <f t="shared" si="40"/>
        <v>1.8511907148880097E-2</v>
      </c>
      <c r="V163" s="77">
        <f t="shared" si="40"/>
        <v>2.2110141006817709E-2</v>
      </c>
      <c r="W163" s="77">
        <f t="shared" si="40"/>
        <v>2.0445645517606081E-2</v>
      </c>
      <c r="DA163" s="49"/>
    </row>
    <row r="164" spans="1:105" ht="11.4" customHeight="1" x14ac:dyDescent="0.35">
      <c r="A164" s="59" t="str">
        <f>$A$12</f>
        <v>High speed passenger trains</v>
      </c>
      <c r="B164" s="77">
        <f t="shared" si="40"/>
        <v>0</v>
      </c>
      <c r="C164" s="77">
        <f t="shared" si="40"/>
        <v>0</v>
      </c>
      <c r="D164" s="77">
        <f t="shared" si="40"/>
        <v>0</v>
      </c>
      <c r="E164" s="77">
        <f t="shared" si="40"/>
        <v>0</v>
      </c>
      <c r="F164" s="77">
        <f t="shared" si="40"/>
        <v>0</v>
      </c>
      <c r="G164" s="77">
        <f t="shared" si="40"/>
        <v>0</v>
      </c>
      <c r="H164" s="77">
        <f t="shared" si="40"/>
        <v>0</v>
      </c>
      <c r="I164" s="77">
        <f t="shared" si="40"/>
        <v>0</v>
      </c>
      <c r="J164" s="77">
        <f t="shared" si="40"/>
        <v>0</v>
      </c>
      <c r="K164" s="77">
        <f t="shared" si="40"/>
        <v>0</v>
      </c>
      <c r="L164" s="77">
        <f t="shared" si="40"/>
        <v>0</v>
      </c>
      <c r="M164" s="77">
        <f t="shared" si="40"/>
        <v>0</v>
      </c>
      <c r="N164" s="77">
        <f t="shared" si="40"/>
        <v>0</v>
      </c>
      <c r="O164" s="77">
        <f t="shared" si="40"/>
        <v>0</v>
      </c>
      <c r="P164" s="77">
        <f t="shared" si="40"/>
        <v>0</v>
      </c>
      <c r="Q164" s="77">
        <f t="shared" si="40"/>
        <v>0</v>
      </c>
      <c r="R164" s="77">
        <f t="shared" si="40"/>
        <v>0</v>
      </c>
      <c r="S164" s="77">
        <f t="shared" si="40"/>
        <v>0</v>
      </c>
      <c r="T164" s="77">
        <f t="shared" si="40"/>
        <v>0</v>
      </c>
      <c r="U164" s="77">
        <f t="shared" si="40"/>
        <v>0</v>
      </c>
      <c r="V164" s="77">
        <f t="shared" si="40"/>
        <v>0</v>
      </c>
      <c r="W164" s="77">
        <f t="shared" si="40"/>
        <v>0</v>
      </c>
      <c r="DA164" s="49"/>
    </row>
    <row r="165" spans="1:105" ht="11.4" customHeight="1" x14ac:dyDescent="0.35">
      <c r="A165" s="61" t="str">
        <f>$A$13</f>
        <v>Aviation</v>
      </c>
      <c r="B165" s="78">
        <f t="shared" si="40"/>
        <v>0.25503563585505329</v>
      </c>
      <c r="C165" s="78">
        <f t="shared" si="40"/>
        <v>0.26111956030534883</v>
      </c>
      <c r="D165" s="78">
        <f t="shared" si="40"/>
        <v>0.23216977815052905</v>
      </c>
      <c r="E165" s="78">
        <f t="shared" si="40"/>
        <v>0.23502129309835551</v>
      </c>
      <c r="F165" s="78">
        <f t="shared" si="40"/>
        <v>0.25672343770030909</v>
      </c>
      <c r="G165" s="78">
        <f t="shared" si="40"/>
        <v>0.26497370620677618</v>
      </c>
      <c r="H165" s="78">
        <f t="shared" si="40"/>
        <v>0.26375378274664346</v>
      </c>
      <c r="I165" s="78">
        <f t="shared" si="40"/>
        <v>0.26093783460959397</v>
      </c>
      <c r="J165" s="78">
        <f t="shared" si="40"/>
        <v>0.24882868949038428</v>
      </c>
      <c r="K165" s="78">
        <f t="shared" si="40"/>
        <v>0.2301689199737903</v>
      </c>
      <c r="L165" s="78">
        <f t="shared" si="40"/>
        <v>0.23859883864554068</v>
      </c>
      <c r="M165" s="78">
        <f t="shared" si="40"/>
        <v>0.24284829014416248</v>
      </c>
      <c r="N165" s="78">
        <f t="shared" si="40"/>
        <v>0.25602221440945649</v>
      </c>
      <c r="O165" s="78">
        <f t="shared" si="40"/>
        <v>0.25724930913083477</v>
      </c>
      <c r="P165" s="78">
        <f t="shared" si="40"/>
        <v>0.267428852027492</v>
      </c>
      <c r="Q165" s="78">
        <f t="shared" si="40"/>
        <v>0.24998650316289389</v>
      </c>
      <c r="R165" s="78">
        <f t="shared" si="40"/>
        <v>0.26762909545983604</v>
      </c>
      <c r="S165" s="78">
        <f t="shared" si="40"/>
        <v>0.27468209599896237</v>
      </c>
      <c r="T165" s="78">
        <f t="shared" si="40"/>
        <v>0.28204363893745554</v>
      </c>
      <c r="U165" s="78">
        <f t="shared" si="40"/>
        <v>0.28821597599186788</v>
      </c>
      <c r="V165" s="78">
        <f t="shared" si="40"/>
        <v>0.12088197530647875</v>
      </c>
      <c r="W165" s="78">
        <f t="shared" si="40"/>
        <v>0.14738683261940011</v>
      </c>
      <c r="DA165" s="63"/>
    </row>
    <row r="166" spans="1:105" ht="11.4" customHeight="1" x14ac:dyDescent="0.35">
      <c r="A166" s="59" t="str">
        <f>$A$14</f>
        <v>Domestic</v>
      </c>
      <c r="B166" s="77">
        <f t="shared" si="40"/>
        <v>1.4392331066952401E-2</v>
      </c>
      <c r="C166" s="77">
        <f t="shared" si="40"/>
        <v>1.4822722423638629E-2</v>
      </c>
      <c r="D166" s="77">
        <f t="shared" si="40"/>
        <v>1.2587119012564943E-2</v>
      </c>
      <c r="E166" s="77">
        <f t="shared" si="40"/>
        <v>1.1992650379142612E-2</v>
      </c>
      <c r="F166" s="77">
        <f t="shared" si="40"/>
        <v>9.7121892303210604E-3</v>
      </c>
      <c r="G166" s="77">
        <f t="shared" si="40"/>
        <v>1.0156705873923094E-2</v>
      </c>
      <c r="H166" s="77">
        <f t="shared" si="40"/>
        <v>1.0673923084055499E-2</v>
      </c>
      <c r="I166" s="77">
        <f t="shared" si="40"/>
        <v>1.201039822028168E-2</v>
      </c>
      <c r="J166" s="77">
        <f t="shared" si="40"/>
        <v>1.2797973486419367E-2</v>
      </c>
      <c r="K166" s="77">
        <f t="shared" si="40"/>
        <v>1.325908224832535E-2</v>
      </c>
      <c r="L166" s="77">
        <f t="shared" si="40"/>
        <v>1.3860203932441828E-2</v>
      </c>
      <c r="M166" s="77">
        <f t="shared" si="40"/>
        <v>1.3129868453884445E-2</v>
      </c>
      <c r="N166" s="77">
        <f t="shared" si="40"/>
        <v>1.1916763496737428E-2</v>
      </c>
      <c r="O166" s="77">
        <f t="shared" si="40"/>
        <v>1.1671074618354664E-2</v>
      </c>
      <c r="P166" s="77">
        <f t="shared" si="40"/>
        <v>1.1001760491221998E-2</v>
      </c>
      <c r="Q166" s="77">
        <f t="shared" si="40"/>
        <v>9.7196037078363436E-3</v>
      </c>
      <c r="R166" s="77">
        <f t="shared" si="40"/>
        <v>9.9303845704692036E-3</v>
      </c>
      <c r="S166" s="77">
        <f t="shared" si="40"/>
        <v>9.4492744179755835E-3</v>
      </c>
      <c r="T166" s="77">
        <f t="shared" si="40"/>
        <v>8.6906787062834712E-3</v>
      </c>
      <c r="U166" s="77">
        <f t="shared" si="40"/>
        <v>8.756264740021568E-3</v>
      </c>
      <c r="V166" s="77">
        <f t="shared" si="40"/>
        <v>6.4237360469070826E-3</v>
      </c>
      <c r="W166" s="77">
        <f t="shared" si="40"/>
        <v>6.6617127997516479E-3</v>
      </c>
      <c r="DA166" s="49"/>
    </row>
    <row r="167" spans="1:105" ht="11.4" customHeight="1" x14ac:dyDescent="0.35">
      <c r="A167" s="59" t="str">
        <f>$A$15</f>
        <v>International - Intra-EEAwUK</v>
      </c>
      <c r="B167" s="77">
        <f t="shared" si="40"/>
        <v>0.13563818695286367</v>
      </c>
      <c r="C167" s="77">
        <f t="shared" si="40"/>
        <v>0.13882313976392779</v>
      </c>
      <c r="D167" s="77">
        <f t="shared" si="40"/>
        <v>0.12906231292116044</v>
      </c>
      <c r="E167" s="77">
        <f t="shared" si="40"/>
        <v>0.13280288029487253</v>
      </c>
      <c r="F167" s="77">
        <f t="shared" si="40"/>
        <v>0.1420134440022367</v>
      </c>
      <c r="G167" s="77">
        <f t="shared" si="40"/>
        <v>0.14584555030777019</v>
      </c>
      <c r="H167" s="77">
        <f t="shared" si="40"/>
        <v>0.14593251170990645</v>
      </c>
      <c r="I167" s="77">
        <f t="shared" si="40"/>
        <v>0.14519137813188759</v>
      </c>
      <c r="J167" s="77">
        <f t="shared" si="40"/>
        <v>0.13741798342831035</v>
      </c>
      <c r="K167" s="77">
        <f t="shared" si="40"/>
        <v>0.12209472575793266</v>
      </c>
      <c r="L167" s="77">
        <f t="shared" si="40"/>
        <v>0.12574274443647546</v>
      </c>
      <c r="M167" s="77">
        <f t="shared" si="40"/>
        <v>0.12908709392555151</v>
      </c>
      <c r="N167" s="77">
        <f t="shared" si="40"/>
        <v>0.13604823344400641</v>
      </c>
      <c r="O167" s="77">
        <f t="shared" ref="O167:W167" si="41">IF(O75=0,0,O75/O$64)</f>
        <v>0.13728172140866474</v>
      </c>
      <c r="P167" s="77">
        <f t="shared" si="41"/>
        <v>0.14379585612705109</v>
      </c>
      <c r="Q167" s="77">
        <f t="shared" si="41"/>
        <v>0.13569192704404276</v>
      </c>
      <c r="R167" s="77">
        <f t="shared" si="41"/>
        <v>0.14981637970005868</v>
      </c>
      <c r="S167" s="77">
        <f t="shared" si="41"/>
        <v>0.1551885693200917</v>
      </c>
      <c r="T167" s="77">
        <f t="shared" si="41"/>
        <v>0.1585960389692492</v>
      </c>
      <c r="U167" s="77">
        <f t="shared" si="41"/>
        <v>0.15914896340292972</v>
      </c>
      <c r="V167" s="77">
        <f t="shared" si="41"/>
        <v>5.6906512575452123E-2</v>
      </c>
      <c r="W167" s="77">
        <f t="shared" si="41"/>
        <v>7.4762145309179295E-2</v>
      </c>
      <c r="DA167" s="49"/>
    </row>
    <row r="168" spans="1:105" ht="11.4" customHeight="1" x14ac:dyDescent="0.35">
      <c r="A168" s="59" t="str">
        <f>$A$16</f>
        <v>International - Extra-EEAwUK</v>
      </c>
      <c r="B168" s="77">
        <f t="shared" ref="B168:W168" si="42">IF(B76=0,0,B76/B$64)</f>
        <v>0.10500511783523718</v>
      </c>
      <c r="C168" s="77">
        <f t="shared" si="42"/>
        <v>0.10747369811778243</v>
      </c>
      <c r="D168" s="77">
        <f t="shared" si="42"/>
        <v>9.0520346216803702E-2</v>
      </c>
      <c r="E168" s="77">
        <f t="shared" si="42"/>
        <v>9.0225762424340383E-2</v>
      </c>
      <c r="F168" s="77">
        <f t="shared" si="42"/>
        <v>0.10499780446775132</v>
      </c>
      <c r="G168" s="77">
        <f t="shared" si="42"/>
        <v>0.10897145002508288</v>
      </c>
      <c r="H168" s="77">
        <f t="shared" si="42"/>
        <v>0.10714734795268149</v>
      </c>
      <c r="I168" s="77">
        <f t="shared" si="42"/>
        <v>0.1037360582574247</v>
      </c>
      <c r="J168" s="77">
        <f t="shared" si="42"/>
        <v>9.8612732575654574E-2</v>
      </c>
      <c r="K168" s="77">
        <f t="shared" si="42"/>
        <v>9.4815111967532284E-2</v>
      </c>
      <c r="L168" s="77">
        <f t="shared" si="42"/>
        <v>9.8995890276623366E-2</v>
      </c>
      <c r="M168" s="77">
        <f t="shared" si="42"/>
        <v>0.10063132776472654</v>
      </c>
      <c r="N168" s="77">
        <f t="shared" si="42"/>
        <v>0.10805721746871268</v>
      </c>
      <c r="O168" s="77">
        <f t="shared" si="42"/>
        <v>0.10829651310381536</v>
      </c>
      <c r="P168" s="77">
        <f t="shared" si="42"/>
        <v>0.11263123540921892</v>
      </c>
      <c r="Q168" s="77">
        <f t="shared" si="42"/>
        <v>0.10457497241101478</v>
      </c>
      <c r="R168" s="77">
        <f t="shared" si="42"/>
        <v>0.10788233118930822</v>
      </c>
      <c r="S168" s="77">
        <f t="shared" si="42"/>
        <v>0.11004425226089505</v>
      </c>
      <c r="T168" s="77">
        <f t="shared" si="42"/>
        <v>0.11475692126192284</v>
      </c>
      <c r="U168" s="77">
        <f t="shared" si="42"/>
        <v>0.12031074784891656</v>
      </c>
      <c r="V168" s="77">
        <f t="shared" si="42"/>
        <v>5.7551726684119543E-2</v>
      </c>
      <c r="W168" s="77">
        <f t="shared" si="42"/>
        <v>6.5962974510469161E-2</v>
      </c>
      <c r="DA168" s="49"/>
    </row>
    <row r="169" spans="1:105" ht="11.4" customHeight="1" x14ac:dyDescent="0.35">
      <c r="A169" s="53" t="s">
        <v>122</v>
      </c>
      <c r="B169" s="75">
        <f t="shared" ref="B169:W180" si="43">IF(B77=0,0,B77/B$77)</f>
        <v>1</v>
      </c>
      <c r="C169" s="75">
        <f t="shared" si="43"/>
        <v>1</v>
      </c>
      <c r="D169" s="75">
        <f t="shared" si="43"/>
        <v>1</v>
      </c>
      <c r="E169" s="75">
        <f t="shared" si="43"/>
        <v>1</v>
      </c>
      <c r="F169" s="75">
        <f t="shared" si="43"/>
        <v>1</v>
      </c>
      <c r="G169" s="75">
        <f t="shared" si="43"/>
        <v>1</v>
      </c>
      <c r="H169" s="75">
        <f t="shared" si="43"/>
        <v>1</v>
      </c>
      <c r="I169" s="75">
        <f t="shared" si="43"/>
        <v>1</v>
      </c>
      <c r="J169" s="75">
        <f t="shared" si="43"/>
        <v>1</v>
      </c>
      <c r="K169" s="75">
        <f t="shared" si="43"/>
        <v>1</v>
      </c>
      <c r="L169" s="75">
        <f t="shared" si="43"/>
        <v>1</v>
      </c>
      <c r="M169" s="75">
        <f t="shared" si="43"/>
        <v>1</v>
      </c>
      <c r="N169" s="75">
        <f t="shared" si="43"/>
        <v>1</v>
      </c>
      <c r="O169" s="75">
        <f t="shared" si="43"/>
        <v>1</v>
      </c>
      <c r="P169" s="75">
        <f t="shared" si="43"/>
        <v>1</v>
      </c>
      <c r="Q169" s="75">
        <f t="shared" si="43"/>
        <v>1</v>
      </c>
      <c r="R169" s="75">
        <f t="shared" si="43"/>
        <v>1</v>
      </c>
      <c r="S169" s="75">
        <f t="shared" si="43"/>
        <v>1</v>
      </c>
      <c r="T169" s="75">
        <f t="shared" si="43"/>
        <v>1</v>
      </c>
      <c r="U169" s="75">
        <f t="shared" si="43"/>
        <v>1</v>
      </c>
      <c r="V169" s="75">
        <f t="shared" si="43"/>
        <v>1</v>
      </c>
      <c r="W169" s="75">
        <f t="shared" si="43"/>
        <v>1</v>
      </c>
      <c r="DA169" s="55"/>
    </row>
    <row r="170" spans="1:105" ht="11.4" customHeight="1" x14ac:dyDescent="0.35">
      <c r="A170" s="56" t="str">
        <f>$A$18</f>
        <v>Road transport</v>
      </c>
      <c r="B170" s="76">
        <f t="shared" si="43"/>
        <v>0.87609596378147803</v>
      </c>
      <c r="C170" s="76">
        <f t="shared" si="43"/>
        <v>0.87768491629525336</v>
      </c>
      <c r="D170" s="76">
        <f t="shared" si="43"/>
        <v>0.86810040927519438</v>
      </c>
      <c r="E170" s="76">
        <f t="shared" si="43"/>
        <v>0.87898335177636022</v>
      </c>
      <c r="F170" s="76">
        <f t="shared" si="43"/>
        <v>0.89684519264067875</v>
      </c>
      <c r="G170" s="76">
        <f t="shared" si="43"/>
        <v>0.88526636965982264</v>
      </c>
      <c r="H170" s="76">
        <f t="shared" si="43"/>
        <v>0.89848895256478267</v>
      </c>
      <c r="I170" s="76">
        <f t="shared" si="43"/>
        <v>0.91377180728550556</v>
      </c>
      <c r="J170" s="76">
        <f t="shared" si="43"/>
        <v>0.86315995575161741</v>
      </c>
      <c r="K170" s="76">
        <f t="shared" si="43"/>
        <v>0.86470965623031981</v>
      </c>
      <c r="L170" s="76">
        <f t="shared" si="43"/>
        <v>0.87412332596369824</v>
      </c>
      <c r="M170" s="76">
        <f t="shared" si="43"/>
        <v>0.86766757361272073</v>
      </c>
      <c r="N170" s="76">
        <f t="shared" si="43"/>
        <v>0.85503917998270862</v>
      </c>
      <c r="O170" s="76">
        <f t="shared" si="43"/>
        <v>0.85316263211647703</v>
      </c>
      <c r="P170" s="76">
        <f t="shared" si="43"/>
        <v>0.86902575695228546</v>
      </c>
      <c r="Q170" s="76">
        <f t="shared" si="43"/>
        <v>0.85787898290404874</v>
      </c>
      <c r="R170" s="76">
        <f t="shared" si="43"/>
        <v>0.88334406226557771</v>
      </c>
      <c r="S170" s="76">
        <f t="shared" si="43"/>
        <v>0.8876794373960909</v>
      </c>
      <c r="T170" s="76">
        <f t="shared" si="43"/>
        <v>0.893924456569124</v>
      </c>
      <c r="U170" s="76">
        <f t="shared" si="43"/>
        <v>0.88351188592997243</v>
      </c>
      <c r="V170" s="76">
        <f t="shared" si="43"/>
        <v>0.88337751563261091</v>
      </c>
      <c r="W170" s="76">
        <f t="shared" si="43"/>
        <v>0.8663390275870344</v>
      </c>
      <c r="DA170" s="58"/>
    </row>
    <row r="171" spans="1:105" ht="11.4" customHeight="1" x14ac:dyDescent="0.35">
      <c r="A171" s="59" t="str">
        <f>$A$19</f>
        <v>Light commercial vehicles</v>
      </c>
      <c r="B171" s="77">
        <f t="shared" si="43"/>
        <v>0.40973390092769463</v>
      </c>
      <c r="C171" s="77">
        <f t="shared" si="43"/>
        <v>0.4060467380869468</v>
      </c>
      <c r="D171" s="77">
        <f t="shared" si="43"/>
        <v>0.39589923288371087</v>
      </c>
      <c r="E171" s="77">
        <f t="shared" si="43"/>
        <v>0.37686978202779309</v>
      </c>
      <c r="F171" s="77">
        <f t="shared" si="43"/>
        <v>0.37975782067288361</v>
      </c>
      <c r="G171" s="77">
        <f t="shared" si="43"/>
        <v>0.38344093188620537</v>
      </c>
      <c r="H171" s="77">
        <f t="shared" si="43"/>
        <v>0.39793067742059807</v>
      </c>
      <c r="I171" s="77">
        <f t="shared" si="43"/>
        <v>0.41598816519480736</v>
      </c>
      <c r="J171" s="77">
        <f t="shared" si="43"/>
        <v>0.40441780470232425</v>
      </c>
      <c r="K171" s="77">
        <f t="shared" si="43"/>
        <v>0.42303153203516103</v>
      </c>
      <c r="L171" s="77">
        <f t="shared" si="43"/>
        <v>0.41534649215660907</v>
      </c>
      <c r="M171" s="77">
        <f t="shared" si="43"/>
        <v>0.39203577859265121</v>
      </c>
      <c r="N171" s="77">
        <f t="shared" si="43"/>
        <v>0.38890665960418153</v>
      </c>
      <c r="O171" s="77">
        <f t="shared" si="43"/>
        <v>0.37970107662227198</v>
      </c>
      <c r="P171" s="77">
        <f t="shared" si="43"/>
        <v>0.3616200989135499</v>
      </c>
      <c r="Q171" s="77">
        <f t="shared" si="43"/>
        <v>0.37336874003922021</v>
      </c>
      <c r="R171" s="77">
        <f t="shared" si="43"/>
        <v>0.35665716107443962</v>
      </c>
      <c r="S171" s="77">
        <f t="shared" si="43"/>
        <v>0.35924873338214058</v>
      </c>
      <c r="T171" s="77">
        <f t="shared" si="43"/>
        <v>0.35569556694404619</v>
      </c>
      <c r="U171" s="77">
        <f t="shared" si="43"/>
        <v>0.34746990673080413</v>
      </c>
      <c r="V171" s="77">
        <f t="shared" si="43"/>
        <v>0.33679895058102127</v>
      </c>
      <c r="W171" s="77">
        <f t="shared" si="43"/>
        <v>0.32798088262577063</v>
      </c>
      <c r="DA171" s="49"/>
    </row>
    <row r="172" spans="1:105" ht="11.4" customHeight="1" x14ac:dyDescent="0.35">
      <c r="A172" s="59" t="str">
        <f>$A$20</f>
        <v>Heavy goods vehicles</v>
      </c>
      <c r="B172" s="77">
        <f t="shared" si="43"/>
        <v>0.4663620628537834</v>
      </c>
      <c r="C172" s="77">
        <f t="shared" si="43"/>
        <v>0.47163817820830639</v>
      </c>
      <c r="D172" s="77">
        <f t="shared" si="43"/>
        <v>0.47220117639148346</v>
      </c>
      <c r="E172" s="77">
        <f t="shared" si="43"/>
        <v>0.50211356974856702</v>
      </c>
      <c r="F172" s="77">
        <f t="shared" si="43"/>
        <v>0.5170873719677952</v>
      </c>
      <c r="G172" s="77">
        <f t="shared" si="43"/>
        <v>0.50182543777361732</v>
      </c>
      <c r="H172" s="77">
        <f t="shared" si="43"/>
        <v>0.50055827514418461</v>
      </c>
      <c r="I172" s="77">
        <f t="shared" si="43"/>
        <v>0.49778364209069814</v>
      </c>
      <c r="J172" s="77">
        <f t="shared" si="43"/>
        <v>0.45874215104929311</v>
      </c>
      <c r="K172" s="77">
        <f t="shared" si="43"/>
        <v>0.44167812419515884</v>
      </c>
      <c r="L172" s="77">
        <f t="shared" si="43"/>
        <v>0.45877683380708917</v>
      </c>
      <c r="M172" s="77">
        <f t="shared" si="43"/>
        <v>0.47563179502006936</v>
      </c>
      <c r="N172" s="77">
        <f t="shared" si="43"/>
        <v>0.46613252037852709</v>
      </c>
      <c r="O172" s="77">
        <f t="shared" si="43"/>
        <v>0.47346155549420499</v>
      </c>
      <c r="P172" s="77">
        <f t="shared" si="43"/>
        <v>0.5074056580387355</v>
      </c>
      <c r="Q172" s="77">
        <f t="shared" si="43"/>
        <v>0.48451024286482863</v>
      </c>
      <c r="R172" s="77">
        <f t="shared" si="43"/>
        <v>0.52668690119113815</v>
      </c>
      <c r="S172" s="77">
        <f t="shared" si="43"/>
        <v>0.52843070401395043</v>
      </c>
      <c r="T172" s="77">
        <f t="shared" si="43"/>
        <v>0.53822888962507776</v>
      </c>
      <c r="U172" s="77">
        <f t="shared" si="43"/>
        <v>0.53604197919916829</v>
      </c>
      <c r="V172" s="77">
        <f t="shared" si="43"/>
        <v>0.54657856505158964</v>
      </c>
      <c r="W172" s="77">
        <f t="shared" si="43"/>
        <v>0.53835814496126377</v>
      </c>
      <c r="DA172" s="49"/>
    </row>
    <row r="173" spans="1:105" ht="11.4" customHeight="1" x14ac:dyDescent="0.35">
      <c r="A173" s="61" t="str">
        <f>$A$21</f>
        <v>Rail transport</v>
      </c>
      <c r="B173" s="78">
        <f t="shared" si="43"/>
        <v>6.6263733513208514E-3</v>
      </c>
      <c r="C173" s="78">
        <f t="shared" si="43"/>
        <v>5.945720876185649E-3</v>
      </c>
      <c r="D173" s="78">
        <f t="shared" si="43"/>
        <v>5.1758024760071636E-3</v>
      </c>
      <c r="E173" s="78">
        <f t="shared" si="43"/>
        <v>4.5068645924197931E-3</v>
      </c>
      <c r="F173" s="78">
        <f t="shared" si="43"/>
        <v>4.8252369134902037E-3</v>
      </c>
      <c r="G173" s="78">
        <f t="shared" si="43"/>
        <v>4.2306232048749367E-3</v>
      </c>
      <c r="H173" s="78">
        <f t="shared" si="43"/>
        <v>4.0117944660123328E-3</v>
      </c>
      <c r="I173" s="78">
        <f t="shared" si="43"/>
        <v>3.4893712718505978E-3</v>
      </c>
      <c r="J173" s="78">
        <f t="shared" si="43"/>
        <v>3.3929718511948193E-3</v>
      </c>
      <c r="K173" s="78">
        <f t="shared" si="43"/>
        <v>3.6489031706990285E-3</v>
      </c>
      <c r="L173" s="78">
        <f t="shared" si="43"/>
        <v>4.8282463405963007E-3</v>
      </c>
      <c r="M173" s="78">
        <f t="shared" si="43"/>
        <v>5.9841849709231561E-3</v>
      </c>
      <c r="N173" s="78">
        <f t="shared" si="43"/>
        <v>5.3845958875047301E-3</v>
      </c>
      <c r="O173" s="78">
        <f t="shared" si="43"/>
        <v>5.8461590460896521E-3</v>
      </c>
      <c r="P173" s="78">
        <f t="shared" si="43"/>
        <v>6.4209627393599575E-3</v>
      </c>
      <c r="Q173" s="78">
        <f t="shared" si="43"/>
        <v>6.9285514451898093E-3</v>
      </c>
      <c r="R173" s="78">
        <f t="shared" si="43"/>
        <v>6.5634425389599332E-3</v>
      </c>
      <c r="S173" s="78">
        <f t="shared" si="43"/>
        <v>6.0485753873971574E-3</v>
      </c>
      <c r="T173" s="78">
        <f t="shared" si="43"/>
        <v>5.3377063603569867E-3</v>
      </c>
      <c r="U173" s="78">
        <f t="shared" si="43"/>
        <v>5.1382444271871226E-3</v>
      </c>
      <c r="V173" s="78">
        <f t="shared" si="43"/>
        <v>5.0095143654519366E-3</v>
      </c>
      <c r="W173" s="78">
        <f t="shared" si="43"/>
        <v>3.8173336410723957E-3</v>
      </c>
      <c r="DA173" s="63"/>
    </row>
    <row r="174" spans="1:105" ht="11.4" customHeight="1" x14ac:dyDescent="0.35">
      <c r="A174" s="61" t="str">
        <f>$A$22</f>
        <v>Aviation</v>
      </c>
      <c r="B174" s="78">
        <f t="shared" si="43"/>
        <v>5.1398620248984568E-3</v>
      </c>
      <c r="C174" s="78">
        <f t="shared" si="43"/>
        <v>5.106019948138244E-3</v>
      </c>
      <c r="D174" s="78">
        <f t="shared" si="43"/>
        <v>4.6211472855769258E-3</v>
      </c>
      <c r="E174" s="78">
        <f t="shared" si="43"/>
        <v>3.4534301819954304E-3</v>
      </c>
      <c r="F174" s="78">
        <f t="shared" si="43"/>
        <v>3.7145657296672862E-3</v>
      </c>
      <c r="G174" s="78">
        <f t="shared" si="43"/>
        <v>4.1542972458146346E-3</v>
      </c>
      <c r="H174" s="78">
        <f t="shared" si="43"/>
        <v>4.7736065115152283E-3</v>
      </c>
      <c r="I174" s="78">
        <f t="shared" si="43"/>
        <v>4.5002165060087675E-3</v>
      </c>
      <c r="J174" s="78">
        <f t="shared" si="43"/>
        <v>3.4062977940488834E-2</v>
      </c>
      <c r="K174" s="78">
        <f t="shared" si="43"/>
        <v>2.7326319177112104E-2</v>
      </c>
      <c r="L174" s="78">
        <f t="shared" si="43"/>
        <v>2.9148313949255451E-2</v>
      </c>
      <c r="M174" s="78">
        <f t="shared" si="43"/>
        <v>2.9925837650077093E-2</v>
      </c>
      <c r="N174" s="78">
        <f t="shared" si="43"/>
        <v>3.5139832313188797E-2</v>
      </c>
      <c r="O174" s="78">
        <f t="shared" si="43"/>
        <v>3.0995011227511089E-2</v>
      </c>
      <c r="P174" s="78">
        <f t="shared" si="43"/>
        <v>3.6765506851911177E-2</v>
      </c>
      <c r="Q174" s="78">
        <f t="shared" si="43"/>
        <v>3.3871162636888892E-2</v>
      </c>
      <c r="R174" s="78">
        <f t="shared" si="43"/>
        <v>2.5717898068538952E-2</v>
      </c>
      <c r="S174" s="78">
        <f t="shared" si="43"/>
        <v>2.589921569857994E-2</v>
      </c>
      <c r="T174" s="78">
        <f t="shared" si="43"/>
        <v>1.8923194183712667E-2</v>
      </c>
      <c r="U174" s="78">
        <f t="shared" si="43"/>
        <v>2.2949334464072189E-2</v>
      </c>
      <c r="V174" s="78">
        <f t="shared" si="43"/>
        <v>2.1887307819599307E-2</v>
      </c>
      <c r="W174" s="78">
        <f t="shared" si="43"/>
        <v>2.9753365394716104E-2</v>
      </c>
      <c r="DA174" s="63"/>
    </row>
    <row r="175" spans="1:105" ht="11.4" customHeight="1" x14ac:dyDescent="0.35">
      <c r="A175" s="59" t="s">
        <v>82</v>
      </c>
      <c r="B175" s="77">
        <f t="shared" si="43"/>
        <v>1.6443735924614094E-4</v>
      </c>
      <c r="C175" s="77">
        <f t="shared" si="43"/>
        <v>1.6658690720972215E-4</v>
      </c>
      <c r="D175" s="77">
        <f t="shared" si="43"/>
        <v>1.1955391675881877E-4</v>
      </c>
      <c r="E175" s="77">
        <f t="shared" si="43"/>
        <v>6.4421953367042821E-5</v>
      </c>
      <c r="F175" s="77">
        <f t="shared" si="43"/>
        <v>4.2088587438459449E-5</v>
      </c>
      <c r="G175" s="77">
        <f t="shared" si="43"/>
        <v>5.2058434526331965E-5</v>
      </c>
      <c r="H175" s="77">
        <f t="shared" si="43"/>
        <v>6.1892280973173191E-5</v>
      </c>
      <c r="I175" s="77">
        <f t="shared" si="43"/>
        <v>6.337040374325397E-5</v>
      </c>
      <c r="J175" s="77">
        <f t="shared" si="43"/>
        <v>1.2571881964862686E-4</v>
      </c>
      <c r="K175" s="77">
        <f t="shared" si="43"/>
        <v>1.3028948100984511E-4</v>
      </c>
      <c r="L175" s="77">
        <f t="shared" si="43"/>
        <v>5.7521172095964995E-5</v>
      </c>
      <c r="M175" s="77">
        <f t="shared" si="43"/>
        <v>3.4676717977927916E-5</v>
      </c>
      <c r="N175" s="77">
        <f t="shared" si="43"/>
        <v>3.7872959170948707E-5</v>
      </c>
      <c r="O175" s="77">
        <f t="shared" si="43"/>
        <v>4.0402917233892027E-5</v>
      </c>
      <c r="P175" s="77">
        <f t="shared" si="43"/>
        <v>3.7673090817033672E-5</v>
      </c>
      <c r="Q175" s="77">
        <f t="shared" si="43"/>
        <v>3.1869955753689417E-5</v>
      </c>
      <c r="R175" s="77">
        <f t="shared" si="43"/>
        <v>7.2730469852364367E-6</v>
      </c>
      <c r="S175" s="77">
        <f t="shared" si="43"/>
        <v>1.1853256098356336E-5</v>
      </c>
      <c r="T175" s="77">
        <f t="shared" si="43"/>
        <v>1.4684044840474042E-5</v>
      </c>
      <c r="U175" s="77">
        <f t="shared" si="43"/>
        <v>1.2787913359091887E-5</v>
      </c>
      <c r="V175" s="77">
        <f t="shared" si="43"/>
        <v>1.6686328269122103E-5</v>
      </c>
      <c r="W175" s="77">
        <f t="shared" si="43"/>
        <v>2.6726683383821399E-5</v>
      </c>
      <c r="DA175" s="49"/>
    </row>
    <row r="176" spans="1:105" ht="11.4" customHeight="1" x14ac:dyDescent="0.35">
      <c r="A176" s="59" t="str">
        <f>$A$24</f>
        <v>International - Intra-EEAwUK</v>
      </c>
      <c r="B176" s="77">
        <f t="shared" si="43"/>
        <v>4.5113317671321837E-3</v>
      </c>
      <c r="C176" s="77">
        <f t="shared" si="43"/>
        <v>4.4713313942940213E-3</v>
      </c>
      <c r="D176" s="77">
        <f t="shared" si="43"/>
        <v>3.9863269919545377E-3</v>
      </c>
      <c r="E176" s="77">
        <f t="shared" si="43"/>
        <v>2.8329331587643326E-3</v>
      </c>
      <c r="F176" s="77">
        <f t="shared" si="43"/>
        <v>3.1216779120797284E-3</v>
      </c>
      <c r="G176" s="77">
        <f t="shared" si="43"/>
        <v>3.733584957619883E-3</v>
      </c>
      <c r="H176" s="77">
        <f t="shared" si="43"/>
        <v>4.5327192232661566E-3</v>
      </c>
      <c r="I176" s="77">
        <f t="shared" si="43"/>
        <v>4.2203199118484467E-3</v>
      </c>
      <c r="J176" s="77">
        <f t="shared" si="43"/>
        <v>8.7018519569585506E-3</v>
      </c>
      <c r="K176" s="77">
        <f t="shared" si="43"/>
        <v>6.3201488343192754E-3</v>
      </c>
      <c r="L176" s="77">
        <f t="shared" si="43"/>
        <v>4.3604318479215608E-3</v>
      </c>
      <c r="M176" s="77">
        <f t="shared" si="43"/>
        <v>4.564336651417286E-3</v>
      </c>
      <c r="N176" s="77">
        <f t="shared" si="43"/>
        <v>4.4977085797202583E-3</v>
      </c>
      <c r="O176" s="77">
        <f t="shared" si="43"/>
        <v>3.8470539349728531E-3</v>
      </c>
      <c r="P176" s="77">
        <f t="shared" si="43"/>
        <v>6.4106402349380113E-3</v>
      </c>
      <c r="Q176" s="77">
        <f t="shared" si="43"/>
        <v>6.4861416979040938E-3</v>
      </c>
      <c r="R176" s="77">
        <f t="shared" si="43"/>
        <v>5.066345330368368E-3</v>
      </c>
      <c r="S176" s="77">
        <f t="shared" si="43"/>
        <v>6.1745963769273722E-3</v>
      </c>
      <c r="T176" s="77">
        <f t="shared" si="43"/>
        <v>6.1676519047581023E-3</v>
      </c>
      <c r="U176" s="77">
        <f t="shared" si="43"/>
        <v>7.4002735622169542E-3</v>
      </c>
      <c r="V176" s="77">
        <f t="shared" si="43"/>
        <v>7.3997160518925404E-3</v>
      </c>
      <c r="W176" s="77">
        <f t="shared" si="43"/>
        <v>1.0230974937402876E-2</v>
      </c>
      <c r="DA176" s="49"/>
    </row>
    <row r="177" spans="1:105" ht="11.4" customHeight="1" x14ac:dyDescent="0.35">
      <c r="A177" s="59" t="str">
        <f>$A$25</f>
        <v>International - Extra-EEAwUK</v>
      </c>
      <c r="B177" s="77">
        <f t="shared" si="43"/>
        <v>4.6409289852013171E-4</v>
      </c>
      <c r="C177" s="77">
        <f t="shared" si="43"/>
        <v>4.6810164663450138E-4</v>
      </c>
      <c r="D177" s="77">
        <f t="shared" si="43"/>
        <v>5.1526637686356987E-4</v>
      </c>
      <c r="E177" s="77">
        <f t="shared" si="43"/>
        <v>5.5607506986405503E-4</v>
      </c>
      <c r="F177" s="77">
        <f t="shared" si="43"/>
        <v>5.5079923014909893E-4</v>
      </c>
      <c r="G177" s="77">
        <f t="shared" si="43"/>
        <v>3.6865385366841974E-4</v>
      </c>
      <c r="H177" s="77">
        <f t="shared" si="43"/>
        <v>1.789950072758983E-4</v>
      </c>
      <c r="I177" s="77">
        <f t="shared" si="43"/>
        <v>2.1652619041706632E-4</v>
      </c>
      <c r="J177" s="77">
        <f t="shared" si="43"/>
        <v>2.5235407163881653E-2</v>
      </c>
      <c r="K177" s="77">
        <f t="shared" si="43"/>
        <v>2.0875880861782985E-2</v>
      </c>
      <c r="L177" s="77">
        <f t="shared" si="43"/>
        <v>2.4730360929237923E-2</v>
      </c>
      <c r="M177" s="77">
        <f t="shared" si="43"/>
        <v>2.5326824280681875E-2</v>
      </c>
      <c r="N177" s="77">
        <f t="shared" si="43"/>
        <v>3.0604250774297591E-2</v>
      </c>
      <c r="O177" s="77">
        <f t="shared" si="43"/>
        <v>2.7107554375304346E-2</v>
      </c>
      <c r="P177" s="77">
        <f t="shared" si="43"/>
        <v>3.0317193526156132E-2</v>
      </c>
      <c r="Q177" s="77">
        <f t="shared" si="43"/>
        <v>2.7353150983231107E-2</v>
      </c>
      <c r="R177" s="77">
        <f t="shared" si="43"/>
        <v>2.0644279691185343E-2</v>
      </c>
      <c r="S177" s="77">
        <f t="shared" si="43"/>
        <v>1.9712766065554211E-2</v>
      </c>
      <c r="T177" s="77">
        <f t="shared" si="43"/>
        <v>1.2740858234114092E-2</v>
      </c>
      <c r="U177" s="77">
        <f t="shared" si="43"/>
        <v>1.5536272988496143E-2</v>
      </c>
      <c r="V177" s="77">
        <f t="shared" si="43"/>
        <v>1.4470905439437643E-2</v>
      </c>
      <c r="W177" s="77">
        <f t="shared" si="43"/>
        <v>1.9495663773929407E-2</v>
      </c>
      <c r="DA177" s="49"/>
    </row>
    <row r="178" spans="1:105" ht="11.4" customHeight="1" x14ac:dyDescent="0.35">
      <c r="A178" s="61" t="s">
        <v>99</v>
      </c>
      <c r="B178" s="78">
        <f t="shared" si="43"/>
        <v>0.11213780084230258</v>
      </c>
      <c r="C178" s="78">
        <f t="shared" si="43"/>
        <v>0.11126334288042267</v>
      </c>
      <c r="D178" s="78">
        <f t="shared" si="43"/>
        <v>0.12210264096322139</v>
      </c>
      <c r="E178" s="78">
        <f t="shared" si="43"/>
        <v>0.11305635344922464</v>
      </c>
      <c r="F178" s="78">
        <f t="shared" si="43"/>
        <v>9.4615004716163673E-2</v>
      </c>
      <c r="G178" s="78">
        <f t="shared" si="43"/>
        <v>0.10634870988948794</v>
      </c>
      <c r="H178" s="78">
        <f t="shared" si="43"/>
        <v>9.2725646457689728E-2</v>
      </c>
      <c r="I178" s="78">
        <f t="shared" si="43"/>
        <v>7.8238604936634995E-2</v>
      </c>
      <c r="J178" s="78">
        <f t="shared" si="43"/>
        <v>9.9384094456698852E-2</v>
      </c>
      <c r="K178" s="78">
        <f t="shared" si="43"/>
        <v>0.10431512142186904</v>
      </c>
      <c r="L178" s="78">
        <f t="shared" si="43"/>
        <v>9.1900113746450102E-2</v>
      </c>
      <c r="M178" s="78">
        <f t="shared" si="43"/>
        <v>9.6422403766279252E-2</v>
      </c>
      <c r="N178" s="78">
        <f t="shared" si="43"/>
        <v>0.10443639181659786</v>
      </c>
      <c r="O178" s="78">
        <f t="shared" si="43"/>
        <v>0.1099961976099223</v>
      </c>
      <c r="P178" s="78">
        <f t="shared" si="43"/>
        <v>8.778777345644348E-2</v>
      </c>
      <c r="Q178" s="78">
        <f t="shared" si="43"/>
        <v>0.10132130301387247</v>
      </c>
      <c r="R178" s="78">
        <f t="shared" si="43"/>
        <v>8.4374597126923342E-2</v>
      </c>
      <c r="S178" s="78">
        <f t="shared" si="43"/>
        <v>8.0372771517932123E-2</v>
      </c>
      <c r="T178" s="78">
        <f t="shared" si="43"/>
        <v>8.1814642886806344E-2</v>
      </c>
      <c r="U178" s="78">
        <f t="shared" si="43"/>
        <v>8.8400535178768419E-2</v>
      </c>
      <c r="V178" s="78">
        <f t="shared" si="43"/>
        <v>8.9725662182337934E-2</v>
      </c>
      <c r="W178" s="78">
        <f t="shared" si="43"/>
        <v>0.10009027337717695</v>
      </c>
      <c r="DA178" s="63"/>
    </row>
    <row r="179" spans="1:105" ht="11.4" customHeight="1" x14ac:dyDescent="0.35">
      <c r="A179" s="59" t="str">
        <f>$A$27</f>
        <v>Domestic coastal shipping</v>
      </c>
      <c r="B179" s="77">
        <f t="shared" si="43"/>
        <v>0.11213780084230258</v>
      </c>
      <c r="C179" s="77">
        <f t="shared" si="43"/>
        <v>0.11126334288042267</v>
      </c>
      <c r="D179" s="77">
        <f t="shared" si="43"/>
        <v>0.12210264096322139</v>
      </c>
      <c r="E179" s="77">
        <f t="shared" si="43"/>
        <v>0.11305635344922464</v>
      </c>
      <c r="F179" s="77">
        <f t="shared" si="43"/>
        <v>9.4615004716163673E-2</v>
      </c>
      <c r="G179" s="77">
        <f t="shared" si="43"/>
        <v>0.10634870988948794</v>
      </c>
      <c r="H179" s="77">
        <f t="shared" si="43"/>
        <v>9.2725646457689728E-2</v>
      </c>
      <c r="I179" s="77">
        <f t="shared" si="43"/>
        <v>7.8238604936634995E-2</v>
      </c>
      <c r="J179" s="77">
        <f t="shared" si="43"/>
        <v>9.9384094456698852E-2</v>
      </c>
      <c r="K179" s="77">
        <f t="shared" si="43"/>
        <v>0.10431512142186904</v>
      </c>
      <c r="L179" s="77">
        <f t="shared" si="43"/>
        <v>9.1900113746450102E-2</v>
      </c>
      <c r="M179" s="77">
        <f t="shared" si="43"/>
        <v>9.6422403766279252E-2</v>
      </c>
      <c r="N179" s="77">
        <f t="shared" si="43"/>
        <v>0.10443639181659786</v>
      </c>
      <c r="O179" s="77">
        <f t="shared" si="43"/>
        <v>0.1099961976099223</v>
      </c>
      <c r="P179" s="77">
        <f t="shared" si="43"/>
        <v>8.778777345644348E-2</v>
      </c>
      <c r="Q179" s="77">
        <f t="shared" si="43"/>
        <v>0.10132130301387247</v>
      </c>
      <c r="R179" s="77">
        <f t="shared" si="43"/>
        <v>8.4374597126923342E-2</v>
      </c>
      <c r="S179" s="77">
        <f t="shared" si="43"/>
        <v>8.0372771517932123E-2</v>
      </c>
      <c r="T179" s="77">
        <f t="shared" si="43"/>
        <v>8.1814642886806344E-2</v>
      </c>
      <c r="U179" s="77">
        <f t="shared" si="43"/>
        <v>8.8400535178768419E-2</v>
      </c>
      <c r="V179" s="77">
        <f t="shared" si="43"/>
        <v>8.9725662182337934E-2</v>
      </c>
      <c r="W179" s="77">
        <f t="shared" si="43"/>
        <v>0.10009027337717695</v>
      </c>
      <c r="DA179" s="49"/>
    </row>
    <row r="180" spans="1:105" ht="11.4" customHeight="1" x14ac:dyDescent="0.35">
      <c r="A180" s="67" t="str">
        <f>$A$28</f>
        <v>Inland waterways</v>
      </c>
      <c r="B180" s="79">
        <f t="shared" si="43"/>
        <v>0</v>
      </c>
      <c r="C180" s="79">
        <f t="shared" si="43"/>
        <v>0</v>
      </c>
      <c r="D180" s="79">
        <f t="shared" si="43"/>
        <v>0</v>
      </c>
      <c r="E180" s="79">
        <f t="shared" si="43"/>
        <v>0</v>
      </c>
      <c r="F180" s="79">
        <f t="shared" si="43"/>
        <v>0</v>
      </c>
      <c r="G180" s="79">
        <f t="shared" si="43"/>
        <v>0</v>
      </c>
      <c r="H180" s="79">
        <f t="shared" si="43"/>
        <v>0</v>
      </c>
      <c r="I180" s="79">
        <f t="shared" si="43"/>
        <v>0</v>
      </c>
      <c r="J180" s="79">
        <f t="shared" si="43"/>
        <v>0</v>
      </c>
      <c r="K180" s="79">
        <f t="shared" si="43"/>
        <v>0</v>
      </c>
      <c r="L180" s="79">
        <f t="shared" si="43"/>
        <v>0</v>
      </c>
      <c r="M180" s="79">
        <f t="shared" si="43"/>
        <v>0</v>
      </c>
      <c r="N180" s="79">
        <f t="shared" si="43"/>
        <v>0</v>
      </c>
      <c r="O180" s="79">
        <f t="shared" ref="O180:W180" si="44">IF(O88=0,0,O88/O$77)</f>
        <v>0</v>
      </c>
      <c r="P180" s="79">
        <f t="shared" si="44"/>
        <v>0</v>
      </c>
      <c r="Q180" s="79">
        <f t="shared" si="44"/>
        <v>0</v>
      </c>
      <c r="R180" s="79">
        <f t="shared" si="44"/>
        <v>0</v>
      </c>
      <c r="S180" s="79">
        <f t="shared" si="44"/>
        <v>0</v>
      </c>
      <c r="T180" s="79">
        <f t="shared" si="44"/>
        <v>0</v>
      </c>
      <c r="U180" s="79">
        <f t="shared" si="44"/>
        <v>0</v>
      </c>
      <c r="V180" s="79">
        <f t="shared" si="44"/>
        <v>0</v>
      </c>
      <c r="W180" s="79">
        <f t="shared" si="44"/>
        <v>0</v>
      </c>
      <c r="DA180" s="69"/>
    </row>
    <row r="181" spans="1:105" ht="11.4" customHeight="1" x14ac:dyDescent="0.35">
      <c r="A181" s="53" t="s">
        <v>134</v>
      </c>
      <c r="B181" s="75">
        <f>IF(B89=0,0,B89/B$89)</f>
        <v>1</v>
      </c>
      <c r="C181" s="75">
        <f t="shared" ref="C181:W183" si="45">IF(C89=0,0,C89/C$89)</f>
        <v>1</v>
      </c>
      <c r="D181" s="75">
        <f t="shared" si="45"/>
        <v>1</v>
      </c>
      <c r="E181" s="75">
        <f t="shared" si="45"/>
        <v>1</v>
      </c>
      <c r="F181" s="75">
        <f t="shared" si="45"/>
        <v>1</v>
      </c>
      <c r="G181" s="75">
        <f t="shared" si="45"/>
        <v>1</v>
      </c>
      <c r="H181" s="75">
        <f t="shared" si="45"/>
        <v>1</v>
      </c>
      <c r="I181" s="75">
        <f t="shared" si="45"/>
        <v>1</v>
      </c>
      <c r="J181" s="75">
        <f t="shared" si="45"/>
        <v>1</v>
      </c>
      <c r="K181" s="75">
        <f t="shared" si="45"/>
        <v>1</v>
      </c>
      <c r="L181" s="75">
        <f t="shared" si="45"/>
        <v>1</v>
      </c>
      <c r="M181" s="75">
        <f t="shared" si="45"/>
        <v>1</v>
      </c>
      <c r="N181" s="75">
        <f t="shared" si="45"/>
        <v>1</v>
      </c>
      <c r="O181" s="75">
        <f t="shared" si="45"/>
        <v>1</v>
      </c>
      <c r="P181" s="75">
        <f t="shared" si="45"/>
        <v>1</v>
      </c>
      <c r="Q181" s="75">
        <f t="shared" si="45"/>
        <v>1</v>
      </c>
      <c r="R181" s="75">
        <f t="shared" si="45"/>
        <v>1</v>
      </c>
      <c r="S181" s="75">
        <f t="shared" si="45"/>
        <v>1</v>
      </c>
      <c r="T181" s="75">
        <f t="shared" si="45"/>
        <v>1</v>
      </c>
      <c r="U181" s="75">
        <f t="shared" si="45"/>
        <v>1</v>
      </c>
      <c r="V181" s="75">
        <f t="shared" si="45"/>
        <v>1</v>
      </c>
      <c r="W181" s="75">
        <f t="shared" si="45"/>
        <v>1</v>
      </c>
      <c r="DA181" s="55"/>
    </row>
    <row r="182" spans="1:105" ht="11.4" customHeight="1" x14ac:dyDescent="0.35">
      <c r="A182" s="59" t="str">
        <f>$A$30</f>
        <v>Intra-EEA</v>
      </c>
      <c r="B182" s="77">
        <f>IF(B90=0,0,B90/B$89)</f>
        <v>0.42268076623215639</v>
      </c>
      <c r="C182" s="77">
        <f t="shared" si="45"/>
        <v>0.42182251414313304</v>
      </c>
      <c r="D182" s="77">
        <f t="shared" si="45"/>
        <v>0.42980526005975378</v>
      </c>
      <c r="E182" s="77">
        <f t="shared" si="45"/>
        <v>0.4094594213961843</v>
      </c>
      <c r="F182" s="77">
        <f t="shared" si="45"/>
        <v>0.44046937891105037</v>
      </c>
      <c r="G182" s="77">
        <f t="shared" si="45"/>
        <v>0.44816561118843556</v>
      </c>
      <c r="H182" s="77">
        <f t="shared" si="45"/>
        <v>0.40502454636957896</v>
      </c>
      <c r="I182" s="77">
        <f t="shared" si="45"/>
        <v>0.41773361258816749</v>
      </c>
      <c r="J182" s="77">
        <f t="shared" si="45"/>
        <v>0.42098743461140981</v>
      </c>
      <c r="K182" s="77">
        <f t="shared" si="45"/>
        <v>0.42077670074667783</v>
      </c>
      <c r="L182" s="77">
        <f t="shared" si="45"/>
        <v>0.44535160316148742</v>
      </c>
      <c r="M182" s="77">
        <f t="shared" si="45"/>
        <v>0.40465480365243978</v>
      </c>
      <c r="N182" s="77">
        <f t="shared" si="45"/>
        <v>0.44933308168564706</v>
      </c>
      <c r="O182" s="77">
        <f t="shared" si="45"/>
        <v>0.47457644468336607</v>
      </c>
      <c r="P182" s="77">
        <f t="shared" si="45"/>
        <v>0.45000198939582048</v>
      </c>
      <c r="Q182" s="77">
        <f t="shared" si="45"/>
        <v>0.42371170430506189</v>
      </c>
      <c r="R182" s="77">
        <f t="shared" si="45"/>
        <v>0.42248480000227684</v>
      </c>
      <c r="S182" s="77">
        <f t="shared" si="45"/>
        <v>0.42863895386672446</v>
      </c>
      <c r="T182" s="77">
        <f t="shared" si="45"/>
        <v>0.41831171194828948</v>
      </c>
      <c r="U182" s="77">
        <f t="shared" si="45"/>
        <v>0.41129073122923143</v>
      </c>
      <c r="V182" s="77">
        <f t="shared" si="45"/>
        <v>0.3696869459639805</v>
      </c>
      <c r="W182" s="77">
        <f t="shared" si="45"/>
        <v>0.36405921523972151</v>
      </c>
      <c r="DA182" s="49"/>
    </row>
    <row r="183" spans="1:105" ht="11.4" customHeight="1" x14ac:dyDescent="0.35">
      <c r="A183" s="67" t="str">
        <f>$A$31</f>
        <v>Extra-EEA</v>
      </c>
      <c r="B183" s="79">
        <f>IF(B91=0,0,B91/B$89)</f>
        <v>0.57731923376784366</v>
      </c>
      <c r="C183" s="79">
        <f t="shared" si="45"/>
        <v>0.57817748585686701</v>
      </c>
      <c r="D183" s="79">
        <f t="shared" si="45"/>
        <v>0.57019473994024628</v>
      </c>
      <c r="E183" s="79">
        <f t="shared" si="45"/>
        <v>0.59054057860381581</v>
      </c>
      <c r="F183" s="79">
        <f t="shared" si="45"/>
        <v>0.55953062108894969</v>
      </c>
      <c r="G183" s="79">
        <f t="shared" si="45"/>
        <v>0.55183438881156455</v>
      </c>
      <c r="H183" s="79">
        <f t="shared" si="45"/>
        <v>0.59497545363042104</v>
      </c>
      <c r="I183" s="79">
        <f t="shared" si="45"/>
        <v>0.58226638741183256</v>
      </c>
      <c r="J183" s="79">
        <f t="shared" si="45"/>
        <v>0.57901256538859014</v>
      </c>
      <c r="K183" s="79">
        <f t="shared" si="45"/>
        <v>0.57922329925332228</v>
      </c>
      <c r="L183" s="79">
        <f t="shared" si="45"/>
        <v>0.55464839683851264</v>
      </c>
      <c r="M183" s="79">
        <f t="shared" si="45"/>
        <v>0.59534519634756022</v>
      </c>
      <c r="N183" s="79">
        <f t="shared" si="45"/>
        <v>0.55066691831435288</v>
      </c>
      <c r="O183" s="79">
        <f t="shared" si="45"/>
        <v>0.52542355531663398</v>
      </c>
      <c r="P183" s="79">
        <f t="shared" si="45"/>
        <v>0.54999801060417952</v>
      </c>
      <c r="Q183" s="79">
        <f t="shared" si="45"/>
        <v>0.57628829569493811</v>
      </c>
      <c r="R183" s="79">
        <f t="shared" si="45"/>
        <v>0.57751519999772327</v>
      </c>
      <c r="S183" s="79">
        <f t="shared" si="45"/>
        <v>0.57136104613327554</v>
      </c>
      <c r="T183" s="79">
        <f t="shared" si="45"/>
        <v>0.58168828805171058</v>
      </c>
      <c r="U183" s="79">
        <f t="shared" si="45"/>
        <v>0.58870926877076857</v>
      </c>
      <c r="V183" s="79">
        <f t="shared" si="45"/>
        <v>0.63031305403601956</v>
      </c>
      <c r="W183" s="79">
        <f t="shared" si="45"/>
        <v>0.63594078476027838</v>
      </c>
      <c r="DA183" s="69"/>
    </row>
    <row r="184" spans="1:105" x14ac:dyDescent="0.3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DA184" s="49"/>
    </row>
    <row r="185" spans="1:105" ht="11.4" customHeight="1" x14ac:dyDescent="0.35">
      <c r="A185" s="50" t="s">
        <v>172</v>
      </c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DA185" s="52"/>
    </row>
    <row r="186" spans="1:105" ht="11.4" customHeight="1" x14ac:dyDescent="0.35">
      <c r="A186" s="53" t="s">
        <v>173</v>
      </c>
      <c r="B186" s="81">
        <f t="shared" ref="B186:W197" si="46">IF(B34=0,0,B34/B4*1000)</f>
        <v>40.873410354494972</v>
      </c>
      <c r="C186" s="81">
        <f t="shared" si="46"/>
        <v>40.72433163998847</v>
      </c>
      <c r="D186" s="81">
        <f t="shared" si="46"/>
        <v>39.770954135727735</v>
      </c>
      <c r="E186" s="81">
        <f t="shared" si="46"/>
        <v>40.737233417201587</v>
      </c>
      <c r="F186" s="81">
        <f t="shared" si="46"/>
        <v>40.784113902960719</v>
      </c>
      <c r="G186" s="81">
        <f t="shared" si="46"/>
        <v>41.160481853207486</v>
      </c>
      <c r="H186" s="81">
        <f t="shared" si="46"/>
        <v>41.251714857610501</v>
      </c>
      <c r="I186" s="81">
        <f t="shared" si="46"/>
        <v>42.385467069246396</v>
      </c>
      <c r="J186" s="81">
        <f t="shared" si="46"/>
        <v>41.463229641565576</v>
      </c>
      <c r="K186" s="81">
        <f t="shared" si="46"/>
        <v>40.449705354633373</v>
      </c>
      <c r="L186" s="81">
        <f t="shared" si="46"/>
        <v>39.825474963423908</v>
      </c>
      <c r="M186" s="81">
        <f t="shared" si="46"/>
        <v>40.036026542404556</v>
      </c>
      <c r="N186" s="81">
        <f t="shared" si="46"/>
        <v>38.050443587028305</v>
      </c>
      <c r="O186" s="81">
        <f t="shared" si="46"/>
        <v>37.245315872250139</v>
      </c>
      <c r="P186" s="81">
        <f t="shared" si="46"/>
        <v>37.104746782282469</v>
      </c>
      <c r="Q186" s="81">
        <f t="shared" si="46"/>
        <v>37.708270190588934</v>
      </c>
      <c r="R186" s="81">
        <f t="shared" si="46"/>
        <v>36.637057524434255</v>
      </c>
      <c r="S186" s="81">
        <f t="shared" si="46"/>
        <v>35.959337932656616</v>
      </c>
      <c r="T186" s="81">
        <f t="shared" si="46"/>
        <v>36.018834909145184</v>
      </c>
      <c r="U186" s="81">
        <f t="shared" si="46"/>
        <v>35.693956492297822</v>
      </c>
      <c r="V186" s="81">
        <f t="shared" si="46"/>
        <v>38.15286065016214</v>
      </c>
      <c r="W186" s="81">
        <f t="shared" si="46"/>
        <v>38.233718849464026</v>
      </c>
      <c r="DA186" s="55" t="s">
        <v>174</v>
      </c>
    </row>
    <row r="187" spans="1:105" ht="11.4" customHeight="1" x14ac:dyDescent="0.35">
      <c r="A187" s="56" t="str">
        <f>$A$5</f>
        <v>Road transport</v>
      </c>
      <c r="B187" s="82">
        <f t="shared" si="46"/>
        <v>40.82081835223655</v>
      </c>
      <c r="C187" s="82">
        <f t="shared" si="46"/>
        <v>41.008747552316244</v>
      </c>
      <c r="D187" s="82">
        <f t="shared" si="46"/>
        <v>41.591600741948845</v>
      </c>
      <c r="E187" s="82">
        <f t="shared" si="46"/>
        <v>42.207685934555137</v>
      </c>
      <c r="F187" s="82">
        <f t="shared" si="46"/>
        <v>41.796065352156056</v>
      </c>
      <c r="G187" s="82">
        <f t="shared" si="46"/>
        <v>42.548928287605278</v>
      </c>
      <c r="H187" s="82">
        <f t="shared" si="46"/>
        <v>43.169257456416837</v>
      </c>
      <c r="I187" s="82">
        <f t="shared" si="46"/>
        <v>44.382693142665772</v>
      </c>
      <c r="J187" s="82">
        <f t="shared" si="46"/>
        <v>43.664344567208786</v>
      </c>
      <c r="K187" s="82">
        <f t="shared" si="46"/>
        <v>42.892877384864107</v>
      </c>
      <c r="L187" s="82">
        <f t="shared" si="46"/>
        <v>42.874777303566049</v>
      </c>
      <c r="M187" s="82">
        <f t="shared" si="46"/>
        <v>43.149461110926111</v>
      </c>
      <c r="N187" s="82">
        <f t="shared" si="46"/>
        <v>41.097711288604863</v>
      </c>
      <c r="O187" s="82">
        <f t="shared" si="46"/>
        <v>40.605670225531455</v>
      </c>
      <c r="P187" s="82">
        <f t="shared" si="46"/>
        <v>40.217867713231321</v>
      </c>
      <c r="Q187" s="82">
        <f t="shared" si="46"/>
        <v>41.524865608128259</v>
      </c>
      <c r="R187" s="82">
        <f t="shared" si="46"/>
        <v>39.696979041776423</v>
      </c>
      <c r="S187" s="82">
        <f t="shared" si="46"/>
        <v>38.751568043348414</v>
      </c>
      <c r="T187" s="82">
        <f t="shared" si="46"/>
        <v>38.964256681518378</v>
      </c>
      <c r="U187" s="82">
        <f t="shared" si="46"/>
        <v>38.032189828130967</v>
      </c>
      <c r="V187" s="82">
        <f t="shared" si="46"/>
        <v>38.570487798122244</v>
      </c>
      <c r="W187" s="82">
        <f t="shared" si="46"/>
        <v>38.592262826378125</v>
      </c>
      <c r="DA187" s="58" t="s">
        <v>175</v>
      </c>
    </row>
    <row r="188" spans="1:105" ht="11.4" customHeight="1" x14ac:dyDescent="0.35">
      <c r="A188" s="59" t="str">
        <f>$A$6</f>
        <v>Powered two-wheelers</v>
      </c>
      <c r="B188" s="83">
        <f t="shared" si="46"/>
        <v>38.354519222813934</v>
      </c>
      <c r="C188" s="83">
        <f t="shared" si="46"/>
        <v>38.068913749628017</v>
      </c>
      <c r="D188" s="83">
        <f t="shared" si="46"/>
        <v>37.856243681496359</v>
      </c>
      <c r="E188" s="83">
        <f t="shared" si="46"/>
        <v>37.725275183426866</v>
      </c>
      <c r="F188" s="83">
        <f t="shared" si="46"/>
        <v>37.378615050449795</v>
      </c>
      <c r="G188" s="83">
        <f t="shared" si="46"/>
        <v>36.799902537972478</v>
      </c>
      <c r="H188" s="83">
        <f t="shared" si="46"/>
        <v>36.275836811754438</v>
      </c>
      <c r="I188" s="83">
        <f t="shared" si="46"/>
        <v>35.70199948982826</v>
      </c>
      <c r="J188" s="83">
        <f t="shared" si="46"/>
        <v>35.287256474927204</v>
      </c>
      <c r="K188" s="83">
        <f t="shared" si="46"/>
        <v>34.953664686810711</v>
      </c>
      <c r="L188" s="83">
        <f t="shared" si="46"/>
        <v>34.720832114520228</v>
      </c>
      <c r="M188" s="83">
        <f t="shared" si="46"/>
        <v>34.570151858855262</v>
      </c>
      <c r="N188" s="83">
        <f t="shared" si="46"/>
        <v>34.640049308363331</v>
      </c>
      <c r="O188" s="83">
        <f t="shared" si="46"/>
        <v>34.311009107761308</v>
      </c>
      <c r="P188" s="83">
        <f t="shared" si="46"/>
        <v>34.075221434517914</v>
      </c>
      <c r="Q188" s="83">
        <f t="shared" si="46"/>
        <v>33.800450720501807</v>
      </c>
      <c r="R188" s="83">
        <f t="shared" si="46"/>
        <v>33.647622816870651</v>
      </c>
      <c r="S188" s="83">
        <f t="shared" si="46"/>
        <v>33.319799008537913</v>
      </c>
      <c r="T188" s="83">
        <f t="shared" si="46"/>
        <v>33.095601439837495</v>
      </c>
      <c r="U188" s="83">
        <f t="shared" si="46"/>
        <v>32.625312607430338</v>
      </c>
      <c r="V188" s="83">
        <f t="shared" si="46"/>
        <v>32.445855421536827</v>
      </c>
      <c r="W188" s="83">
        <f t="shared" si="46"/>
        <v>31.061866898904245</v>
      </c>
      <c r="DA188" s="49" t="s">
        <v>176</v>
      </c>
    </row>
    <row r="189" spans="1:105" ht="11.4" customHeight="1" x14ac:dyDescent="0.35">
      <c r="A189" s="59" t="str">
        <f>$A$7</f>
        <v>Passenger cars</v>
      </c>
      <c r="B189" s="83">
        <f t="shared" si="46"/>
        <v>40.042929960528774</v>
      </c>
      <c r="C189" s="83">
        <f t="shared" si="46"/>
        <v>40.369472946135154</v>
      </c>
      <c r="D189" s="83">
        <f t="shared" si="46"/>
        <v>41.184354930477781</v>
      </c>
      <c r="E189" s="83">
        <f t="shared" si="46"/>
        <v>41.799006763641074</v>
      </c>
      <c r="F189" s="83">
        <f t="shared" si="46"/>
        <v>41.470514702611489</v>
      </c>
      <c r="G189" s="83">
        <f t="shared" si="46"/>
        <v>42.176316964376895</v>
      </c>
      <c r="H189" s="83">
        <f t="shared" si="46"/>
        <v>42.758504512064434</v>
      </c>
      <c r="I189" s="83">
        <f t="shared" si="46"/>
        <v>44.070869065952436</v>
      </c>
      <c r="J189" s="83">
        <f t="shared" si="46"/>
        <v>43.074246394352187</v>
      </c>
      <c r="K189" s="83">
        <f t="shared" si="46"/>
        <v>42.090972281698797</v>
      </c>
      <c r="L189" s="83">
        <f t="shared" si="46"/>
        <v>42.001001778291737</v>
      </c>
      <c r="M189" s="83">
        <f t="shared" si="46"/>
        <v>42.368000164401337</v>
      </c>
      <c r="N189" s="83">
        <f t="shared" si="46"/>
        <v>40.243512698790177</v>
      </c>
      <c r="O189" s="83">
        <f t="shared" si="46"/>
        <v>39.933083841176618</v>
      </c>
      <c r="P189" s="83">
        <f t="shared" si="46"/>
        <v>39.374090444468472</v>
      </c>
      <c r="Q189" s="83">
        <f t="shared" si="46"/>
        <v>40.963977194020643</v>
      </c>
      <c r="R189" s="83">
        <f t="shared" si="46"/>
        <v>38.869642315551744</v>
      </c>
      <c r="S189" s="83">
        <f t="shared" si="46"/>
        <v>37.69903755230429</v>
      </c>
      <c r="T189" s="83">
        <f t="shared" si="46"/>
        <v>37.842773529939478</v>
      </c>
      <c r="U189" s="83">
        <f t="shared" si="46"/>
        <v>36.841010527583428</v>
      </c>
      <c r="V189" s="83">
        <f t="shared" si="46"/>
        <v>35.822812758865666</v>
      </c>
      <c r="W189" s="83">
        <f t="shared" si="46"/>
        <v>36.064056790404855</v>
      </c>
      <c r="DA189" s="49" t="s">
        <v>177</v>
      </c>
    </row>
    <row r="190" spans="1:105" ht="11.4" customHeight="1" x14ac:dyDescent="0.35">
      <c r="A190" s="59" t="str">
        <f>$A$8</f>
        <v>Motor coaches, buses and trolley buses</v>
      </c>
      <c r="B190" s="83">
        <f t="shared" si="46"/>
        <v>46.334049474017476</v>
      </c>
      <c r="C190" s="83">
        <f t="shared" si="46"/>
        <v>45.57033099954014</v>
      </c>
      <c r="D190" s="83">
        <f t="shared" si="46"/>
        <v>44.664671077209327</v>
      </c>
      <c r="E190" s="83">
        <f t="shared" si="46"/>
        <v>45.380327121920146</v>
      </c>
      <c r="F190" s="83">
        <f t="shared" si="46"/>
        <v>44.423250438677741</v>
      </c>
      <c r="G190" s="83">
        <f t="shared" si="46"/>
        <v>45.641816186024215</v>
      </c>
      <c r="H190" s="83">
        <f t="shared" si="46"/>
        <v>46.71083917064739</v>
      </c>
      <c r="I190" s="83">
        <f t="shared" si="46"/>
        <v>47.596894213404028</v>
      </c>
      <c r="J190" s="83">
        <f t="shared" si="46"/>
        <v>49.055981633638751</v>
      </c>
      <c r="K190" s="83">
        <f t="shared" si="46"/>
        <v>49.868172697491239</v>
      </c>
      <c r="L190" s="83">
        <f t="shared" si="46"/>
        <v>50.317462840215725</v>
      </c>
      <c r="M190" s="83">
        <f t="shared" si="46"/>
        <v>50.227548816381876</v>
      </c>
      <c r="N190" s="83">
        <f t="shared" si="46"/>
        <v>48.737156369960481</v>
      </c>
      <c r="O190" s="83">
        <f t="shared" si="46"/>
        <v>46.782179012023676</v>
      </c>
      <c r="P190" s="83">
        <f t="shared" si="46"/>
        <v>47.879272042189605</v>
      </c>
      <c r="Q190" s="83">
        <f t="shared" si="46"/>
        <v>46.980286069468384</v>
      </c>
      <c r="R190" s="83">
        <f t="shared" si="46"/>
        <v>47.216028232778299</v>
      </c>
      <c r="S190" s="83">
        <f t="shared" si="46"/>
        <v>47.906378659387855</v>
      </c>
      <c r="T190" s="83">
        <f t="shared" si="46"/>
        <v>49.146151361779687</v>
      </c>
      <c r="U190" s="83">
        <f t="shared" si="46"/>
        <v>49.298091081051652</v>
      </c>
      <c r="V190" s="83">
        <f t="shared" si="46"/>
        <v>74.707277178214483</v>
      </c>
      <c r="W190" s="83">
        <f t="shared" si="46"/>
        <v>70.357803457799946</v>
      </c>
      <c r="DA190" s="49" t="s">
        <v>178</v>
      </c>
    </row>
    <row r="191" spans="1:105" ht="11.4" customHeight="1" x14ac:dyDescent="0.35">
      <c r="A191" s="61" t="str">
        <f>$A$9</f>
        <v>Rail, metro and tram</v>
      </c>
      <c r="B191" s="84">
        <f t="shared" si="46"/>
        <v>16.231123520131817</v>
      </c>
      <c r="C191" s="84">
        <f t="shared" si="46"/>
        <v>14.921398696765079</v>
      </c>
      <c r="D191" s="84">
        <f t="shared" si="46"/>
        <v>15.302427457775119</v>
      </c>
      <c r="E191" s="84">
        <f t="shared" si="46"/>
        <v>15.174029470706058</v>
      </c>
      <c r="F191" s="84">
        <f t="shared" si="46"/>
        <v>14.519327320829523</v>
      </c>
      <c r="G191" s="84">
        <f t="shared" si="46"/>
        <v>15.41676256470414</v>
      </c>
      <c r="H191" s="84">
        <f t="shared" si="46"/>
        <v>15.087016506000554</v>
      </c>
      <c r="I191" s="84">
        <f t="shared" si="46"/>
        <v>14.787295634531723</v>
      </c>
      <c r="J191" s="84">
        <f t="shared" si="46"/>
        <v>15.151988346820069</v>
      </c>
      <c r="K191" s="84">
        <f t="shared" si="46"/>
        <v>15.524572047408654</v>
      </c>
      <c r="L191" s="84">
        <f t="shared" si="46"/>
        <v>15.368730267437305</v>
      </c>
      <c r="M191" s="84">
        <f t="shared" si="46"/>
        <v>15.189068662022089</v>
      </c>
      <c r="N191" s="84">
        <f t="shared" si="46"/>
        <v>15.051707712189939</v>
      </c>
      <c r="O191" s="84">
        <f t="shared" si="46"/>
        <v>14.763804873179392</v>
      </c>
      <c r="P191" s="84">
        <f t="shared" si="46"/>
        <v>15.038719332267023</v>
      </c>
      <c r="Q191" s="84">
        <f t="shared" si="46"/>
        <v>14.839028781038859</v>
      </c>
      <c r="R191" s="84">
        <f t="shared" si="46"/>
        <v>15.639319016178099</v>
      </c>
      <c r="S191" s="84">
        <f t="shared" si="46"/>
        <v>15.356806289889381</v>
      </c>
      <c r="T191" s="84">
        <f t="shared" si="46"/>
        <v>14.618843197931412</v>
      </c>
      <c r="U191" s="84">
        <f t="shared" si="46"/>
        <v>14.836450374652735</v>
      </c>
      <c r="V191" s="84">
        <f t="shared" si="46"/>
        <v>21.034834172115939</v>
      </c>
      <c r="W191" s="84">
        <f t="shared" si="46"/>
        <v>19.812269281595469</v>
      </c>
      <c r="DA191" s="63" t="s">
        <v>179</v>
      </c>
    </row>
    <row r="192" spans="1:105" ht="11.4" customHeight="1" x14ac:dyDescent="0.35">
      <c r="A192" s="59" t="str">
        <f>$A$10</f>
        <v>Metro and tram, urban light rail</v>
      </c>
      <c r="B192" s="83">
        <f t="shared" si="46"/>
        <v>0</v>
      </c>
      <c r="C192" s="83">
        <f t="shared" si="46"/>
        <v>0</v>
      </c>
      <c r="D192" s="83">
        <f t="shared" si="46"/>
        <v>4.5513158588455118</v>
      </c>
      <c r="E192" s="83">
        <f t="shared" si="46"/>
        <v>4.663844237285355</v>
      </c>
      <c r="F192" s="83">
        <f t="shared" si="46"/>
        <v>4.6383731345919204</v>
      </c>
      <c r="G192" s="83">
        <f t="shared" si="46"/>
        <v>4.6661985742343521</v>
      </c>
      <c r="H192" s="83">
        <f t="shared" si="46"/>
        <v>4.6379305541182942</v>
      </c>
      <c r="I192" s="83">
        <f t="shared" si="46"/>
        <v>4.5802370042045579</v>
      </c>
      <c r="J192" s="83">
        <f t="shared" si="46"/>
        <v>4.5736427001298035</v>
      </c>
      <c r="K192" s="83">
        <f t="shared" si="46"/>
        <v>4.5728244292499811</v>
      </c>
      <c r="L192" s="83">
        <f t="shared" si="46"/>
        <v>4.5260868929245044</v>
      </c>
      <c r="M192" s="83">
        <f t="shared" si="46"/>
        <v>4.5069397550020058</v>
      </c>
      <c r="N192" s="83">
        <f t="shared" si="46"/>
        <v>4.4483166390646307</v>
      </c>
      <c r="O192" s="83">
        <f t="shared" si="46"/>
        <v>4.4352569678839293</v>
      </c>
      <c r="P192" s="83">
        <f t="shared" si="46"/>
        <v>4.4177860310067238</v>
      </c>
      <c r="Q192" s="83">
        <f t="shared" si="46"/>
        <v>4.3758949741679878</v>
      </c>
      <c r="R192" s="83">
        <f t="shared" si="46"/>
        <v>4.3742618821790122</v>
      </c>
      <c r="S192" s="83">
        <f t="shared" si="46"/>
        <v>4.3454977250046234</v>
      </c>
      <c r="T192" s="83">
        <f t="shared" si="46"/>
        <v>4.3466009099971492</v>
      </c>
      <c r="U192" s="83">
        <f t="shared" si="46"/>
        <v>4.3653060452882979</v>
      </c>
      <c r="V192" s="83">
        <f t="shared" si="46"/>
        <v>6.0347620736309144</v>
      </c>
      <c r="W192" s="83">
        <f t="shared" si="46"/>
        <v>5.3019501723327656</v>
      </c>
      <c r="DA192" s="49" t="s">
        <v>180</v>
      </c>
    </row>
    <row r="193" spans="1:105" ht="11.4" customHeight="1" x14ac:dyDescent="0.35">
      <c r="A193" s="59" t="str">
        <f>$A$11</f>
        <v>Conventional passenger trains</v>
      </c>
      <c r="B193" s="83">
        <f t="shared" si="46"/>
        <v>16.231123520131817</v>
      </c>
      <c r="C193" s="83">
        <f t="shared" si="46"/>
        <v>14.921398696765079</v>
      </c>
      <c r="D193" s="83">
        <f t="shared" si="46"/>
        <v>15.31926993025386</v>
      </c>
      <c r="E193" s="83">
        <f t="shared" si="46"/>
        <v>15.294898404904341</v>
      </c>
      <c r="F193" s="83">
        <f t="shared" si="46"/>
        <v>14.732035382692693</v>
      </c>
      <c r="G193" s="83">
        <f t="shared" si="46"/>
        <v>15.708291082691437</v>
      </c>
      <c r="H193" s="83">
        <f t="shared" si="46"/>
        <v>15.367482970175461</v>
      </c>
      <c r="I193" s="83">
        <f t="shared" si="46"/>
        <v>15.079823059656059</v>
      </c>
      <c r="J193" s="83">
        <f t="shared" si="46"/>
        <v>15.480456085849465</v>
      </c>
      <c r="K193" s="83">
        <f t="shared" si="46"/>
        <v>15.907313552269528</v>
      </c>
      <c r="L193" s="83">
        <f t="shared" si="46"/>
        <v>15.777596118890218</v>
      </c>
      <c r="M193" s="83">
        <f t="shared" si="46"/>
        <v>15.655625117034122</v>
      </c>
      <c r="N193" s="83">
        <f t="shared" si="46"/>
        <v>15.497515469445784</v>
      </c>
      <c r="O193" s="83">
        <f t="shared" si="46"/>
        <v>15.211569734285163</v>
      </c>
      <c r="P193" s="83">
        <f t="shared" si="46"/>
        <v>15.519784175483942</v>
      </c>
      <c r="Q193" s="83">
        <f t="shared" si="46"/>
        <v>15.324713750248051</v>
      </c>
      <c r="R193" s="83">
        <f t="shared" si="46"/>
        <v>16.21039977107603</v>
      </c>
      <c r="S193" s="83">
        <f t="shared" si="46"/>
        <v>15.954713331390286</v>
      </c>
      <c r="T193" s="83">
        <f t="shared" si="46"/>
        <v>15.202323799085658</v>
      </c>
      <c r="U193" s="83">
        <f t="shared" si="46"/>
        <v>15.514852987504334</v>
      </c>
      <c r="V193" s="83">
        <f t="shared" si="46"/>
        <v>22.135093267664715</v>
      </c>
      <c r="W193" s="83">
        <f t="shared" si="46"/>
        <v>20.961017338320161</v>
      </c>
      <c r="DA193" s="49" t="s">
        <v>181</v>
      </c>
    </row>
    <row r="194" spans="1:105" ht="11.4" customHeight="1" x14ac:dyDescent="0.35">
      <c r="A194" s="59" t="str">
        <f>$A$12</f>
        <v>High speed passenger trains</v>
      </c>
      <c r="B194" s="83">
        <f t="shared" si="46"/>
        <v>0</v>
      </c>
      <c r="C194" s="83">
        <f t="shared" si="46"/>
        <v>0</v>
      </c>
      <c r="D194" s="83">
        <f t="shared" si="46"/>
        <v>0</v>
      </c>
      <c r="E194" s="83">
        <f t="shared" si="46"/>
        <v>0</v>
      </c>
      <c r="F194" s="83">
        <f t="shared" si="46"/>
        <v>0</v>
      </c>
      <c r="G194" s="83">
        <f t="shared" si="46"/>
        <v>0</v>
      </c>
      <c r="H194" s="83">
        <f t="shared" si="46"/>
        <v>0</v>
      </c>
      <c r="I194" s="83">
        <f t="shared" si="46"/>
        <v>0</v>
      </c>
      <c r="J194" s="83">
        <f t="shared" si="46"/>
        <v>0</v>
      </c>
      <c r="K194" s="83">
        <f t="shared" si="46"/>
        <v>0</v>
      </c>
      <c r="L194" s="83">
        <f t="shared" si="46"/>
        <v>0</v>
      </c>
      <c r="M194" s="83">
        <f t="shared" si="46"/>
        <v>0</v>
      </c>
      <c r="N194" s="83">
        <f t="shared" si="46"/>
        <v>0</v>
      </c>
      <c r="O194" s="83">
        <f t="shared" si="46"/>
        <v>0</v>
      </c>
      <c r="P194" s="83">
        <f t="shared" si="46"/>
        <v>0</v>
      </c>
      <c r="Q194" s="83">
        <f t="shared" si="46"/>
        <v>0</v>
      </c>
      <c r="R194" s="83">
        <f t="shared" si="46"/>
        <v>0</v>
      </c>
      <c r="S194" s="83">
        <f t="shared" si="46"/>
        <v>0</v>
      </c>
      <c r="T194" s="83">
        <f t="shared" si="46"/>
        <v>0</v>
      </c>
      <c r="U194" s="83">
        <f t="shared" si="46"/>
        <v>0</v>
      </c>
      <c r="V194" s="83">
        <f t="shared" si="46"/>
        <v>0</v>
      </c>
      <c r="W194" s="83">
        <f t="shared" si="46"/>
        <v>0</v>
      </c>
      <c r="DA194" s="49" t="s">
        <v>182</v>
      </c>
    </row>
    <row r="195" spans="1:105" ht="11.4" customHeight="1" x14ac:dyDescent="0.35">
      <c r="A195" s="61" t="str">
        <f>$A$13</f>
        <v>Aviation</v>
      </c>
      <c r="B195" s="84">
        <f t="shared" si="46"/>
        <v>49.212696266389173</v>
      </c>
      <c r="C195" s="84">
        <f t="shared" si="46"/>
        <v>48.30236091874027</v>
      </c>
      <c r="D195" s="84">
        <f t="shared" si="46"/>
        <v>41.874017834195264</v>
      </c>
      <c r="E195" s="84">
        <f t="shared" si="46"/>
        <v>44.663643306275603</v>
      </c>
      <c r="F195" s="84">
        <f t="shared" si="46"/>
        <v>46.256336817844158</v>
      </c>
      <c r="G195" s="84">
        <f t="shared" si="46"/>
        <v>45.112281227448726</v>
      </c>
      <c r="H195" s="84">
        <f t="shared" si="46"/>
        <v>43.909577534338688</v>
      </c>
      <c r="I195" s="84">
        <f t="shared" si="46"/>
        <v>45.279018953390839</v>
      </c>
      <c r="J195" s="84">
        <f t="shared" si="46"/>
        <v>43.515449673181223</v>
      </c>
      <c r="K195" s="84">
        <f t="shared" si="46"/>
        <v>41.185870700834904</v>
      </c>
      <c r="L195" s="84">
        <f t="shared" si="46"/>
        <v>38.873335368178701</v>
      </c>
      <c r="M195" s="84">
        <f t="shared" si="46"/>
        <v>38.963002430391654</v>
      </c>
      <c r="N195" s="84">
        <f t="shared" si="46"/>
        <v>36.883277200850301</v>
      </c>
      <c r="O195" s="84">
        <f t="shared" si="46"/>
        <v>35.185383869314535</v>
      </c>
      <c r="P195" s="84">
        <f t="shared" si="46"/>
        <v>35.428068118218896</v>
      </c>
      <c r="Q195" s="84">
        <f t="shared" si="46"/>
        <v>34.157169293583884</v>
      </c>
      <c r="R195" s="84">
        <f t="shared" si="46"/>
        <v>34.284855088812122</v>
      </c>
      <c r="S195" s="84">
        <f t="shared" si="46"/>
        <v>34.083342428733083</v>
      </c>
      <c r="T195" s="84">
        <f t="shared" si="46"/>
        <v>33.937591147347092</v>
      </c>
      <c r="U195" s="84">
        <f t="shared" si="46"/>
        <v>34.800887657995077</v>
      </c>
      <c r="V195" s="84">
        <f t="shared" si="46"/>
        <v>44.525014701576396</v>
      </c>
      <c r="W195" s="84">
        <f t="shared" si="46"/>
        <v>44.923216511806864</v>
      </c>
      <c r="DA195" s="63" t="s">
        <v>183</v>
      </c>
    </row>
    <row r="196" spans="1:105" ht="11.4" customHeight="1" x14ac:dyDescent="0.35">
      <c r="A196" s="59" t="str">
        <f>$A$14</f>
        <v>Domestic</v>
      </c>
      <c r="B196" s="83">
        <f t="shared" si="46"/>
        <v>159.6335569251579</v>
      </c>
      <c r="C196" s="83">
        <f t="shared" si="46"/>
        <v>158.75970066535862</v>
      </c>
      <c r="D196" s="83">
        <f t="shared" si="46"/>
        <v>145.22167232792222</v>
      </c>
      <c r="E196" s="83">
        <f t="shared" si="46"/>
        <v>130.30763702327422</v>
      </c>
      <c r="F196" s="83">
        <f t="shared" si="46"/>
        <v>86.889212155063603</v>
      </c>
      <c r="G196" s="83">
        <f t="shared" si="46"/>
        <v>92.034450997891909</v>
      </c>
      <c r="H196" s="83">
        <f t="shared" si="46"/>
        <v>89.841270669078654</v>
      </c>
      <c r="I196" s="83">
        <f t="shared" si="46"/>
        <v>95.070446088841422</v>
      </c>
      <c r="J196" s="83">
        <f t="shared" si="46"/>
        <v>96.925804289810742</v>
      </c>
      <c r="K196" s="83">
        <f t="shared" si="46"/>
        <v>95.74547393734214</v>
      </c>
      <c r="L196" s="83">
        <f t="shared" si="46"/>
        <v>82.86765776925084</v>
      </c>
      <c r="M196" s="83">
        <f t="shared" si="46"/>
        <v>85.901389462610396</v>
      </c>
      <c r="N196" s="83">
        <f t="shared" si="46"/>
        <v>94.690422470543822</v>
      </c>
      <c r="O196" s="83">
        <f t="shared" si="46"/>
        <v>91.514083793960296</v>
      </c>
      <c r="P196" s="83">
        <f t="shared" si="46"/>
        <v>86.090889102185002</v>
      </c>
      <c r="Q196" s="83">
        <f t="shared" si="46"/>
        <v>81.87809680810642</v>
      </c>
      <c r="R196" s="83">
        <f t="shared" si="46"/>
        <v>80.114779927705769</v>
      </c>
      <c r="S196" s="83">
        <f t="shared" si="46"/>
        <v>79.147166630925156</v>
      </c>
      <c r="T196" s="83">
        <f t="shared" si="46"/>
        <v>75.742875826519509</v>
      </c>
      <c r="U196" s="83">
        <f t="shared" si="46"/>
        <v>80.698957348242828</v>
      </c>
      <c r="V196" s="83">
        <f t="shared" si="46"/>
        <v>102.86418020840519</v>
      </c>
      <c r="W196" s="83">
        <f t="shared" si="46"/>
        <v>78.860769857993304</v>
      </c>
      <c r="DA196" s="49" t="s">
        <v>184</v>
      </c>
    </row>
    <row r="197" spans="1:105" ht="11.4" customHeight="1" x14ac:dyDescent="0.35">
      <c r="A197" s="59" t="str">
        <f>$A$15</f>
        <v>International - Intra-EEAwUK</v>
      </c>
      <c r="B197" s="83">
        <f t="shared" si="46"/>
        <v>42.988100220420961</v>
      </c>
      <c r="C197" s="83">
        <f t="shared" si="46"/>
        <v>42.089579183966435</v>
      </c>
      <c r="D197" s="83">
        <f t="shared" si="46"/>
        <v>38.254214302702785</v>
      </c>
      <c r="E197" s="83">
        <f t="shared" si="46"/>
        <v>41.494396074091981</v>
      </c>
      <c r="F197" s="83">
        <f t="shared" si="46"/>
        <v>43.868474676663574</v>
      </c>
      <c r="G197" s="83">
        <f t="shared" si="46"/>
        <v>43.979436505116929</v>
      </c>
      <c r="H197" s="83">
        <f t="shared" si="46"/>
        <v>43.447915459942998</v>
      </c>
      <c r="I197" s="83">
        <f t="shared" si="46"/>
        <v>45.247207109049327</v>
      </c>
      <c r="J197" s="83">
        <f t="shared" si="46"/>
        <v>44.298511032820819</v>
      </c>
      <c r="K197" s="83">
        <f t="shared" si="46"/>
        <v>40.742598424982944</v>
      </c>
      <c r="L197" s="83">
        <f t="shared" si="46"/>
        <v>38.870475589835351</v>
      </c>
      <c r="M197" s="83">
        <f t="shared" si="46"/>
        <v>38.039337480957983</v>
      </c>
      <c r="N197" s="83">
        <f t="shared" si="46"/>
        <v>36.763381111947311</v>
      </c>
      <c r="O197" s="83">
        <f t="shared" ref="O197:W212" si="47">IF(O45=0,0,O45/O15*1000)</f>
        <v>34.99039894286021</v>
      </c>
      <c r="P197" s="83">
        <f t="shared" si="47"/>
        <v>36.394790918381169</v>
      </c>
      <c r="Q197" s="83">
        <f t="shared" si="47"/>
        <v>35.244620900762605</v>
      </c>
      <c r="R197" s="83">
        <f t="shared" si="47"/>
        <v>34.993578357542091</v>
      </c>
      <c r="S197" s="83">
        <f t="shared" si="47"/>
        <v>34.864702651386487</v>
      </c>
      <c r="T197" s="83">
        <f t="shared" si="47"/>
        <v>35.422768688402186</v>
      </c>
      <c r="U197" s="83">
        <f t="shared" si="47"/>
        <v>36.774134779427818</v>
      </c>
      <c r="V197" s="83">
        <f t="shared" si="47"/>
        <v>39.494219544610502</v>
      </c>
      <c r="W197" s="83">
        <f t="shared" si="47"/>
        <v>35.725552244805208</v>
      </c>
      <c r="DA197" s="49" t="s">
        <v>185</v>
      </c>
    </row>
    <row r="198" spans="1:105" ht="11.4" customHeight="1" x14ac:dyDescent="0.35">
      <c r="A198" s="59" t="str">
        <f>$A$16</f>
        <v>International - Extra-EEAwUK</v>
      </c>
      <c r="B198" s="83">
        <f t="shared" ref="B198:V210" si="48">IF(B46=0,0,B46/B16*1000)</f>
        <v>54.206119799659774</v>
      </c>
      <c r="C198" s="83">
        <f t="shared" si="48"/>
        <v>53.348972501338004</v>
      </c>
      <c r="D198" s="83">
        <f t="shared" si="48"/>
        <v>43.42976752354194</v>
      </c>
      <c r="E198" s="83">
        <f t="shared" si="48"/>
        <v>45.805784100010378</v>
      </c>
      <c r="F198" s="83">
        <f t="shared" si="48"/>
        <v>47.701334351542819</v>
      </c>
      <c r="G198" s="83">
        <f t="shared" si="48"/>
        <v>44.528094903745973</v>
      </c>
      <c r="H198" s="83">
        <f t="shared" si="48"/>
        <v>42.361834459753609</v>
      </c>
      <c r="I198" s="83">
        <f t="shared" si="48"/>
        <v>42.726874023280963</v>
      </c>
      <c r="J198" s="83">
        <f t="shared" si="48"/>
        <v>39.69532605642214</v>
      </c>
      <c r="K198" s="83">
        <f t="shared" si="48"/>
        <v>38.644026547115971</v>
      </c>
      <c r="L198" s="83">
        <f t="shared" si="48"/>
        <v>36.185461141266053</v>
      </c>
      <c r="M198" s="83">
        <f t="shared" si="48"/>
        <v>37.457566981000063</v>
      </c>
      <c r="N198" s="83">
        <f t="shared" si="48"/>
        <v>34.688601660610431</v>
      </c>
      <c r="O198" s="83">
        <f t="shared" si="48"/>
        <v>33.215086112417445</v>
      </c>
      <c r="P198" s="83">
        <f t="shared" si="48"/>
        <v>32.459992558239243</v>
      </c>
      <c r="Q198" s="83">
        <f t="shared" si="48"/>
        <v>31.215073324511042</v>
      </c>
      <c r="R198" s="83">
        <f t="shared" si="48"/>
        <v>31.72096391995575</v>
      </c>
      <c r="S198" s="83">
        <f t="shared" si="48"/>
        <v>31.543337569186189</v>
      </c>
      <c r="T198" s="83">
        <f t="shared" si="48"/>
        <v>30.858414156259563</v>
      </c>
      <c r="U198" s="83">
        <f t="shared" si="48"/>
        <v>31.284279708330587</v>
      </c>
      <c r="V198" s="83">
        <f t="shared" si="48"/>
        <v>47.495566638465625</v>
      </c>
      <c r="W198" s="83">
        <f t="shared" si="47"/>
        <v>59.761783014036546</v>
      </c>
      <c r="DA198" s="49" t="s">
        <v>186</v>
      </c>
    </row>
    <row r="199" spans="1:105" ht="11.4" customHeight="1" x14ac:dyDescent="0.35">
      <c r="A199" s="53" t="s">
        <v>187</v>
      </c>
      <c r="B199" s="81">
        <f t="shared" si="48"/>
        <v>75.17327090630809</v>
      </c>
      <c r="C199" s="81">
        <f t="shared" si="48"/>
        <v>76.001301168415182</v>
      </c>
      <c r="D199" s="81">
        <f t="shared" si="48"/>
        <v>77.256845432298434</v>
      </c>
      <c r="E199" s="81">
        <f t="shared" si="48"/>
        <v>80.81835196940537</v>
      </c>
      <c r="F199" s="81">
        <f t="shared" si="48"/>
        <v>82.63407542860125</v>
      </c>
      <c r="G199" s="81">
        <f t="shared" si="48"/>
        <v>82.510493049430266</v>
      </c>
      <c r="H199" s="81">
        <f t="shared" si="48"/>
        <v>81.074070962427001</v>
      </c>
      <c r="I199" s="81">
        <f t="shared" si="48"/>
        <v>80.740600911983208</v>
      </c>
      <c r="J199" s="81">
        <f t="shared" si="48"/>
        <v>78.323234958505282</v>
      </c>
      <c r="K199" s="81">
        <f t="shared" si="48"/>
        <v>78.065439983955898</v>
      </c>
      <c r="L199" s="81">
        <f t="shared" si="48"/>
        <v>73.042095094497611</v>
      </c>
      <c r="M199" s="81">
        <f t="shared" si="48"/>
        <v>65.704658909256295</v>
      </c>
      <c r="N199" s="81">
        <f t="shared" si="48"/>
        <v>61.124512108711968</v>
      </c>
      <c r="O199" s="81">
        <f t="shared" si="48"/>
        <v>58.22359103821244</v>
      </c>
      <c r="P199" s="81">
        <f t="shared" si="48"/>
        <v>57.477997866714041</v>
      </c>
      <c r="Q199" s="81">
        <f t="shared" si="48"/>
        <v>56.115985919504695</v>
      </c>
      <c r="R199" s="81">
        <f t="shared" si="48"/>
        <v>55.323252668558233</v>
      </c>
      <c r="S199" s="81">
        <f t="shared" si="48"/>
        <v>56.353505179116873</v>
      </c>
      <c r="T199" s="81">
        <f t="shared" si="48"/>
        <v>60.297716634374268</v>
      </c>
      <c r="U199" s="81">
        <f t="shared" si="48"/>
        <v>58.090687017492549</v>
      </c>
      <c r="V199" s="81">
        <f t="shared" si="48"/>
        <v>55.038848533387501</v>
      </c>
      <c r="W199" s="81">
        <f t="shared" si="47"/>
        <v>57.240939527812444</v>
      </c>
      <c r="DA199" s="55" t="s">
        <v>188</v>
      </c>
    </row>
    <row r="200" spans="1:105" ht="11.4" customHeight="1" x14ac:dyDescent="0.35">
      <c r="A200" s="56" t="str">
        <f>$A$18</f>
        <v>Road transport</v>
      </c>
      <c r="B200" s="82">
        <f t="shared" si="48"/>
        <v>80.554500545414001</v>
      </c>
      <c r="C200" s="82">
        <f t="shared" si="48"/>
        <v>83.070865987540103</v>
      </c>
      <c r="D200" s="82">
        <f t="shared" si="48"/>
        <v>81.383197572700183</v>
      </c>
      <c r="E200" s="82">
        <f t="shared" si="48"/>
        <v>87.502558895574879</v>
      </c>
      <c r="F200" s="82">
        <f t="shared" si="48"/>
        <v>91.819066816379404</v>
      </c>
      <c r="G200" s="82">
        <f t="shared" si="48"/>
        <v>89.232509385413593</v>
      </c>
      <c r="H200" s="82">
        <f t="shared" si="48"/>
        <v>88.877073397729248</v>
      </c>
      <c r="I200" s="82">
        <f t="shared" si="48"/>
        <v>89.482859378787367</v>
      </c>
      <c r="J200" s="82">
        <f t="shared" si="48"/>
        <v>82.902966151822099</v>
      </c>
      <c r="K200" s="82">
        <f t="shared" si="48"/>
        <v>81.754878562932291</v>
      </c>
      <c r="L200" s="82">
        <f t="shared" si="48"/>
        <v>79.832734492403802</v>
      </c>
      <c r="M200" s="82">
        <f t="shared" si="48"/>
        <v>72.012455358463029</v>
      </c>
      <c r="N200" s="82">
        <f t="shared" si="48"/>
        <v>65.824281510607562</v>
      </c>
      <c r="O200" s="82">
        <f t="shared" si="48"/>
        <v>61.357451304400207</v>
      </c>
      <c r="P200" s="82">
        <f t="shared" si="48"/>
        <v>61.925881876204421</v>
      </c>
      <c r="Q200" s="82">
        <f t="shared" si="48"/>
        <v>60.378206594897179</v>
      </c>
      <c r="R200" s="82">
        <f t="shared" si="48"/>
        <v>60.371907989630316</v>
      </c>
      <c r="S200" s="82">
        <f t="shared" si="48"/>
        <v>61.761289301519994</v>
      </c>
      <c r="T200" s="82">
        <f t="shared" si="48"/>
        <v>66.379355907812922</v>
      </c>
      <c r="U200" s="82">
        <f t="shared" si="48"/>
        <v>63.321835477166509</v>
      </c>
      <c r="V200" s="82">
        <f t="shared" si="48"/>
        <v>58.52593046698717</v>
      </c>
      <c r="W200" s="82">
        <f t="shared" si="47"/>
        <v>58.833203652087434</v>
      </c>
      <c r="DA200" s="58" t="s">
        <v>189</v>
      </c>
    </row>
    <row r="201" spans="1:105" ht="11.4" customHeight="1" x14ac:dyDescent="0.35">
      <c r="A201" s="59" t="str">
        <f>$A$19</f>
        <v>Light commercial vehicles</v>
      </c>
      <c r="B201" s="83">
        <f t="shared" si="48"/>
        <v>631.31369012840685</v>
      </c>
      <c r="C201" s="83">
        <f t="shared" si="48"/>
        <v>609.35186755684174</v>
      </c>
      <c r="D201" s="83">
        <f t="shared" si="48"/>
        <v>581.64378986787813</v>
      </c>
      <c r="E201" s="83">
        <f t="shared" si="48"/>
        <v>558.32665009194955</v>
      </c>
      <c r="F201" s="83">
        <f t="shared" si="48"/>
        <v>538.72209004127376</v>
      </c>
      <c r="G201" s="83">
        <f t="shared" si="48"/>
        <v>519.67286152892393</v>
      </c>
      <c r="H201" s="83">
        <f t="shared" si="48"/>
        <v>506.82953668926666</v>
      </c>
      <c r="I201" s="83">
        <f t="shared" si="48"/>
        <v>499.28656977324999</v>
      </c>
      <c r="J201" s="83">
        <f t="shared" si="48"/>
        <v>488.36404146394005</v>
      </c>
      <c r="K201" s="83">
        <f t="shared" si="48"/>
        <v>476.55785631561332</v>
      </c>
      <c r="L201" s="83">
        <f t="shared" si="48"/>
        <v>471.85463424099248</v>
      </c>
      <c r="M201" s="83">
        <f t="shared" si="48"/>
        <v>469.22952302256903</v>
      </c>
      <c r="N201" s="83">
        <f t="shared" si="48"/>
        <v>465.73334447110636</v>
      </c>
      <c r="O201" s="83">
        <f t="shared" si="48"/>
        <v>462.8069213354691</v>
      </c>
      <c r="P201" s="83">
        <f t="shared" si="48"/>
        <v>455.92571585704184</v>
      </c>
      <c r="Q201" s="83">
        <f t="shared" si="48"/>
        <v>449.47640287194616</v>
      </c>
      <c r="R201" s="83">
        <f t="shared" si="48"/>
        <v>444.02707352564545</v>
      </c>
      <c r="S201" s="83">
        <f t="shared" si="48"/>
        <v>440.17235935069158</v>
      </c>
      <c r="T201" s="83">
        <f t="shared" si="48"/>
        <v>434.12757998205086</v>
      </c>
      <c r="U201" s="83">
        <f t="shared" si="48"/>
        <v>423.30243947661694</v>
      </c>
      <c r="V201" s="83">
        <f t="shared" si="48"/>
        <v>417.17274574392411</v>
      </c>
      <c r="W201" s="83">
        <f t="shared" si="47"/>
        <v>420.73925386610262</v>
      </c>
      <c r="DA201" s="49" t="s">
        <v>190</v>
      </c>
    </row>
    <row r="202" spans="1:105" ht="11.4" customHeight="1" x14ac:dyDescent="0.35">
      <c r="A202" s="59" t="str">
        <f>$A$20</f>
        <v>Heavy goods vehicles</v>
      </c>
      <c r="B202" s="83">
        <f t="shared" si="48"/>
        <v>45.340735956383995</v>
      </c>
      <c r="C202" s="83">
        <f t="shared" si="48"/>
        <v>47.360610941975281</v>
      </c>
      <c r="D202" s="83">
        <f t="shared" si="48"/>
        <v>47.014523822517226</v>
      </c>
      <c r="E202" s="83">
        <f t="shared" si="48"/>
        <v>53.324171688409649</v>
      </c>
      <c r="F202" s="83">
        <f t="shared" si="48"/>
        <v>56.803837988394292</v>
      </c>
      <c r="G202" s="83">
        <f t="shared" si="48"/>
        <v>54.41551860298658</v>
      </c>
      <c r="H202" s="83">
        <f t="shared" si="48"/>
        <v>53.467743663578631</v>
      </c>
      <c r="I202" s="83">
        <f t="shared" si="48"/>
        <v>52.880141405867604</v>
      </c>
      <c r="J202" s="83">
        <f t="shared" si="48"/>
        <v>47.701882672723343</v>
      </c>
      <c r="K202" s="83">
        <f t="shared" si="48"/>
        <v>45.430775620828399</v>
      </c>
      <c r="L202" s="83">
        <f t="shared" si="48"/>
        <v>45.396785593058254</v>
      </c>
      <c r="M202" s="83">
        <f t="shared" si="48"/>
        <v>42.312861468494333</v>
      </c>
      <c r="N202" s="83">
        <f t="shared" si="48"/>
        <v>38.302930606605585</v>
      </c>
      <c r="O202" s="83">
        <f t="shared" si="48"/>
        <v>36.149801593331027</v>
      </c>
      <c r="P202" s="83">
        <f t="shared" si="48"/>
        <v>38.290901828854338</v>
      </c>
      <c r="Q202" s="83">
        <f t="shared" si="48"/>
        <v>36.183625383929659</v>
      </c>
      <c r="R202" s="83">
        <f t="shared" si="48"/>
        <v>38.054052286316079</v>
      </c>
      <c r="S202" s="83">
        <f t="shared" si="48"/>
        <v>38.943428358319011</v>
      </c>
      <c r="T202" s="83">
        <f t="shared" si="48"/>
        <v>42.519553180215524</v>
      </c>
      <c r="U202" s="83">
        <f t="shared" si="48"/>
        <v>40.788923060205718</v>
      </c>
      <c r="V202" s="83">
        <f t="shared" si="48"/>
        <v>38.204247619774783</v>
      </c>
      <c r="W202" s="83">
        <f t="shared" si="47"/>
        <v>38.531432233819665</v>
      </c>
      <c r="DA202" s="49" t="s">
        <v>191</v>
      </c>
    </row>
    <row r="203" spans="1:105" ht="11.4" customHeight="1" x14ac:dyDescent="0.35">
      <c r="A203" s="61" t="str">
        <f>$A$21</f>
        <v>Rail transport</v>
      </c>
      <c r="B203" s="84">
        <f t="shared" si="48"/>
        <v>6.6576125716939085</v>
      </c>
      <c r="C203" s="84">
        <f t="shared" si="48"/>
        <v>6.1638815572054124</v>
      </c>
      <c r="D203" s="84">
        <f t="shared" si="48"/>
        <v>6.1691971512231749</v>
      </c>
      <c r="E203" s="84">
        <f t="shared" si="48"/>
        <v>5.6942952430317924</v>
      </c>
      <c r="F203" s="84">
        <f t="shared" si="48"/>
        <v>5.5903541767199973</v>
      </c>
      <c r="G203" s="84">
        <f t="shared" si="48"/>
        <v>6.1222600362389832</v>
      </c>
      <c r="H203" s="84">
        <f t="shared" si="48"/>
        <v>5.8694616638518653</v>
      </c>
      <c r="I203" s="84">
        <f t="shared" si="48"/>
        <v>5.6759884231350108</v>
      </c>
      <c r="J203" s="84">
        <f t="shared" si="48"/>
        <v>5.8324730979944697</v>
      </c>
      <c r="K203" s="84">
        <f t="shared" si="48"/>
        <v>5.629165387352896</v>
      </c>
      <c r="L203" s="84">
        <f t="shared" si="48"/>
        <v>5.44340723718879</v>
      </c>
      <c r="M203" s="84">
        <f t="shared" si="48"/>
        <v>5.2810932827903212</v>
      </c>
      <c r="N203" s="84">
        <f t="shared" si="48"/>
        <v>5.029762781437217</v>
      </c>
      <c r="O203" s="84">
        <f t="shared" si="48"/>
        <v>4.8303235930735333</v>
      </c>
      <c r="P203" s="84">
        <f t="shared" si="48"/>
        <v>5.0184296372953554</v>
      </c>
      <c r="Q203" s="84">
        <f t="shared" si="48"/>
        <v>5.0927289942431972</v>
      </c>
      <c r="R203" s="84">
        <f t="shared" si="48"/>
        <v>5.2076917726951626</v>
      </c>
      <c r="S203" s="84">
        <f t="shared" si="48"/>
        <v>4.5476727947138622</v>
      </c>
      <c r="T203" s="84">
        <f t="shared" si="48"/>
        <v>4.330872298039778</v>
      </c>
      <c r="U203" s="84">
        <f t="shared" si="48"/>
        <v>3.9841307648091031</v>
      </c>
      <c r="V203" s="84">
        <f t="shared" si="48"/>
        <v>4.445191763300234</v>
      </c>
      <c r="W203" s="84">
        <f t="shared" si="47"/>
        <v>4.5808573534414974</v>
      </c>
      <c r="DA203" s="63" t="s">
        <v>192</v>
      </c>
    </row>
    <row r="204" spans="1:105" ht="11.4" customHeight="1" x14ac:dyDescent="0.35">
      <c r="A204" s="61" t="str">
        <f>$A$22</f>
        <v>Aviation</v>
      </c>
      <c r="B204" s="84">
        <f t="shared" si="48"/>
        <v>151.91039349250076</v>
      </c>
      <c r="C204" s="84">
        <f t="shared" si="48"/>
        <v>144.00181413192809</v>
      </c>
      <c r="D204" s="84">
        <f t="shared" si="48"/>
        <v>144.97856446916987</v>
      </c>
      <c r="E204" s="84">
        <f t="shared" si="48"/>
        <v>148.41389169481698</v>
      </c>
      <c r="F204" s="84">
        <f t="shared" si="48"/>
        <v>167.88065947038984</v>
      </c>
      <c r="G204" s="84">
        <f t="shared" si="48"/>
        <v>183.81606803321267</v>
      </c>
      <c r="H204" s="84">
        <f t="shared" si="48"/>
        <v>225.150186970031</v>
      </c>
      <c r="I204" s="84">
        <f t="shared" si="48"/>
        <v>236.11437317874885</v>
      </c>
      <c r="J204" s="84">
        <f t="shared" si="48"/>
        <v>142.13602237718243</v>
      </c>
      <c r="K204" s="84">
        <f t="shared" si="48"/>
        <v>123.68120428303827</v>
      </c>
      <c r="L204" s="84">
        <f t="shared" si="48"/>
        <v>114.40935466470944</v>
      </c>
      <c r="M204" s="84">
        <f t="shared" si="48"/>
        <v>108.33228257729606</v>
      </c>
      <c r="N204" s="84">
        <f t="shared" si="48"/>
        <v>94.933864051753361</v>
      </c>
      <c r="O204" s="84">
        <f t="shared" si="48"/>
        <v>92.638934219172967</v>
      </c>
      <c r="P204" s="84">
        <f t="shared" si="48"/>
        <v>84.333118965995126</v>
      </c>
      <c r="Q204" s="84">
        <f t="shared" si="48"/>
        <v>82.062507738954423</v>
      </c>
      <c r="R204" s="84">
        <f t="shared" si="48"/>
        <v>72.580419360091625</v>
      </c>
      <c r="S204" s="84">
        <f t="shared" si="48"/>
        <v>67.165114107656933</v>
      </c>
      <c r="T204" s="84">
        <f t="shared" si="48"/>
        <v>61.402703812137077</v>
      </c>
      <c r="U204" s="84">
        <f t="shared" si="48"/>
        <v>61.997951413039317</v>
      </c>
      <c r="V204" s="84">
        <f t="shared" si="48"/>
        <v>98.380937090890868</v>
      </c>
      <c r="W204" s="84">
        <f t="shared" si="47"/>
        <v>102.36832179279386</v>
      </c>
      <c r="DA204" s="63" t="s">
        <v>193</v>
      </c>
    </row>
    <row r="205" spans="1:105" ht="11.4" customHeight="1" x14ac:dyDescent="0.35">
      <c r="A205" s="59" t="s">
        <v>82</v>
      </c>
      <c r="B205" s="83">
        <f t="shared" si="48"/>
        <v>637.34613642011368</v>
      </c>
      <c r="C205" s="83">
        <f t="shared" si="48"/>
        <v>641.46844171469058</v>
      </c>
      <c r="D205" s="83">
        <f t="shared" si="48"/>
        <v>502.84243817437425</v>
      </c>
      <c r="E205" s="83">
        <f t="shared" si="48"/>
        <v>387.19416126433208</v>
      </c>
      <c r="F205" s="83">
        <f t="shared" si="48"/>
        <v>254.78602040650745</v>
      </c>
      <c r="G205" s="83">
        <f t="shared" si="48"/>
        <v>293.49515836193456</v>
      </c>
      <c r="H205" s="83">
        <f t="shared" si="48"/>
        <v>362.0366094328229</v>
      </c>
      <c r="I205" s="83">
        <f t="shared" si="48"/>
        <v>473.40253349231727</v>
      </c>
      <c r="J205" s="83">
        <f t="shared" si="48"/>
        <v>557.54881625795701</v>
      </c>
      <c r="K205" s="83">
        <f t="shared" si="48"/>
        <v>699.46331681179026</v>
      </c>
      <c r="L205" s="83">
        <f t="shared" si="48"/>
        <v>808.55476617430736</v>
      </c>
      <c r="M205" s="83">
        <f t="shared" si="48"/>
        <v>789.95818400399253</v>
      </c>
      <c r="N205" s="83">
        <f t="shared" si="48"/>
        <v>971.75137287715074</v>
      </c>
      <c r="O205" s="83">
        <f t="shared" si="48"/>
        <v>800.16589455057624</v>
      </c>
      <c r="P205" s="83">
        <f t="shared" si="48"/>
        <v>617.03605112323191</v>
      </c>
      <c r="Q205" s="83">
        <f t="shared" si="48"/>
        <v>519.60832140406933</v>
      </c>
      <c r="R205" s="83">
        <f t="shared" si="48"/>
        <v>421.86105985890157</v>
      </c>
      <c r="S205" s="83">
        <f t="shared" si="48"/>
        <v>424.00414294983153</v>
      </c>
      <c r="T205" s="83">
        <f t="shared" si="48"/>
        <v>386.03721626944201</v>
      </c>
      <c r="U205" s="83">
        <f t="shared" si="48"/>
        <v>286.88531903942174</v>
      </c>
      <c r="V205" s="83">
        <f t="shared" si="48"/>
        <v>293.64966482262156</v>
      </c>
      <c r="W205" s="83">
        <f t="shared" si="47"/>
        <v>273.15963934030856</v>
      </c>
      <c r="DA205" s="49" t="s">
        <v>194</v>
      </c>
    </row>
    <row r="206" spans="1:105" ht="11.4" customHeight="1" x14ac:dyDescent="0.35">
      <c r="A206" s="59" t="str">
        <f>$A$24</f>
        <v>International - Intra-EEAwUK</v>
      </c>
      <c r="B206" s="83">
        <f t="shared" si="48"/>
        <v>159.45456582918246</v>
      </c>
      <c r="C206" s="83">
        <f t="shared" si="48"/>
        <v>151.01898721838558</v>
      </c>
      <c r="D206" s="83">
        <f t="shared" si="48"/>
        <v>155.47444431430458</v>
      </c>
      <c r="E206" s="83">
        <f t="shared" si="48"/>
        <v>161.52534560772278</v>
      </c>
      <c r="F206" s="83">
        <f t="shared" si="48"/>
        <v>185.43197945292309</v>
      </c>
      <c r="G206" s="83">
        <f t="shared" si="48"/>
        <v>195.60426198048592</v>
      </c>
      <c r="H206" s="83">
        <f t="shared" si="48"/>
        <v>233.53126290849272</v>
      </c>
      <c r="I206" s="83">
        <f t="shared" si="48"/>
        <v>245.93249565596551</v>
      </c>
      <c r="J206" s="83">
        <f t="shared" si="48"/>
        <v>241.5981491734893</v>
      </c>
      <c r="K206" s="83">
        <f t="shared" si="48"/>
        <v>218.4567524114791</v>
      </c>
      <c r="L206" s="83">
        <f t="shared" si="48"/>
        <v>205.1626126311524</v>
      </c>
      <c r="M206" s="83">
        <f t="shared" si="48"/>
        <v>198.3920244798316</v>
      </c>
      <c r="N206" s="83">
        <f t="shared" si="48"/>
        <v>181.98770655320359</v>
      </c>
      <c r="O206" s="83">
        <f t="shared" si="48"/>
        <v>177.97277864302688</v>
      </c>
      <c r="P206" s="83">
        <f t="shared" si="48"/>
        <v>180.77465531233477</v>
      </c>
      <c r="Q206" s="83">
        <f t="shared" si="48"/>
        <v>184.23857395791111</v>
      </c>
      <c r="R206" s="83">
        <f t="shared" si="48"/>
        <v>172.27484390117314</v>
      </c>
      <c r="S206" s="83">
        <f t="shared" si="48"/>
        <v>192.86403985341667</v>
      </c>
      <c r="T206" s="83">
        <f t="shared" si="48"/>
        <v>194.47665507607411</v>
      </c>
      <c r="U206" s="83">
        <f t="shared" si="48"/>
        <v>195.56842852515391</v>
      </c>
      <c r="V206" s="83">
        <f t="shared" si="48"/>
        <v>194.04439664182181</v>
      </c>
      <c r="W206" s="83">
        <f t="shared" si="47"/>
        <v>194.32241122581675</v>
      </c>
      <c r="DA206" s="49" t="s">
        <v>195</v>
      </c>
    </row>
    <row r="207" spans="1:105" ht="11.4" customHeight="1" x14ac:dyDescent="0.35">
      <c r="A207" s="59" t="str">
        <f>$A$25</f>
        <v>International - Extra-EEAwUK</v>
      </c>
      <c r="B207" s="83">
        <f t="shared" si="48"/>
        <v>87.804426030775943</v>
      </c>
      <c r="C207" s="83">
        <f t="shared" si="48"/>
        <v>83.714785615080189</v>
      </c>
      <c r="D207" s="83">
        <f t="shared" si="48"/>
        <v>85.906662290141426</v>
      </c>
      <c r="E207" s="83">
        <f t="shared" si="48"/>
        <v>99.936405771773721</v>
      </c>
      <c r="F207" s="83">
        <f t="shared" si="48"/>
        <v>107.4404281222219</v>
      </c>
      <c r="G207" s="83">
        <f t="shared" si="48"/>
        <v>110.51947754265811</v>
      </c>
      <c r="H207" s="83">
        <f t="shared" si="48"/>
        <v>110.38145250139121</v>
      </c>
      <c r="I207" s="83">
        <f t="shared" si="48"/>
        <v>122.65622608144315</v>
      </c>
      <c r="J207" s="83">
        <f t="shared" si="48"/>
        <v>124.06298978326838</v>
      </c>
      <c r="K207" s="83">
        <f t="shared" si="48"/>
        <v>108.82746652522702</v>
      </c>
      <c r="L207" s="83">
        <f t="shared" si="48"/>
        <v>105.93533979219103</v>
      </c>
      <c r="M207" s="83">
        <f t="shared" si="48"/>
        <v>100.03058639161154</v>
      </c>
      <c r="N207" s="83">
        <f t="shared" si="48"/>
        <v>88.605860799622619</v>
      </c>
      <c r="O207" s="83">
        <f t="shared" si="48"/>
        <v>86.629824883866576</v>
      </c>
      <c r="P207" s="83">
        <f t="shared" si="48"/>
        <v>75.71104151795042</v>
      </c>
      <c r="Q207" s="83">
        <f t="shared" si="48"/>
        <v>72.462104566951766</v>
      </c>
      <c r="R207" s="83">
        <f t="shared" si="48"/>
        <v>63.538277254396313</v>
      </c>
      <c r="S207" s="83">
        <f t="shared" si="48"/>
        <v>55.754760168392536</v>
      </c>
      <c r="T207" s="83">
        <f t="shared" si="48"/>
        <v>46.090749402607742</v>
      </c>
      <c r="U207" s="83">
        <f t="shared" si="48"/>
        <v>46.756777262158693</v>
      </c>
      <c r="V207" s="83">
        <f t="shared" si="48"/>
        <v>78.524889461713713</v>
      </c>
      <c r="W207" s="83">
        <f t="shared" si="47"/>
        <v>81.947971592732159</v>
      </c>
      <c r="DA207" s="49" t="s">
        <v>196</v>
      </c>
    </row>
    <row r="208" spans="1:105" ht="11.4" customHeight="1" x14ac:dyDescent="0.35">
      <c r="A208" s="61" t="s">
        <v>99</v>
      </c>
      <c r="B208" s="84">
        <f t="shared" si="48"/>
        <v>106.58100535132118</v>
      </c>
      <c r="C208" s="84">
        <f t="shared" si="48"/>
        <v>90.133377899631284</v>
      </c>
      <c r="D208" s="84">
        <f t="shared" si="48"/>
        <v>113.56259576566517</v>
      </c>
      <c r="E208" s="84">
        <f t="shared" si="48"/>
        <v>98.263146293246578</v>
      </c>
      <c r="F208" s="84">
        <f t="shared" si="48"/>
        <v>91.62934326293346</v>
      </c>
      <c r="G208" s="84">
        <f t="shared" si="48"/>
        <v>94.673697403591476</v>
      </c>
      <c r="H208" s="84">
        <f t="shared" si="48"/>
        <v>75.267802130368764</v>
      </c>
      <c r="I208" s="84">
        <f t="shared" si="48"/>
        <v>61.474920546746596</v>
      </c>
      <c r="J208" s="84">
        <f t="shared" si="48"/>
        <v>82.631388835831515</v>
      </c>
      <c r="K208" s="84">
        <f t="shared" si="48"/>
        <v>98.211045871371027</v>
      </c>
      <c r="L208" s="84">
        <f t="shared" si="48"/>
        <v>75.681912166534431</v>
      </c>
      <c r="M208" s="84">
        <f t="shared" si="48"/>
        <v>72.223274528162804</v>
      </c>
      <c r="N208" s="84">
        <f t="shared" si="48"/>
        <v>68.597337721572814</v>
      </c>
      <c r="O208" s="84">
        <f t="shared" si="48"/>
        <v>87.566829201982728</v>
      </c>
      <c r="P208" s="84">
        <f t="shared" si="48"/>
        <v>69.117461048614956</v>
      </c>
      <c r="Q208" s="84">
        <f t="shared" si="48"/>
        <v>73.270675760597612</v>
      </c>
      <c r="R208" s="84">
        <f t="shared" si="48"/>
        <v>61.832506906347746</v>
      </c>
      <c r="S208" s="84">
        <f t="shared" si="48"/>
        <v>64.832730330344745</v>
      </c>
      <c r="T208" s="84">
        <f t="shared" si="48"/>
        <v>72.489291957158827</v>
      </c>
      <c r="U208" s="84">
        <f t="shared" si="48"/>
        <v>74.211590679006164</v>
      </c>
      <c r="V208" s="84">
        <f t="shared" si="48"/>
        <v>79.841997913291195</v>
      </c>
      <c r="W208" s="84">
        <f t="shared" si="47"/>
        <v>90.81606979230942</v>
      </c>
      <c r="DA208" s="63" t="s">
        <v>197</v>
      </c>
    </row>
    <row r="209" spans="1:105" ht="11.4" customHeight="1" x14ac:dyDescent="0.35">
      <c r="A209" s="59" t="str">
        <f>$A$27</f>
        <v>Domestic coastal shipping</v>
      </c>
      <c r="B209" s="83">
        <f t="shared" si="48"/>
        <v>106.58100535132118</v>
      </c>
      <c r="C209" s="83">
        <f t="shared" si="48"/>
        <v>90.133377899631284</v>
      </c>
      <c r="D209" s="83">
        <f t="shared" si="48"/>
        <v>113.56259576566517</v>
      </c>
      <c r="E209" s="83">
        <f t="shared" si="48"/>
        <v>98.263146293246578</v>
      </c>
      <c r="F209" s="83">
        <f t="shared" si="48"/>
        <v>91.62934326293346</v>
      </c>
      <c r="G209" s="83">
        <f t="shared" si="48"/>
        <v>94.673697403591476</v>
      </c>
      <c r="H209" s="83">
        <f t="shared" si="48"/>
        <v>75.267802130368764</v>
      </c>
      <c r="I209" s="83">
        <f t="shared" si="48"/>
        <v>61.474920546746596</v>
      </c>
      <c r="J209" s="83">
        <f t="shared" si="48"/>
        <v>82.631388835831515</v>
      </c>
      <c r="K209" s="83">
        <f t="shared" si="48"/>
        <v>98.211045871371027</v>
      </c>
      <c r="L209" s="83">
        <f t="shared" si="48"/>
        <v>75.681912166534431</v>
      </c>
      <c r="M209" s="83">
        <f t="shared" si="48"/>
        <v>72.223274528162804</v>
      </c>
      <c r="N209" s="83">
        <f t="shared" si="48"/>
        <v>68.597337721572814</v>
      </c>
      <c r="O209" s="83">
        <f t="shared" si="48"/>
        <v>87.566829201982728</v>
      </c>
      <c r="P209" s="83">
        <f t="shared" si="48"/>
        <v>69.117461048614956</v>
      </c>
      <c r="Q209" s="83">
        <f t="shared" si="48"/>
        <v>73.270675760597612</v>
      </c>
      <c r="R209" s="83">
        <f t="shared" si="48"/>
        <v>61.832506906347746</v>
      </c>
      <c r="S209" s="83">
        <f t="shared" si="48"/>
        <v>64.832730330344745</v>
      </c>
      <c r="T209" s="83">
        <f t="shared" si="48"/>
        <v>72.489291957158827</v>
      </c>
      <c r="U209" s="83">
        <f t="shared" si="48"/>
        <v>74.211590679006164</v>
      </c>
      <c r="V209" s="83">
        <f t="shared" si="48"/>
        <v>79.841997913291195</v>
      </c>
      <c r="W209" s="83">
        <f t="shared" si="47"/>
        <v>90.81606979230942</v>
      </c>
      <c r="DA209" s="49" t="s">
        <v>198</v>
      </c>
    </row>
    <row r="210" spans="1:105" ht="11.4" customHeight="1" x14ac:dyDescent="0.35">
      <c r="A210" s="67" t="str">
        <f>$A$28</f>
        <v>Inland waterways</v>
      </c>
      <c r="B210" s="85">
        <f t="shared" si="48"/>
        <v>0</v>
      </c>
      <c r="C210" s="85">
        <f t="shared" si="48"/>
        <v>0</v>
      </c>
      <c r="D210" s="85">
        <f t="shared" si="48"/>
        <v>0</v>
      </c>
      <c r="E210" s="85">
        <f t="shared" ref="E210:V210" si="49">IF(E58=0,0,E58/E28*1000)</f>
        <v>0</v>
      </c>
      <c r="F210" s="85">
        <f t="shared" si="49"/>
        <v>0</v>
      </c>
      <c r="G210" s="85">
        <f t="shared" si="49"/>
        <v>0</v>
      </c>
      <c r="H210" s="85">
        <f t="shared" si="49"/>
        <v>0</v>
      </c>
      <c r="I210" s="85">
        <f t="shared" si="49"/>
        <v>0</v>
      </c>
      <c r="J210" s="85">
        <f t="shared" si="49"/>
        <v>0</v>
      </c>
      <c r="K210" s="85">
        <f t="shared" si="49"/>
        <v>0</v>
      </c>
      <c r="L210" s="85">
        <f t="shared" si="49"/>
        <v>0</v>
      </c>
      <c r="M210" s="85">
        <f t="shared" si="49"/>
        <v>0</v>
      </c>
      <c r="N210" s="85">
        <f t="shared" si="49"/>
        <v>0</v>
      </c>
      <c r="O210" s="85">
        <f t="shared" si="49"/>
        <v>0</v>
      </c>
      <c r="P210" s="85">
        <f t="shared" si="49"/>
        <v>0</v>
      </c>
      <c r="Q210" s="85">
        <f t="shared" si="49"/>
        <v>0</v>
      </c>
      <c r="R210" s="85">
        <f t="shared" si="49"/>
        <v>0</v>
      </c>
      <c r="S210" s="85">
        <f t="shared" si="49"/>
        <v>0</v>
      </c>
      <c r="T210" s="85">
        <f t="shared" si="49"/>
        <v>0</v>
      </c>
      <c r="U210" s="85">
        <f t="shared" si="49"/>
        <v>0</v>
      </c>
      <c r="V210" s="85">
        <f t="shared" si="49"/>
        <v>0</v>
      </c>
      <c r="W210" s="85">
        <f t="shared" si="47"/>
        <v>0</v>
      </c>
      <c r="DA210" s="69" t="s">
        <v>199</v>
      </c>
    </row>
    <row r="211" spans="1:105" ht="11.4" customHeight="1" x14ac:dyDescent="0.35">
      <c r="A211" s="53" t="s">
        <v>200</v>
      </c>
      <c r="B211" s="81">
        <f t="shared" ref="B211:V213" si="50">IF(B59=0,0,B59/B29*1000)</f>
        <v>15.932090814361237</v>
      </c>
      <c r="C211" s="81">
        <f t="shared" si="50"/>
        <v>12.932544961132129</v>
      </c>
      <c r="D211" s="81">
        <f t="shared" si="50"/>
        <v>11.052435522354813</v>
      </c>
      <c r="E211" s="81">
        <f t="shared" si="50"/>
        <v>9.6247800470756992</v>
      </c>
      <c r="F211" s="81">
        <f t="shared" si="50"/>
        <v>8.9846506840010747</v>
      </c>
      <c r="G211" s="81">
        <f t="shared" si="50"/>
        <v>9.5804962505382818</v>
      </c>
      <c r="H211" s="81">
        <f t="shared" si="50"/>
        <v>10.559771788468291</v>
      </c>
      <c r="I211" s="81">
        <f t="shared" si="50"/>
        <v>12.141512361129319</v>
      </c>
      <c r="J211" s="81">
        <f t="shared" si="50"/>
        <v>10.563070462617464</v>
      </c>
      <c r="K211" s="81">
        <f t="shared" si="50"/>
        <v>6.8458139203441881</v>
      </c>
      <c r="L211" s="81">
        <f t="shared" si="50"/>
        <v>10.372477162930144</v>
      </c>
      <c r="M211" s="81">
        <f t="shared" si="50"/>
        <v>8.888295086116246</v>
      </c>
      <c r="N211" s="81">
        <f t="shared" si="50"/>
        <v>8.3198851680504973</v>
      </c>
      <c r="O211" s="81">
        <f t="shared" si="50"/>
        <v>9.3719710523396085</v>
      </c>
      <c r="P211" s="81">
        <f t="shared" si="50"/>
        <v>10.821462179091979</v>
      </c>
      <c r="Q211" s="81">
        <f t="shared" si="50"/>
        <v>8.5755360858163705</v>
      </c>
      <c r="R211" s="81">
        <f t="shared" si="50"/>
        <v>7.460993840636009</v>
      </c>
      <c r="S211" s="81">
        <f t="shared" si="50"/>
        <v>6.1905262121264082</v>
      </c>
      <c r="T211" s="81">
        <f t="shared" si="50"/>
        <v>6.7255329341444909</v>
      </c>
      <c r="U211" s="81">
        <f t="shared" si="50"/>
        <v>7.4414443448963272</v>
      </c>
      <c r="V211" s="81">
        <f t="shared" si="50"/>
        <v>5.5719160706888653</v>
      </c>
      <c r="W211" s="81">
        <f t="shared" si="47"/>
        <v>4.5920522327252362</v>
      </c>
      <c r="DA211" s="55" t="s">
        <v>201</v>
      </c>
    </row>
    <row r="212" spans="1:105" ht="11.4" customHeight="1" x14ac:dyDescent="0.35">
      <c r="A212" s="59" t="str">
        <f>$A$30</f>
        <v>Intra-EEA</v>
      </c>
      <c r="B212" s="83">
        <f t="shared" si="50"/>
        <v>25.396845586680808</v>
      </c>
      <c r="C212" s="83">
        <f t="shared" si="50"/>
        <v>21.062670438425524</v>
      </c>
      <c r="D212" s="83">
        <f t="shared" si="50"/>
        <v>17.359771707475932</v>
      </c>
      <c r="E212" s="83">
        <f t="shared" si="50"/>
        <v>16.66568379989695</v>
      </c>
      <c r="F212" s="83">
        <f t="shared" si="50"/>
        <v>13.832859914547406</v>
      </c>
      <c r="G212" s="83">
        <f t="shared" si="50"/>
        <v>14.504171517196152</v>
      </c>
      <c r="H212" s="83">
        <f t="shared" si="50"/>
        <v>18.155848500175079</v>
      </c>
      <c r="I212" s="83">
        <f t="shared" si="50"/>
        <v>20.248545197157959</v>
      </c>
      <c r="J212" s="83">
        <f t="shared" si="50"/>
        <v>17.639423553251024</v>
      </c>
      <c r="K212" s="83">
        <f t="shared" si="50"/>
        <v>11.39893735848392</v>
      </c>
      <c r="L212" s="83">
        <f t="shared" si="50"/>
        <v>16.158472257995573</v>
      </c>
      <c r="M212" s="83">
        <f t="shared" si="50"/>
        <v>15.446161231522314</v>
      </c>
      <c r="N212" s="83">
        <f t="shared" si="50"/>
        <v>12.604754702109812</v>
      </c>
      <c r="O212" s="83">
        <f t="shared" si="50"/>
        <v>13.235507842135801</v>
      </c>
      <c r="P212" s="83">
        <f t="shared" si="50"/>
        <v>16.585262582012756</v>
      </c>
      <c r="Q212" s="83">
        <f t="shared" si="50"/>
        <v>15.11713940870081</v>
      </c>
      <c r="R212" s="83">
        <f t="shared" si="50"/>
        <v>12.927630984076393</v>
      </c>
      <c r="S212" s="83">
        <f t="shared" si="50"/>
        <v>10.611334726187463</v>
      </c>
      <c r="T212" s="83">
        <f t="shared" si="50"/>
        <v>12.044130288538906</v>
      </c>
      <c r="U212" s="83">
        <f t="shared" si="50"/>
        <v>13.606495503005183</v>
      </c>
      <c r="V212" s="83">
        <f t="shared" si="50"/>
        <v>9.4072461296236938</v>
      </c>
      <c r="W212" s="83">
        <f t="shared" si="47"/>
        <v>7.9240436079500238</v>
      </c>
      <c r="DA212" s="49" t="s">
        <v>202</v>
      </c>
    </row>
    <row r="213" spans="1:105" ht="11.4" customHeight="1" x14ac:dyDescent="0.35">
      <c r="A213" s="67" t="str">
        <f>$A$31</f>
        <v>Extra-EEA</v>
      </c>
      <c r="B213" s="85">
        <f t="shared" si="50"/>
        <v>12.447854784534416</v>
      </c>
      <c r="C213" s="85">
        <f t="shared" si="50"/>
        <v>10.027704250536459</v>
      </c>
      <c r="D213" s="85">
        <f t="shared" si="50"/>
        <v>8.6152858602714808</v>
      </c>
      <c r="E213" s="85">
        <f t="shared" si="50"/>
        <v>7.3882625807014701</v>
      </c>
      <c r="F213" s="85">
        <f t="shared" si="50"/>
        <v>6.9960874356872003</v>
      </c>
      <c r="G213" s="85">
        <f t="shared" si="50"/>
        <v>7.4717239536095139</v>
      </c>
      <c r="H213" s="85">
        <f t="shared" si="50"/>
        <v>8.1867273693739833</v>
      </c>
      <c r="I213" s="85">
        <f t="shared" si="50"/>
        <v>9.402721570989824</v>
      </c>
      <c r="J213" s="85">
        <f t="shared" si="50"/>
        <v>8.1408328738709272</v>
      </c>
      <c r="K213" s="85">
        <f t="shared" si="50"/>
        <v>5.267055129871677</v>
      </c>
      <c r="L213" s="85">
        <f t="shared" si="50"/>
        <v>8.0090637762665722</v>
      </c>
      <c r="M213" s="85">
        <f t="shared" si="50"/>
        <v>6.8594801273332857</v>
      </c>
      <c r="N213" s="85">
        <f t="shared" si="50"/>
        <v>6.4686128478176581</v>
      </c>
      <c r="O213" s="85">
        <f t="shared" si="50"/>
        <v>7.3748832366993105</v>
      </c>
      <c r="P213" s="85">
        <f t="shared" si="50"/>
        <v>8.3750712076526028</v>
      </c>
      <c r="Q213" s="85">
        <f t="shared" si="50"/>
        <v>6.4558745988099595</v>
      </c>
      <c r="R213" s="85">
        <f t="shared" si="50"/>
        <v>5.6595556826910238</v>
      </c>
      <c r="S213" s="85">
        <f t="shared" si="50"/>
        <v>4.6943492559992119</v>
      </c>
      <c r="T213" s="85">
        <f t="shared" si="50"/>
        <v>5.0704974781534808</v>
      </c>
      <c r="U213" s="85">
        <f t="shared" si="50"/>
        <v>5.6079684423779739</v>
      </c>
      <c r="V213" s="85">
        <f t="shared" si="50"/>
        <v>4.4735177702684394</v>
      </c>
      <c r="W213" s="85">
        <f t="shared" ref="W213" si="51">IF(W61=0,0,W61/W31*1000)</f>
        <v>3.6897677001160623</v>
      </c>
      <c r="DA213" s="69" t="s">
        <v>203</v>
      </c>
    </row>
    <row r="214" spans="1:105" x14ac:dyDescent="0.35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DA214" s="49"/>
    </row>
    <row r="215" spans="1:105" ht="11.4" customHeight="1" x14ac:dyDescent="0.35">
      <c r="A215" s="50" t="s">
        <v>204</v>
      </c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DA215" s="52"/>
    </row>
    <row r="216" spans="1:105" ht="11.4" customHeight="1" x14ac:dyDescent="0.35">
      <c r="A216" s="53" t="s">
        <v>205</v>
      </c>
      <c r="B216" s="81">
        <f t="shared" ref="B216:W227" si="52">IF(B4=0,0,B64/B4*1000)</f>
        <v>120.09920380570945</v>
      </c>
      <c r="C216" s="81">
        <f t="shared" si="52"/>
        <v>119.68496754342877</v>
      </c>
      <c r="D216" s="81">
        <f t="shared" si="52"/>
        <v>116.74037116324216</v>
      </c>
      <c r="E216" s="81">
        <f t="shared" si="52"/>
        <v>119.72487262434532</v>
      </c>
      <c r="F216" s="81">
        <f t="shared" si="52"/>
        <v>120.00247597616122</v>
      </c>
      <c r="G216" s="81">
        <f t="shared" si="52"/>
        <v>121.28920261154686</v>
      </c>
      <c r="H216" s="81">
        <f t="shared" si="52"/>
        <v>121.52515612530014</v>
      </c>
      <c r="I216" s="81">
        <f t="shared" si="52"/>
        <v>125.10885062584634</v>
      </c>
      <c r="J216" s="81">
        <f t="shared" si="52"/>
        <v>122.50094670828113</v>
      </c>
      <c r="K216" s="81">
        <f t="shared" si="52"/>
        <v>119.44249813156516</v>
      </c>
      <c r="L216" s="81">
        <f t="shared" si="52"/>
        <v>117.18701849045277</v>
      </c>
      <c r="M216" s="81">
        <f t="shared" si="52"/>
        <v>116.02962190383593</v>
      </c>
      <c r="N216" s="81">
        <f t="shared" si="52"/>
        <v>108.95261605122197</v>
      </c>
      <c r="O216" s="81">
        <f t="shared" si="52"/>
        <v>106.63933607990043</v>
      </c>
      <c r="P216" s="81">
        <f t="shared" si="52"/>
        <v>106.34399124123827</v>
      </c>
      <c r="Q216" s="81">
        <f t="shared" si="52"/>
        <v>108.07630123506402</v>
      </c>
      <c r="R216" s="81">
        <f t="shared" si="52"/>
        <v>105.12463235757122</v>
      </c>
      <c r="S216" s="81">
        <f t="shared" si="52"/>
        <v>103.26777228009344</v>
      </c>
      <c r="T216" s="81">
        <f t="shared" si="52"/>
        <v>103.60328854867288</v>
      </c>
      <c r="U216" s="81">
        <f t="shared" si="52"/>
        <v>102.26205570024997</v>
      </c>
      <c r="V216" s="81">
        <f t="shared" si="52"/>
        <v>106.24888102120228</v>
      </c>
      <c r="W216" s="81">
        <f t="shared" si="52"/>
        <v>105.78927064904553</v>
      </c>
      <c r="DA216" s="55" t="s">
        <v>206</v>
      </c>
    </row>
    <row r="217" spans="1:105" ht="11.4" customHeight="1" x14ac:dyDescent="0.35">
      <c r="A217" s="56" t="str">
        <f>$A$5</f>
        <v>Road transport</v>
      </c>
      <c r="B217" s="82">
        <f t="shared" si="52"/>
        <v>120.07083228330707</v>
      </c>
      <c r="C217" s="82">
        <f t="shared" si="52"/>
        <v>120.65444158571079</v>
      </c>
      <c r="D217" s="82">
        <f t="shared" si="52"/>
        <v>122.39126951264568</v>
      </c>
      <c r="E217" s="82">
        <f t="shared" si="52"/>
        <v>124.29879781705658</v>
      </c>
      <c r="F217" s="82">
        <f t="shared" si="52"/>
        <v>123.20890333608163</v>
      </c>
      <c r="G217" s="82">
        <f t="shared" si="52"/>
        <v>125.64603180602596</v>
      </c>
      <c r="H217" s="82">
        <f t="shared" si="52"/>
        <v>127.47290147364487</v>
      </c>
      <c r="I217" s="82">
        <f t="shared" si="52"/>
        <v>131.29146576720919</v>
      </c>
      <c r="J217" s="82">
        <f t="shared" si="52"/>
        <v>129.43208635013949</v>
      </c>
      <c r="K217" s="82">
        <f t="shared" si="52"/>
        <v>127.27136100843087</v>
      </c>
      <c r="L217" s="82">
        <f t="shared" si="52"/>
        <v>126.58215853717358</v>
      </c>
      <c r="M217" s="82">
        <f t="shared" si="52"/>
        <v>124.71153985882731</v>
      </c>
      <c r="N217" s="82">
        <f t="shared" si="52"/>
        <v>116.76649970556991</v>
      </c>
      <c r="O217" s="82">
        <f t="shared" si="52"/>
        <v>115.36139936894565</v>
      </c>
      <c r="P217" s="82">
        <f t="shared" si="52"/>
        <v>114.29991328857162</v>
      </c>
      <c r="Q217" s="82">
        <f t="shared" si="52"/>
        <v>118.15449065140868</v>
      </c>
      <c r="R217" s="82">
        <f t="shared" si="52"/>
        <v>113.00636185817825</v>
      </c>
      <c r="S217" s="82">
        <f t="shared" si="52"/>
        <v>110.39568066929024</v>
      </c>
      <c r="T217" s="82">
        <f t="shared" si="52"/>
        <v>111.16560731473426</v>
      </c>
      <c r="U217" s="82">
        <f t="shared" si="52"/>
        <v>107.90089231306517</v>
      </c>
      <c r="V217" s="82">
        <f t="shared" si="52"/>
        <v>107.40143023342776</v>
      </c>
      <c r="W217" s="82">
        <f t="shared" si="52"/>
        <v>106.48419341601095</v>
      </c>
      <c r="DA217" s="58" t="s">
        <v>207</v>
      </c>
    </row>
    <row r="218" spans="1:105" ht="11.4" customHeight="1" x14ac:dyDescent="0.35">
      <c r="A218" s="59" t="str">
        <f>$A$6</f>
        <v>Powered two-wheelers</v>
      </c>
      <c r="B218" s="83">
        <f t="shared" si="52"/>
        <v>111.28381184987967</v>
      </c>
      <c r="C218" s="83">
        <f t="shared" si="52"/>
        <v>110.4551411642512</v>
      </c>
      <c r="D218" s="83">
        <f t="shared" si="52"/>
        <v>109.83808908466246</v>
      </c>
      <c r="E218" s="83">
        <f t="shared" si="52"/>
        <v>109.45809022161433</v>
      </c>
      <c r="F218" s="83">
        <f t="shared" si="52"/>
        <v>108.45227234680367</v>
      </c>
      <c r="G218" s="83">
        <f t="shared" si="52"/>
        <v>106.77316553856636</v>
      </c>
      <c r="H218" s="83">
        <f t="shared" si="52"/>
        <v>105.0396503025358</v>
      </c>
      <c r="I218" s="83">
        <f t="shared" si="52"/>
        <v>103.27077593036992</v>
      </c>
      <c r="J218" s="83">
        <f t="shared" si="52"/>
        <v>102.09177477023906</v>
      </c>
      <c r="K218" s="83">
        <f t="shared" si="52"/>
        <v>101.11164175331076</v>
      </c>
      <c r="L218" s="83">
        <f t="shared" si="52"/>
        <v>99.055726695172424</v>
      </c>
      <c r="M218" s="83">
        <f t="shared" si="52"/>
        <v>97.323197415828986</v>
      </c>
      <c r="N218" s="83">
        <f t="shared" si="52"/>
        <v>96.971327345347305</v>
      </c>
      <c r="O218" s="83">
        <f t="shared" si="52"/>
        <v>96.243864002503898</v>
      </c>
      <c r="P218" s="83">
        <f t="shared" si="52"/>
        <v>95.63649311511405</v>
      </c>
      <c r="Q218" s="83">
        <f t="shared" si="52"/>
        <v>95.059831971968052</v>
      </c>
      <c r="R218" s="83">
        <f t="shared" si="52"/>
        <v>94.612258206819732</v>
      </c>
      <c r="S218" s="83">
        <f t="shared" si="52"/>
        <v>93.567090024587031</v>
      </c>
      <c r="T218" s="83">
        <f t="shared" si="52"/>
        <v>92.992491995404947</v>
      </c>
      <c r="U218" s="83">
        <f t="shared" si="52"/>
        <v>91.622234261434357</v>
      </c>
      <c r="V218" s="83">
        <f t="shared" si="52"/>
        <v>88.158850525031312</v>
      </c>
      <c r="W218" s="83">
        <f t="shared" si="52"/>
        <v>84.397862514474795</v>
      </c>
      <c r="DA218" s="49" t="s">
        <v>208</v>
      </c>
    </row>
    <row r="219" spans="1:105" ht="11.4" customHeight="1" x14ac:dyDescent="0.35">
      <c r="A219" s="59" t="str">
        <f>$A$7</f>
        <v>Passenger cars</v>
      </c>
      <c r="B219" s="83">
        <f t="shared" si="52"/>
        <v>116.76595604785462</v>
      </c>
      <c r="C219" s="83">
        <f t="shared" si="52"/>
        <v>117.77267674644055</v>
      </c>
      <c r="D219" s="83">
        <f t="shared" si="52"/>
        <v>120.21949745930154</v>
      </c>
      <c r="E219" s="83">
        <f t="shared" si="52"/>
        <v>122.10760810240814</v>
      </c>
      <c r="F219" s="83">
        <f t="shared" si="52"/>
        <v>121.30950629459174</v>
      </c>
      <c r="G219" s="83">
        <f t="shared" si="52"/>
        <v>123.61626267520553</v>
      </c>
      <c r="H219" s="83">
        <f t="shared" si="52"/>
        <v>125.32496990651582</v>
      </c>
      <c r="I219" s="83">
        <f t="shared" si="52"/>
        <v>129.50359188032698</v>
      </c>
      <c r="J219" s="83">
        <f t="shared" si="52"/>
        <v>126.85716369509345</v>
      </c>
      <c r="K219" s="83">
        <f t="shared" si="52"/>
        <v>124.10496203422836</v>
      </c>
      <c r="L219" s="83">
        <f t="shared" si="52"/>
        <v>123.0806017128608</v>
      </c>
      <c r="M219" s="83">
        <f t="shared" si="52"/>
        <v>121.83259388054765</v>
      </c>
      <c r="N219" s="83">
        <f t="shared" si="52"/>
        <v>114.04549636940831</v>
      </c>
      <c r="O219" s="83">
        <f t="shared" si="52"/>
        <v>113.22284333998164</v>
      </c>
      <c r="P219" s="83">
        <f t="shared" si="52"/>
        <v>111.68326821359913</v>
      </c>
      <c r="Q219" s="83">
        <f t="shared" si="52"/>
        <v>116.35042792053845</v>
      </c>
      <c r="R219" s="83">
        <f t="shared" si="52"/>
        <v>110.4541377628249</v>
      </c>
      <c r="S219" s="83">
        <f t="shared" si="52"/>
        <v>107.2067047549392</v>
      </c>
      <c r="T219" s="83">
        <f t="shared" si="52"/>
        <v>107.7633836516633</v>
      </c>
      <c r="U219" s="83">
        <f t="shared" si="52"/>
        <v>104.45216620135614</v>
      </c>
      <c r="V219" s="83">
        <f t="shared" si="52"/>
        <v>99.357931299121333</v>
      </c>
      <c r="W219" s="83">
        <f t="shared" si="52"/>
        <v>99.166787520921602</v>
      </c>
      <c r="DA219" s="49" t="s">
        <v>209</v>
      </c>
    </row>
    <row r="220" spans="1:105" ht="11.4" customHeight="1" x14ac:dyDescent="0.35">
      <c r="A220" s="59" t="str">
        <f>$A$8</f>
        <v>Motor coaches, buses and trolley buses</v>
      </c>
      <c r="B220" s="83">
        <f t="shared" si="52"/>
        <v>143.3530161993198</v>
      </c>
      <c r="C220" s="83">
        <f t="shared" si="52"/>
        <v>140.97315886278403</v>
      </c>
      <c r="D220" s="83">
        <f t="shared" si="52"/>
        <v>138.16354219489904</v>
      </c>
      <c r="E220" s="83">
        <f t="shared" si="52"/>
        <v>140.53040690247789</v>
      </c>
      <c r="F220" s="83">
        <f t="shared" si="52"/>
        <v>137.60790080530947</v>
      </c>
      <c r="G220" s="83">
        <f t="shared" si="52"/>
        <v>141.39747046962918</v>
      </c>
      <c r="H220" s="83">
        <f t="shared" si="52"/>
        <v>144.70784826432799</v>
      </c>
      <c r="I220" s="83">
        <f t="shared" si="52"/>
        <v>147.45763960272816</v>
      </c>
      <c r="J220" s="83">
        <f t="shared" si="52"/>
        <v>151.98468380839449</v>
      </c>
      <c r="K220" s="83">
        <f t="shared" si="52"/>
        <v>154.28602004448709</v>
      </c>
      <c r="L220" s="83">
        <f t="shared" si="52"/>
        <v>155.88936530962042</v>
      </c>
      <c r="M220" s="83">
        <f t="shared" si="52"/>
        <v>150.35669720500107</v>
      </c>
      <c r="N220" s="83">
        <f t="shared" si="52"/>
        <v>141.0196429011429</v>
      </c>
      <c r="O220" s="83">
        <f t="shared" si="52"/>
        <v>134.90425927932117</v>
      </c>
      <c r="P220" s="83">
        <f t="shared" si="52"/>
        <v>138.01721573431851</v>
      </c>
      <c r="Q220" s="83">
        <f t="shared" si="52"/>
        <v>135.51923830257135</v>
      </c>
      <c r="R220" s="83">
        <f t="shared" si="52"/>
        <v>136.17471395054443</v>
      </c>
      <c r="S220" s="83">
        <f t="shared" si="52"/>
        <v>138.16708319043801</v>
      </c>
      <c r="T220" s="83">
        <f t="shared" si="52"/>
        <v>142.0872225773314</v>
      </c>
      <c r="U220" s="83">
        <f t="shared" si="52"/>
        <v>140.57812356376573</v>
      </c>
      <c r="V220" s="83">
        <f t="shared" si="52"/>
        <v>213.35900499879989</v>
      </c>
      <c r="W220" s="83">
        <f t="shared" si="52"/>
        <v>198.46036137870982</v>
      </c>
      <c r="DA220" s="49" t="s">
        <v>210</v>
      </c>
    </row>
    <row r="221" spans="1:105" ht="11.4" customHeight="1" x14ac:dyDescent="0.35">
      <c r="A221" s="61" t="str">
        <f>$A$9</f>
        <v>Rail, metro and tram</v>
      </c>
      <c r="B221" s="84">
        <f t="shared" si="52"/>
        <v>35.680487776630329</v>
      </c>
      <c r="C221" s="84">
        <f t="shared" si="52"/>
        <v>32.096106668306632</v>
      </c>
      <c r="D221" s="84">
        <f t="shared" si="52"/>
        <v>32.467172005604176</v>
      </c>
      <c r="E221" s="84">
        <f t="shared" si="52"/>
        <v>33.071814756661581</v>
      </c>
      <c r="F221" s="84">
        <f t="shared" si="52"/>
        <v>31.071853186107642</v>
      </c>
      <c r="G221" s="84">
        <f t="shared" si="52"/>
        <v>33.749351885108972</v>
      </c>
      <c r="H221" s="84">
        <f t="shared" si="52"/>
        <v>32.561656621729639</v>
      </c>
      <c r="I221" s="84">
        <f t="shared" si="52"/>
        <v>32.530650340189538</v>
      </c>
      <c r="J221" s="84">
        <f t="shared" si="52"/>
        <v>33.452017791750023</v>
      </c>
      <c r="K221" s="84">
        <f t="shared" si="52"/>
        <v>33.18833836000254</v>
      </c>
      <c r="L221" s="84">
        <f t="shared" si="52"/>
        <v>33.157128110538643</v>
      </c>
      <c r="M221" s="84">
        <f t="shared" si="52"/>
        <v>33.200011417588563</v>
      </c>
      <c r="N221" s="84">
        <f t="shared" si="52"/>
        <v>33.30475151406921</v>
      </c>
      <c r="O221" s="84">
        <f t="shared" si="52"/>
        <v>32.472043203530376</v>
      </c>
      <c r="P221" s="84">
        <f t="shared" si="52"/>
        <v>33.174593947884588</v>
      </c>
      <c r="Q221" s="84">
        <f t="shared" si="52"/>
        <v>32.32338308812411</v>
      </c>
      <c r="R221" s="84">
        <f t="shared" si="52"/>
        <v>33.908133490469908</v>
      </c>
      <c r="S221" s="84">
        <f t="shared" si="52"/>
        <v>32.925557633850644</v>
      </c>
      <c r="T221" s="84">
        <f t="shared" si="52"/>
        <v>30.646740970906841</v>
      </c>
      <c r="U221" s="84">
        <f t="shared" si="52"/>
        <v>30.726002182093048</v>
      </c>
      <c r="V221" s="84">
        <f t="shared" si="52"/>
        <v>41.683750613554075</v>
      </c>
      <c r="W221" s="84">
        <f t="shared" si="52"/>
        <v>37.316730774770392</v>
      </c>
      <c r="DA221" s="63" t="s">
        <v>211</v>
      </c>
    </row>
    <row r="222" spans="1:105" ht="11.4" customHeight="1" x14ac:dyDescent="0.35">
      <c r="A222" s="59" t="str">
        <f>$A$10</f>
        <v>Metro and tram, urban light rail</v>
      </c>
      <c r="B222" s="83">
        <f t="shared" si="52"/>
        <v>0</v>
      </c>
      <c r="C222" s="83">
        <f t="shared" si="52"/>
        <v>0</v>
      </c>
      <c r="D222" s="83">
        <f t="shared" si="52"/>
        <v>0</v>
      </c>
      <c r="E222" s="83">
        <f t="shared" si="52"/>
        <v>0</v>
      </c>
      <c r="F222" s="83">
        <f t="shared" si="52"/>
        <v>0</v>
      </c>
      <c r="G222" s="83">
        <f t="shared" si="52"/>
        <v>0</v>
      </c>
      <c r="H222" s="83">
        <f t="shared" si="52"/>
        <v>0</v>
      </c>
      <c r="I222" s="83">
        <f t="shared" si="52"/>
        <v>0</v>
      </c>
      <c r="J222" s="83">
        <f t="shared" si="52"/>
        <v>0</v>
      </c>
      <c r="K222" s="83">
        <f t="shared" si="52"/>
        <v>0</v>
      </c>
      <c r="L222" s="83">
        <f t="shared" si="52"/>
        <v>0</v>
      </c>
      <c r="M222" s="83">
        <f t="shared" si="52"/>
        <v>0</v>
      </c>
      <c r="N222" s="83">
        <f t="shared" si="52"/>
        <v>0</v>
      </c>
      <c r="O222" s="83">
        <f t="shared" si="52"/>
        <v>0</v>
      </c>
      <c r="P222" s="83">
        <f t="shared" si="52"/>
        <v>0</v>
      </c>
      <c r="Q222" s="83">
        <f t="shared" si="52"/>
        <v>0</v>
      </c>
      <c r="R222" s="83">
        <f t="shared" si="52"/>
        <v>0</v>
      </c>
      <c r="S222" s="83">
        <f t="shared" si="52"/>
        <v>0</v>
      </c>
      <c r="T222" s="83">
        <f t="shared" si="52"/>
        <v>0</v>
      </c>
      <c r="U222" s="83">
        <f t="shared" si="52"/>
        <v>0</v>
      </c>
      <c r="V222" s="83">
        <f t="shared" si="52"/>
        <v>0</v>
      </c>
      <c r="W222" s="83">
        <f t="shared" si="52"/>
        <v>0</v>
      </c>
      <c r="DA222" s="49" t="s">
        <v>212</v>
      </c>
    </row>
    <row r="223" spans="1:105" ht="11.4" customHeight="1" x14ac:dyDescent="0.35">
      <c r="A223" s="59" t="str">
        <f>$A$11</f>
        <v>Conventional passenger trains</v>
      </c>
      <c r="B223" s="83">
        <f t="shared" si="52"/>
        <v>35.680487776630329</v>
      </c>
      <c r="C223" s="83">
        <f t="shared" si="52"/>
        <v>32.096106668306632</v>
      </c>
      <c r="D223" s="83">
        <f t="shared" si="52"/>
        <v>32.518034416056828</v>
      </c>
      <c r="E223" s="83">
        <f t="shared" si="52"/>
        <v>33.45214630295343</v>
      </c>
      <c r="F223" s="83">
        <f t="shared" si="52"/>
        <v>31.740739363003332</v>
      </c>
      <c r="G223" s="83">
        <f t="shared" si="52"/>
        <v>34.664550245568904</v>
      </c>
      <c r="H223" s="83">
        <f t="shared" si="52"/>
        <v>33.435651987681133</v>
      </c>
      <c r="I223" s="83">
        <f t="shared" si="52"/>
        <v>33.462956867102349</v>
      </c>
      <c r="J223" s="83">
        <f t="shared" si="52"/>
        <v>34.490734904710415</v>
      </c>
      <c r="K223" s="83">
        <f t="shared" si="52"/>
        <v>34.348203891114458</v>
      </c>
      <c r="L223" s="83">
        <f t="shared" si="52"/>
        <v>34.407452127329222</v>
      </c>
      <c r="M223" s="83">
        <f t="shared" si="52"/>
        <v>34.650066904484021</v>
      </c>
      <c r="N223" s="83">
        <f t="shared" si="52"/>
        <v>34.705012664116005</v>
      </c>
      <c r="O223" s="83">
        <f t="shared" si="52"/>
        <v>33.879776415223652</v>
      </c>
      <c r="P223" s="83">
        <f t="shared" si="52"/>
        <v>34.677204912820244</v>
      </c>
      <c r="Q223" s="83">
        <f t="shared" si="52"/>
        <v>33.823792201652161</v>
      </c>
      <c r="R223" s="83">
        <f t="shared" si="52"/>
        <v>35.627102355037323</v>
      </c>
      <c r="S223" s="83">
        <f t="shared" si="52"/>
        <v>34.713394441675973</v>
      </c>
      <c r="T223" s="83">
        <f t="shared" si="52"/>
        <v>32.38752729037742</v>
      </c>
      <c r="U223" s="83">
        <f t="shared" si="52"/>
        <v>32.716672877401962</v>
      </c>
      <c r="V223" s="83">
        <f t="shared" si="52"/>
        <v>44.741264300690403</v>
      </c>
      <c r="W223" s="83">
        <f t="shared" si="52"/>
        <v>40.271009149907677</v>
      </c>
      <c r="DA223" s="49" t="s">
        <v>213</v>
      </c>
    </row>
    <row r="224" spans="1:105" ht="11.4" customHeight="1" x14ac:dyDescent="0.35">
      <c r="A224" s="59" t="str">
        <f>$A$12</f>
        <v>High speed passenger trains</v>
      </c>
      <c r="B224" s="83">
        <f t="shared" si="52"/>
        <v>0</v>
      </c>
      <c r="C224" s="83">
        <f t="shared" si="52"/>
        <v>0</v>
      </c>
      <c r="D224" s="83">
        <f t="shared" si="52"/>
        <v>0</v>
      </c>
      <c r="E224" s="83">
        <f t="shared" si="52"/>
        <v>0</v>
      </c>
      <c r="F224" s="83">
        <f t="shared" si="52"/>
        <v>0</v>
      </c>
      <c r="G224" s="83">
        <f t="shared" si="52"/>
        <v>0</v>
      </c>
      <c r="H224" s="83">
        <f t="shared" si="52"/>
        <v>0</v>
      </c>
      <c r="I224" s="83">
        <f t="shared" si="52"/>
        <v>0</v>
      </c>
      <c r="J224" s="83">
        <f t="shared" si="52"/>
        <v>0</v>
      </c>
      <c r="K224" s="83">
        <f t="shared" si="52"/>
        <v>0</v>
      </c>
      <c r="L224" s="83">
        <f t="shared" si="52"/>
        <v>0</v>
      </c>
      <c r="M224" s="83">
        <f t="shared" si="52"/>
        <v>0</v>
      </c>
      <c r="N224" s="83">
        <f t="shared" si="52"/>
        <v>0</v>
      </c>
      <c r="O224" s="83">
        <f t="shared" si="52"/>
        <v>0</v>
      </c>
      <c r="P224" s="83">
        <f t="shared" si="52"/>
        <v>0</v>
      </c>
      <c r="Q224" s="83">
        <f t="shared" si="52"/>
        <v>0</v>
      </c>
      <c r="R224" s="83">
        <f t="shared" si="52"/>
        <v>0</v>
      </c>
      <c r="S224" s="83">
        <f t="shared" si="52"/>
        <v>0</v>
      </c>
      <c r="T224" s="83">
        <f t="shared" si="52"/>
        <v>0</v>
      </c>
      <c r="U224" s="83">
        <f t="shared" si="52"/>
        <v>0</v>
      </c>
      <c r="V224" s="83">
        <f t="shared" si="52"/>
        <v>0</v>
      </c>
      <c r="W224" s="83">
        <f t="shared" si="52"/>
        <v>0</v>
      </c>
      <c r="DA224" s="49" t="s">
        <v>214</v>
      </c>
    </row>
    <row r="225" spans="1:105" ht="11.4" customHeight="1" x14ac:dyDescent="0.35">
      <c r="A225" s="61" t="str">
        <f>$A$13</f>
        <v>Aviation</v>
      </c>
      <c r="B225" s="84">
        <f t="shared" si="52"/>
        <v>148.13553787457749</v>
      </c>
      <c r="C225" s="84">
        <f t="shared" si="52"/>
        <v>145.39548518565141</v>
      </c>
      <c r="D225" s="84">
        <f t="shared" si="52"/>
        <v>126.03939919240237</v>
      </c>
      <c r="E225" s="84">
        <f t="shared" si="52"/>
        <v>134.4414990756442</v>
      </c>
      <c r="F225" s="84">
        <f t="shared" si="52"/>
        <v>139.23232189745519</v>
      </c>
      <c r="G225" s="84">
        <f t="shared" si="52"/>
        <v>135.78933543038374</v>
      </c>
      <c r="H225" s="84">
        <f t="shared" si="52"/>
        <v>132.17326334658242</v>
      </c>
      <c r="I225" s="84">
        <f t="shared" si="52"/>
        <v>136.29569708376198</v>
      </c>
      <c r="J225" s="84">
        <f t="shared" si="52"/>
        <v>130.98661340070288</v>
      </c>
      <c r="K225" s="84">
        <f t="shared" si="52"/>
        <v>123.97335924217248</v>
      </c>
      <c r="L225" s="84">
        <f t="shared" si="52"/>
        <v>117.01673796475021</v>
      </c>
      <c r="M225" s="84">
        <f t="shared" si="52"/>
        <v>117.28675889389133</v>
      </c>
      <c r="N225" s="84">
        <f t="shared" si="52"/>
        <v>111.02635027121951</v>
      </c>
      <c r="O225" s="84">
        <f t="shared" si="52"/>
        <v>105.91533114215046</v>
      </c>
      <c r="P225" s="84">
        <f t="shared" si="52"/>
        <v>106.64610208108411</v>
      </c>
      <c r="Q225" s="84">
        <f t="shared" si="52"/>
        <v>102.81965747656189</v>
      </c>
      <c r="R225" s="84">
        <f t="shared" si="52"/>
        <v>103.20472912539287</v>
      </c>
      <c r="S225" s="84">
        <f t="shared" si="52"/>
        <v>102.59932511692982</v>
      </c>
      <c r="T225" s="84">
        <f t="shared" si="52"/>
        <v>102.15954896816051</v>
      </c>
      <c r="U225" s="84">
        <f t="shared" si="52"/>
        <v>104.75886308257421</v>
      </c>
      <c r="V225" s="84">
        <f t="shared" si="52"/>
        <v>134.02218676187292</v>
      </c>
      <c r="W225" s="84">
        <f t="shared" si="52"/>
        <v>135.22718326256552</v>
      </c>
      <c r="DA225" s="63" t="s">
        <v>215</v>
      </c>
    </row>
    <row r="226" spans="1:105" ht="11.4" customHeight="1" x14ac:dyDescent="0.35">
      <c r="A226" s="59" t="str">
        <f>$A$14</f>
        <v>Domestic</v>
      </c>
      <c r="B226" s="83">
        <f t="shared" si="52"/>
        <v>479.9782662968625</v>
      </c>
      <c r="C226" s="83">
        <f t="shared" si="52"/>
        <v>477.36307697874804</v>
      </c>
      <c r="D226" s="83">
        <f t="shared" si="52"/>
        <v>436.55015902518147</v>
      </c>
      <c r="E226" s="83">
        <f t="shared" si="52"/>
        <v>391.70231380614104</v>
      </c>
      <c r="F226" s="83">
        <f t="shared" si="52"/>
        <v>261.1145917940093</v>
      </c>
      <c r="G226" s="83">
        <f t="shared" si="52"/>
        <v>276.60557334913835</v>
      </c>
      <c r="H226" s="83">
        <f t="shared" si="52"/>
        <v>270.03896581526101</v>
      </c>
      <c r="I226" s="83">
        <f t="shared" si="52"/>
        <v>285.82010802510376</v>
      </c>
      <c r="J226" s="83">
        <f t="shared" si="52"/>
        <v>291.41566598362255</v>
      </c>
      <c r="K226" s="83">
        <f t="shared" si="52"/>
        <v>287.86690249111803</v>
      </c>
      <c r="L226" s="83">
        <f t="shared" si="52"/>
        <v>249.30979090003316</v>
      </c>
      <c r="M226" s="83">
        <f t="shared" si="52"/>
        <v>258.42975242634185</v>
      </c>
      <c r="N226" s="83">
        <f t="shared" si="52"/>
        <v>284.84249627645704</v>
      </c>
      <c r="O226" s="83">
        <f t="shared" si="52"/>
        <v>275.28210882551309</v>
      </c>
      <c r="P226" s="83">
        <f t="shared" si="52"/>
        <v>258.96320914277862</v>
      </c>
      <c r="Q226" s="83">
        <f t="shared" si="52"/>
        <v>246.26478904948488</v>
      </c>
      <c r="R226" s="83">
        <f t="shared" si="52"/>
        <v>240.96626356137023</v>
      </c>
      <c r="S226" s="83">
        <f t="shared" si="52"/>
        <v>238.11751039079977</v>
      </c>
      <c r="T226" s="83">
        <f t="shared" si="52"/>
        <v>227.78559631038399</v>
      </c>
      <c r="U226" s="83">
        <f t="shared" si="52"/>
        <v>242.73286823037759</v>
      </c>
      <c r="V226" s="83">
        <f t="shared" si="52"/>
        <v>309.13755907138926</v>
      </c>
      <c r="W226" s="83">
        <f t="shared" si="52"/>
        <v>237.17843350826345</v>
      </c>
      <c r="DA226" s="49" t="s">
        <v>216</v>
      </c>
    </row>
    <row r="227" spans="1:105" ht="11.4" customHeight="1" x14ac:dyDescent="0.35">
      <c r="A227" s="59" t="str">
        <f>$A$15</f>
        <v>International - Intra-EEAwUK</v>
      </c>
      <c r="B227" s="83">
        <f t="shared" si="52"/>
        <v>129.40747358405525</v>
      </c>
      <c r="C227" s="83">
        <f t="shared" si="52"/>
        <v>126.70264744162269</v>
      </c>
      <c r="D227" s="83">
        <f t="shared" si="52"/>
        <v>115.15241245697462</v>
      </c>
      <c r="E227" s="83">
        <f t="shared" si="52"/>
        <v>124.91096225028296</v>
      </c>
      <c r="F227" s="83">
        <f t="shared" si="52"/>
        <v>132.05323624952922</v>
      </c>
      <c r="G227" s="83">
        <f t="shared" si="52"/>
        <v>132.38746827893544</v>
      </c>
      <c r="H227" s="83">
        <f t="shared" si="52"/>
        <v>130.79165962988864</v>
      </c>
      <c r="I227" s="83">
        <f t="shared" si="52"/>
        <v>136.20808383467659</v>
      </c>
      <c r="J227" s="83">
        <f t="shared" si="52"/>
        <v>133.35221530840201</v>
      </c>
      <c r="K227" s="83">
        <f t="shared" si="52"/>
        <v>122.6478188706317</v>
      </c>
      <c r="L227" s="83">
        <f t="shared" si="52"/>
        <v>117.01215027645678</v>
      </c>
      <c r="M227" s="83">
        <f t="shared" si="52"/>
        <v>114.51016758083267</v>
      </c>
      <c r="N227" s="83">
        <f t="shared" si="52"/>
        <v>110.66914438440125</v>
      </c>
      <c r="O227" s="83">
        <f t="shared" ref="O227:W242" si="53">IF(O15=0,0,O75/O15*1000)</f>
        <v>105.33191984936239</v>
      </c>
      <c r="P227" s="83">
        <f t="shared" si="53"/>
        <v>109.55957393367929</v>
      </c>
      <c r="Q227" s="83">
        <f t="shared" si="53"/>
        <v>106.0966524727942</v>
      </c>
      <c r="R227" s="83">
        <f t="shared" si="53"/>
        <v>105.34144455676301</v>
      </c>
      <c r="S227" s="83">
        <f t="shared" si="53"/>
        <v>104.9535351467332</v>
      </c>
      <c r="T227" s="83">
        <f t="shared" si="53"/>
        <v>106.63348647216907</v>
      </c>
      <c r="U227" s="83">
        <f t="shared" si="53"/>
        <v>110.70151624855157</v>
      </c>
      <c r="V227" s="83">
        <f t="shared" si="53"/>
        <v>118.88981244196081</v>
      </c>
      <c r="W227" s="83">
        <f t="shared" si="53"/>
        <v>107.54495859761778</v>
      </c>
      <c r="DA227" s="49" t="s">
        <v>217</v>
      </c>
    </row>
    <row r="228" spans="1:105" ht="11.4" customHeight="1" x14ac:dyDescent="0.35">
      <c r="A228" s="59" t="str">
        <f>$A$16</f>
        <v>International - Extra-EEAwUK</v>
      </c>
      <c r="B228" s="83">
        <f t="shared" ref="B228:V240" si="54">IF(B16=0,0,B76/B16*1000)</f>
        <v>163.17718112921801</v>
      </c>
      <c r="C228" s="83">
        <f t="shared" si="54"/>
        <v>160.59690273132483</v>
      </c>
      <c r="D228" s="83">
        <f t="shared" si="54"/>
        <v>130.73180547399409</v>
      </c>
      <c r="E228" s="83">
        <f t="shared" si="54"/>
        <v>137.88957328947495</v>
      </c>
      <c r="F228" s="83">
        <f t="shared" si="54"/>
        <v>143.59094135299321</v>
      </c>
      <c r="G228" s="83">
        <f t="shared" si="54"/>
        <v>134.03904688285914</v>
      </c>
      <c r="H228" s="83">
        <f t="shared" si="54"/>
        <v>127.52222000307334</v>
      </c>
      <c r="I228" s="83">
        <f t="shared" si="54"/>
        <v>128.62110195952371</v>
      </c>
      <c r="J228" s="83">
        <f t="shared" si="54"/>
        <v>119.49520522464726</v>
      </c>
      <c r="K228" s="83">
        <f t="shared" si="54"/>
        <v>116.33046863982746</v>
      </c>
      <c r="L228" s="83">
        <f t="shared" si="54"/>
        <v>108.92942657979573</v>
      </c>
      <c r="M228" s="83">
        <f t="shared" si="54"/>
        <v>112.75885849252073</v>
      </c>
      <c r="N228" s="83">
        <f t="shared" si="54"/>
        <v>104.4234167140709</v>
      </c>
      <c r="O228" s="83">
        <f t="shared" si="54"/>
        <v>99.987679303002466</v>
      </c>
      <c r="P228" s="83">
        <f t="shared" si="54"/>
        <v>97.714614229999128</v>
      </c>
      <c r="Q228" s="83">
        <f t="shared" si="54"/>
        <v>93.966531680066339</v>
      </c>
      <c r="R228" s="83">
        <f t="shared" si="54"/>
        <v>95.489867538536714</v>
      </c>
      <c r="S228" s="83">
        <f t="shared" si="54"/>
        <v>94.955199283226861</v>
      </c>
      <c r="T228" s="83">
        <f t="shared" si="54"/>
        <v>92.893368031998406</v>
      </c>
      <c r="U228" s="83">
        <f t="shared" si="54"/>
        <v>94.175355021360915</v>
      </c>
      <c r="V228" s="83">
        <f t="shared" si="54"/>
        <v>142.97634121098616</v>
      </c>
      <c r="W228" s="83">
        <f t="shared" si="53"/>
        <v>179.90144521555803</v>
      </c>
      <c r="DA228" s="49" t="s">
        <v>218</v>
      </c>
    </row>
    <row r="229" spans="1:105" ht="11.4" customHeight="1" x14ac:dyDescent="0.35">
      <c r="A229" s="53" t="s">
        <v>219</v>
      </c>
      <c r="B229" s="81">
        <f t="shared" si="54"/>
        <v>231.58711639735944</v>
      </c>
      <c r="C229" s="81">
        <f t="shared" si="54"/>
        <v>234.08951329666073</v>
      </c>
      <c r="D229" s="81">
        <f t="shared" si="54"/>
        <v>238.16091167110969</v>
      </c>
      <c r="E229" s="81">
        <f t="shared" si="54"/>
        <v>249.24731667522289</v>
      </c>
      <c r="F229" s="81">
        <f t="shared" si="54"/>
        <v>254.80869609632734</v>
      </c>
      <c r="G229" s="81">
        <f t="shared" si="54"/>
        <v>254.46983517503079</v>
      </c>
      <c r="H229" s="81">
        <f t="shared" si="54"/>
        <v>250.19020253654023</v>
      </c>
      <c r="I229" s="81">
        <f t="shared" si="54"/>
        <v>249.23870107742982</v>
      </c>
      <c r="J229" s="81">
        <f t="shared" si="54"/>
        <v>241.57298240818284</v>
      </c>
      <c r="K229" s="81">
        <f t="shared" si="54"/>
        <v>240.60000369352684</v>
      </c>
      <c r="L229" s="81">
        <f t="shared" si="54"/>
        <v>225.20908604349879</v>
      </c>
      <c r="M229" s="81">
        <f t="shared" si="54"/>
        <v>196.71687502896933</v>
      </c>
      <c r="N229" s="81">
        <f t="shared" si="54"/>
        <v>177.9364383403925</v>
      </c>
      <c r="O229" s="81">
        <f t="shared" si="54"/>
        <v>169.07590374205412</v>
      </c>
      <c r="P229" s="81">
        <f t="shared" si="54"/>
        <v>166.65322785711868</v>
      </c>
      <c r="Q229" s="81">
        <f t="shared" si="54"/>
        <v>162.90668096382726</v>
      </c>
      <c r="R229" s="81">
        <f t="shared" si="54"/>
        <v>160.45912179263527</v>
      </c>
      <c r="S229" s="81">
        <f t="shared" si="54"/>
        <v>163.84587113826754</v>
      </c>
      <c r="T229" s="81">
        <f t="shared" si="54"/>
        <v>175.66784162077403</v>
      </c>
      <c r="U229" s="81">
        <f t="shared" si="54"/>
        <v>168.38442391164753</v>
      </c>
      <c r="V229" s="81">
        <f t="shared" si="54"/>
        <v>159.23795976455671</v>
      </c>
      <c r="W229" s="81">
        <f t="shared" si="53"/>
        <v>165.7237238836465</v>
      </c>
      <c r="DA229" s="55" t="s">
        <v>220</v>
      </c>
    </row>
    <row r="230" spans="1:105" ht="11.4" customHeight="1" x14ac:dyDescent="0.35">
      <c r="A230" s="56" t="str">
        <f>$A$18</f>
        <v>Road transport</v>
      </c>
      <c r="B230" s="82">
        <f t="shared" si="54"/>
        <v>248.37142802147181</v>
      </c>
      <c r="C230" s="82">
        <f t="shared" si="54"/>
        <v>256.056340707716</v>
      </c>
      <c r="D230" s="82">
        <f t="shared" si="54"/>
        <v>250.91055195778651</v>
      </c>
      <c r="E230" s="82">
        <f t="shared" si="54"/>
        <v>270.00288199931572</v>
      </c>
      <c r="F230" s="82">
        <f t="shared" si="54"/>
        <v>283.44681017390832</v>
      </c>
      <c r="G230" s="82">
        <f t="shared" si="54"/>
        <v>275.52704339006857</v>
      </c>
      <c r="H230" s="82">
        <f t="shared" si="54"/>
        <v>274.49367949177093</v>
      </c>
      <c r="I230" s="82">
        <f t="shared" si="54"/>
        <v>276.46210549790555</v>
      </c>
      <c r="J230" s="82">
        <f t="shared" si="54"/>
        <v>256.21348920896065</v>
      </c>
      <c r="K230" s="82">
        <f t="shared" si="54"/>
        <v>252.30650386865995</v>
      </c>
      <c r="L230" s="82">
        <f t="shared" si="54"/>
        <v>246.67831505610528</v>
      </c>
      <c r="M230" s="82">
        <f t="shared" si="54"/>
        <v>215.21019755992128</v>
      </c>
      <c r="N230" s="82">
        <f t="shared" si="54"/>
        <v>190.31329975202948</v>
      </c>
      <c r="O230" s="82">
        <f t="shared" si="54"/>
        <v>176.83807275473103</v>
      </c>
      <c r="P230" s="82">
        <f t="shared" si="54"/>
        <v>178.42088310785869</v>
      </c>
      <c r="Q230" s="82">
        <f t="shared" si="54"/>
        <v>174.19409875315361</v>
      </c>
      <c r="R230" s="82">
        <f t="shared" si="54"/>
        <v>174.34938094683721</v>
      </c>
      <c r="S230" s="82">
        <f t="shared" si="54"/>
        <v>178.78078351292095</v>
      </c>
      <c r="T230" s="82">
        <f t="shared" si="54"/>
        <v>192.62113062277638</v>
      </c>
      <c r="U230" s="82">
        <f t="shared" si="54"/>
        <v>182.4909173356285</v>
      </c>
      <c r="V230" s="82">
        <f t="shared" si="54"/>
        <v>168.4685238188182</v>
      </c>
      <c r="W230" s="82">
        <f t="shared" si="53"/>
        <v>169.14144383007482</v>
      </c>
      <c r="DA230" s="58" t="s">
        <v>221</v>
      </c>
    </row>
    <row r="231" spans="1:105" ht="11.4" customHeight="1" x14ac:dyDescent="0.35">
      <c r="A231" s="59" t="str">
        <f>$A$19</f>
        <v>Light commercial vehicles</v>
      </c>
      <c r="B231" s="83">
        <f t="shared" si="54"/>
        <v>1932.933745612605</v>
      </c>
      <c r="C231" s="83">
        <f t="shared" si="54"/>
        <v>1864.2730993597038</v>
      </c>
      <c r="D231" s="83">
        <f t="shared" si="54"/>
        <v>1780.0146647028753</v>
      </c>
      <c r="E231" s="83">
        <f t="shared" si="54"/>
        <v>1710.4918559283913</v>
      </c>
      <c r="F231" s="83">
        <f t="shared" si="54"/>
        <v>1651.8751577256244</v>
      </c>
      <c r="G231" s="83">
        <f t="shared" si="54"/>
        <v>1594.7431333679897</v>
      </c>
      <c r="H231" s="83">
        <f t="shared" si="54"/>
        <v>1556.5183308828823</v>
      </c>
      <c r="I231" s="83">
        <f t="shared" si="54"/>
        <v>1534.9560189737224</v>
      </c>
      <c r="J231" s="83">
        <f t="shared" si="54"/>
        <v>1502.7637167224782</v>
      </c>
      <c r="K231" s="83">
        <f t="shared" si="54"/>
        <v>1465.0123395100968</v>
      </c>
      <c r="L231" s="83">
        <f t="shared" si="54"/>
        <v>1451.5528998836887</v>
      </c>
      <c r="M231" s="83">
        <f t="shared" si="54"/>
        <v>1397.7444507160938</v>
      </c>
      <c r="N231" s="83">
        <f t="shared" si="54"/>
        <v>1344.3866068151401</v>
      </c>
      <c r="O231" s="83">
        <f t="shared" si="54"/>
        <v>1332.0864734674551</v>
      </c>
      <c r="P231" s="83">
        <f t="shared" si="54"/>
        <v>1311.9190877935753</v>
      </c>
      <c r="Q231" s="83">
        <f t="shared" si="54"/>
        <v>1295.0456300351032</v>
      </c>
      <c r="R231" s="83">
        <f t="shared" si="54"/>
        <v>1280.5194290043148</v>
      </c>
      <c r="S231" s="83">
        <f t="shared" si="54"/>
        <v>1272.2639855592283</v>
      </c>
      <c r="T231" s="83">
        <f t="shared" si="54"/>
        <v>1257.9584521975128</v>
      </c>
      <c r="U231" s="83">
        <f t="shared" si="54"/>
        <v>1218.359664793084</v>
      </c>
      <c r="V231" s="83">
        <f t="shared" si="54"/>
        <v>1197.8063203994636</v>
      </c>
      <c r="W231" s="83">
        <f t="shared" si="53"/>
        <v>1205.5252776335692</v>
      </c>
      <c r="DA231" s="49" t="s">
        <v>222</v>
      </c>
    </row>
    <row r="232" spans="1:105" ht="11.4" customHeight="1" x14ac:dyDescent="0.35">
      <c r="A232" s="59" t="str">
        <f>$A$20</f>
        <v>Heavy goods vehicles</v>
      </c>
      <c r="B232" s="83">
        <f t="shared" si="54"/>
        <v>140.6659516369217</v>
      </c>
      <c r="C232" s="83">
        <f t="shared" si="54"/>
        <v>146.93244976586982</v>
      </c>
      <c r="D232" s="83">
        <f t="shared" si="54"/>
        <v>145.85874258002531</v>
      </c>
      <c r="E232" s="83">
        <f t="shared" si="54"/>
        <v>165.43391274054989</v>
      </c>
      <c r="F232" s="83">
        <f t="shared" si="54"/>
        <v>176.22929488734866</v>
      </c>
      <c r="G232" s="83">
        <f t="shared" si="54"/>
        <v>168.81972792565531</v>
      </c>
      <c r="H232" s="83">
        <f t="shared" si="54"/>
        <v>165.87933313546722</v>
      </c>
      <c r="I232" s="83">
        <f t="shared" si="54"/>
        <v>164.05634484422205</v>
      </c>
      <c r="J232" s="83">
        <f t="shared" si="54"/>
        <v>147.99121759925117</v>
      </c>
      <c r="K232" s="83">
        <f t="shared" si="54"/>
        <v>140.73072026369314</v>
      </c>
      <c r="L232" s="83">
        <f t="shared" si="54"/>
        <v>140.83984108347309</v>
      </c>
      <c r="M232" s="83">
        <f t="shared" si="54"/>
        <v>126.79308274094139</v>
      </c>
      <c r="N232" s="83">
        <f t="shared" si="54"/>
        <v>110.89110257175911</v>
      </c>
      <c r="O232" s="83">
        <f t="shared" si="54"/>
        <v>104.29819117963392</v>
      </c>
      <c r="P232" s="83">
        <f t="shared" si="54"/>
        <v>110.42540407230909</v>
      </c>
      <c r="Q232" s="83">
        <f t="shared" si="54"/>
        <v>104.49823879154829</v>
      </c>
      <c r="R232" s="83">
        <f t="shared" si="54"/>
        <v>110.00163918925237</v>
      </c>
      <c r="S232" s="83">
        <f t="shared" si="54"/>
        <v>112.8446901402387</v>
      </c>
      <c r="T232" s="83">
        <f t="shared" si="54"/>
        <v>123.50118206256556</v>
      </c>
      <c r="U232" s="83">
        <f t="shared" si="54"/>
        <v>117.65092456212521</v>
      </c>
      <c r="V232" s="83">
        <f t="shared" si="54"/>
        <v>110.14407939678114</v>
      </c>
      <c r="W232" s="83">
        <f t="shared" si="53"/>
        <v>111.00362689381693</v>
      </c>
      <c r="DA232" s="49" t="s">
        <v>223</v>
      </c>
    </row>
    <row r="233" spans="1:105" ht="11.4" customHeight="1" x14ac:dyDescent="0.35">
      <c r="A233" s="61" t="str">
        <f>$A$21</f>
        <v>Rail transport</v>
      </c>
      <c r="B233" s="84">
        <f t="shared" si="54"/>
        <v>14.938360089282872</v>
      </c>
      <c r="C233" s="84">
        <f t="shared" si="54"/>
        <v>13.568027350845394</v>
      </c>
      <c r="D233" s="84">
        <f t="shared" si="54"/>
        <v>13.413139967902804</v>
      </c>
      <c r="E233" s="84">
        <f t="shared" si="54"/>
        <v>11.802878871029399</v>
      </c>
      <c r="F233" s="84">
        <f t="shared" si="54"/>
        <v>11.385800218691152</v>
      </c>
      <c r="G233" s="84">
        <f t="shared" si="54"/>
        <v>12.090615988345842</v>
      </c>
      <c r="H233" s="84">
        <f t="shared" si="54"/>
        <v>12.431927249084696</v>
      </c>
      <c r="I233" s="84">
        <f t="shared" si="54"/>
        <v>11.886350977389448</v>
      </c>
      <c r="J233" s="84">
        <f t="shared" si="54"/>
        <v>11.095040663675569</v>
      </c>
      <c r="K233" s="84">
        <f t="shared" si="54"/>
        <v>11.568782365802258</v>
      </c>
      <c r="L233" s="84">
        <f t="shared" si="54"/>
        <v>11.415398381861271</v>
      </c>
      <c r="M233" s="84">
        <f t="shared" si="54"/>
        <v>11.252453493863497</v>
      </c>
      <c r="N233" s="84">
        <f t="shared" si="54"/>
        <v>10.442941943791038</v>
      </c>
      <c r="O233" s="84">
        <f t="shared" si="54"/>
        <v>10.147461667566297</v>
      </c>
      <c r="P233" s="84">
        <f t="shared" si="54"/>
        <v>11.118220156054514</v>
      </c>
      <c r="Q233" s="84">
        <f t="shared" si="54"/>
        <v>10.981406936631213</v>
      </c>
      <c r="R233" s="84">
        <f t="shared" si="54"/>
        <v>10.794035400574812</v>
      </c>
      <c r="S233" s="84">
        <f t="shared" si="54"/>
        <v>9.9087344690067329</v>
      </c>
      <c r="T233" s="84">
        <f t="shared" si="54"/>
        <v>9.1155130692101469</v>
      </c>
      <c r="U233" s="84">
        <f t="shared" si="54"/>
        <v>8.6919070316515974</v>
      </c>
      <c r="V233" s="84">
        <f t="shared" si="54"/>
        <v>8.3268919082774655</v>
      </c>
      <c r="W233" s="84">
        <f t="shared" si="53"/>
        <v>8.251000656715016</v>
      </c>
      <c r="DA233" s="63" t="s">
        <v>224</v>
      </c>
    </row>
    <row r="234" spans="1:105" ht="11.4" customHeight="1" x14ac:dyDescent="0.35">
      <c r="A234" s="61" t="str">
        <f>$A$22</f>
        <v>Aviation</v>
      </c>
      <c r="B234" s="84">
        <f t="shared" si="54"/>
        <v>457.27993966980614</v>
      </c>
      <c r="C234" s="84">
        <f t="shared" si="54"/>
        <v>433.47361132700559</v>
      </c>
      <c r="D234" s="84">
        <f t="shared" si="54"/>
        <v>436.39749473571175</v>
      </c>
      <c r="E234" s="84">
        <f t="shared" si="54"/>
        <v>446.7597043563091</v>
      </c>
      <c r="F234" s="84">
        <f t="shared" si="54"/>
        <v>505.346066022792</v>
      </c>
      <c r="G234" s="84">
        <f t="shared" si="54"/>
        <v>553.31453173333614</v>
      </c>
      <c r="H234" s="84">
        <f t="shared" si="54"/>
        <v>677.75830340840241</v>
      </c>
      <c r="I234" s="84">
        <f t="shared" si="54"/>
        <v>710.76426674497429</v>
      </c>
      <c r="J234" s="84">
        <f t="shared" si="54"/>
        <v>427.87141969812552</v>
      </c>
      <c r="K234" s="84">
        <f t="shared" si="54"/>
        <v>372.31646822801798</v>
      </c>
      <c r="L234" s="84">
        <f t="shared" si="54"/>
        <v>344.40713085855828</v>
      </c>
      <c r="M234" s="84">
        <f t="shared" si="54"/>
        <v>326.11343295526683</v>
      </c>
      <c r="N234" s="84">
        <f t="shared" si="54"/>
        <v>285.78006272481701</v>
      </c>
      <c r="O234" s="84">
        <f t="shared" si="54"/>
        <v>278.87156712594754</v>
      </c>
      <c r="P234" s="84">
        <f t="shared" si="54"/>
        <v>253.86856600994102</v>
      </c>
      <c r="Q234" s="84">
        <f t="shared" si="54"/>
        <v>247.03203153930272</v>
      </c>
      <c r="R234" s="84">
        <f t="shared" si="54"/>
        <v>218.48935579792558</v>
      </c>
      <c r="S234" s="84">
        <f t="shared" si="54"/>
        <v>202.1877065377208</v>
      </c>
      <c r="T234" s="84">
        <f t="shared" si="54"/>
        <v>184.84098321693605</v>
      </c>
      <c r="U234" s="84">
        <f t="shared" si="54"/>
        <v>186.6329195690796</v>
      </c>
      <c r="V234" s="84">
        <f t="shared" si="54"/>
        <v>296.1566635796006</v>
      </c>
      <c r="W234" s="84">
        <f t="shared" si="53"/>
        <v>308.16004777414281</v>
      </c>
      <c r="DA234" s="63" t="s">
        <v>225</v>
      </c>
    </row>
    <row r="235" spans="1:105" ht="11.4" customHeight="1" x14ac:dyDescent="0.35">
      <c r="A235" s="59" t="s">
        <v>82</v>
      </c>
      <c r="B235" s="83">
        <f t="shared" si="54"/>
        <v>1916.3407712161222</v>
      </c>
      <c r="C235" s="83">
        <f t="shared" si="54"/>
        <v>1928.7851251819798</v>
      </c>
      <c r="D235" s="83">
        <f t="shared" si="54"/>
        <v>1511.5921944071015</v>
      </c>
      <c r="E235" s="83">
        <f t="shared" si="54"/>
        <v>1163.8983894119588</v>
      </c>
      <c r="F235" s="83">
        <f t="shared" si="54"/>
        <v>765.6686723610519</v>
      </c>
      <c r="G235" s="83">
        <f t="shared" si="54"/>
        <v>882.08704103378193</v>
      </c>
      <c r="H235" s="83">
        <f t="shared" si="54"/>
        <v>1088.1857621828053</v>
      </c>
      <c r="I235" s="83">
        <f t="shared" si="54"/>
        <v>1423.2389646693077</v>
      </c>
      <c r="J235" s="83">
        <f t="shared" si="54"/>
        <v>1676.3178887056536</v>
      </c>
      <c r="K235" s="83">
        <f t="shared" si="54"/>
        <v>2102.9958925112514</v>
      </c>
      <c r="L235" s="83">
        <f t="shared" si="54"/>
        <v>2432.5608459630066</v>
      </c>
      <c r="M235" s="83">
        <f t="shared" si="54"/>
        <v>2376.5470989054547</v>
      </c>
      <c r="N235" s="83">
        <f t="shared" si="54"/>
        <v>2923.1687808395527</v>
      </c>
      <c r="O235" s="83">
        <f t="shared" si="54"/>
        <v>2406.9667282914234</v>
      </c>
      <c r="P235" s="83">
        <f t="shared" si="54"/>
        <v>1856.0574483787541</v>
      </c>
      <c r="Q235" s="83">
        <f t="shared" si="54"/>
        <v>1562.8261848687857</v>
      </c>
      <c r="R235" s="83">
        <f t="shared" si="54"/>
        <v>1268.8580487641627</v>
      </c>
      <c r="S235" s="83">
        <f t="shared" si="54"/>
        <v>1275.6339261694998</v>
      </c>
      <c r="T235" s="83">
        <f t="shared" si="54"/>
        <v>1160.9503408259509</v>
      </c>
      <c r="U235" s="83">
        <f t="shared" si="54"/>
        <v>862.91692770107511</v>
      </c>
      <c r="V235" s="83">
        <f t="shared" si="54"/>
        <v>882.50487605576836</v>
      </c>
      <c r="W235" s="83">
        <f t="shared" si="53"/>
        <v>821.54378499070344</v>
      </c>
      <c r="DA235" s="49" t="s">
        <v>226</v>
      </c>
    </row>
    <row r="236" spans="1:105" ht="11.4" customHeight="1" x14ac:dyDescent="0.35">
      <c r="A236" s="59" t="str">
        <f>$A$24</f>
        <v>International - Intra-EEAwUK</v>
      </c>
      <c r="B236" s="83">
        <f t="shared" si="54"/>
        <v>480.00754649759364</v>
      </c>
      <c r="C236" s="83">
        <f t="shared" si="54"/>
        <v>454.61384659818856</v>
      </c>
      <c r="D236" s="83">
        <f t="shared" si="54"/>
        <v>468.00745132373061</v>
      </c>
      <c r="E236" s="83">
        <f t="shared" si="54"/>
        <v>486.24123391610743</v>
      </c>
      <c r="F236" s="83">
        <f t="shared" si="54"/>
        <v>558.1888399675961</v>
      </c>
      <c r="G236" s="83">
        <f t="shared" si="54"/>
        <v>588.81047794128176</v>
      </c>
      <c r="H236" s="83">
        <f t="shared" si="54"/>
        <v>703.0013092210545</v>
      </c>
      <c r="I236" s="83">
        <f t="shared" si="54"/>
        <v>740.33285425211318</v>
      </c>
      <c r="J236" s="83">
        <f t="shared" si="54"/>
        <v>727.28513115992712</v>
      </c>
      <c r="K236" s="83">
        <f t="shared" si="54"/>
        <v>657.62237158639778</v>
      </c>
      <c r="L236" s="83">
        <f t="shared" si="54"/>
        <v>617.60290029959469</v>
      </c>
      <c r="M236" s="83">
        <f t="shared" si="54"/>
        <v>597.22133649826242</v>
      </c>
      <c r="N236" s="83">
        <f t="shared" si="54"/>
        <v>547.83926732400914</v>
      </c>
      <c r="O236" s="83">
        <f t="shared" si="54"/>
        <v>535.75309289866732</v>
      </c>
      <c r="P236" s="83">
        <f t="shared" si="54"/>
        <v>544.18760801355029</v>
      </c>
      <c r="Q236" s="83">
        <f t="shared" si="54"/>
        <v>554.61217779399476</v>
      </c>
      <c r="R236" s="83">
        <f t="shared" si="54"/>
        <v>518.60031951916983</v>
      </c>
      <c r="S236" s="83">
        <f t="shared" si="54"/>
        <v>580.58039351990692</v>
      </c>
      <c r="T236" s="83">
        <f t="shared" si="54"/>
        <v>585.43486396073263</v>
      </c>
      <c r="U236" s="83">
        <f t="shared" si="54"/>
        <v>588.72143961881352</v>
      </c>
      <c r="V236" s="83">
        <f t="shared" si="54"/>
        <v>584.13363241932541</v>
      </c>
      <c r="W236" s="83">
        <f t="shared" si="53"/>
        <v>584.97054227925958</v>
      </c>
      <c r="DA236" s="49" t="s">
        <v>227</v>
      </c>
    </row>
    <row r="237" spans="1:105" ht="11.4" customHeight="1" x14ac:dyDescent="0.35">
      <c r="A237" s="59" t="str">
        <f>$A$25</f>
        <v>International - Extra-EEAwUK</v>
      </c>
      <c r="B237" s="83">
        <f t="shared" si="54"/>
        <v>264.31847148116441</v>
      </c>
      <c r="C237" s="83">
        <f t="shared" si="54"/>
        <v>252.00738931310363</v>
      </c>
      <c r="D237" s="83">
        <f t="shared" si="54"/>
        <v>258.59528392241651</v>
      </c>
      <c r="E237" s="83">
        <f t="shared" si="54"/>
        <v>300.83948170970353</v>
      </c>
      <c r="F237" s="83">
        <f t="shared" si="54"/>
        <v>323.41804318812461</v>
      </c>
      <c r="G237" s="83">
        <f t="shared" si="54"/>
        <v>332.68715995669533</v>
      </c>
      <c r="H237" s="83">
        <f t="shared" si="54"/>
        <v>332.28230197430105</v>
      </c>
      <c r="I237" s="83">
        <f t="shared" si="54"/>
        <v>369.23316581024835</v>
      </c>
      <c r="J237" s="83">
        <f t="shared" si="54"/>
        <v>373.46795952407882</v>
      </c>
      <c r="K237" s="83">
        <f t="shared" si="54"/>
        <v>327.60432369358301</v>
      </c>
      <c r="L237" s="83">
        <f t="shared" si="54"/>
        <v>318.89812798155884</v>
      </c>
      <c r="M237" s="83">
        <f t="shared" si="54"/>
        <v>301.12299449606303</v>
      </c>
      <c r="N237" s="83">
        <f t="shared" si="54"/>
        <v>266.73103793902334</v>
      </c>
      <c r="O237" s="83">
        <f t="shared" si="54"/>
        <v>260.78255884229247</v>
      </c>
      <c r="P237" s="83">
        <f t="shared" si="54"/>
        <v>227.91364482306815</v>
      </c>
      <c r="Q237" s="83">
        <f t="shared" si="54"/>
        <v>218.13220086361622</v>
      </c>
      <c r="R237" s="83">
        <f t="shared" si="54"/>
        <v>191.26977647839354</v>
      </c>
      <c r="S237" s="83">
        <f t="shared" si="54"/>
        <v>167.83906747870566</v>
      </c>
      <c r="T237" s="83">
        <f t="shared" si="54"/>
        <v>138.74740696156459</v>
      </c>
      <c r="U237" s="83">
        <f t="shared" si="54"/>
        <v>140.75235675462713</v>
      </c>
      <c r="V237" s="83">
        <f t="shared" si="54"/>
        <v>236.38419717557991</v>
      </c>
      <c r="W237" s="83">
        <f t="shared" si="53"/>
        <v>246.68873280694035</v>
      </c>
      <c r="DA237" s="49" t="s">
        <v>228</v>
      </c>
    </row>
    <row r="238" spans="1:105" ht="11.4" customHeight="1" x14ac:dyDescent="0.35">
      <c r="A238" s="61" t="s">
        <v>99</v>
      </c>
      <c r="B238" s="84">
        <f t="shared" si="54"/>
        <v>333.89622243470751</v>
      </c>
      <c r="C238" s="84">
        <f t="shared" si="54"/>
        <v>282.27038987263711</v>
      </c>
      <c r="D238" s="84">
        <f t="shared" si="54"/>
        <v>356.42426784238677</v>
      </c>
      <c r="E238" s="84">
        <f t="shared" si="54"/>
        <v>308.01711516721872</v>
      </c>
      <c r="F238" s="84">
        <f t="shared" si="54"/>
        <v>287.32222740726519</v>
      </c>
      <c r="G238" s="84">
        <f t="shared" si="54"/>
        <v>295.9651210384439</v>
      </c>
      <c r="H238" s="84">
        <f t="shared" si="54"/>
        <v>235.37071501553402</v>
      </c>
      <c r="I238" s="84">
        <f t="shared" si="54"/>
        <v>192.18909296826953</v>
      </c>
      <c r="J238" s="84">
        <f t="shared" si="54"/>
        <v>258.002071299904</v>
      </c>
      <c r="K238" s="84">
        <f t="shared" si="54"/>
        <v>306.58193538677472</v>
      </c>
      <c r="L238" s="84">
        <f t="shared" si="54"/>
        <v>236.15605927303824</v>
      </c>
      <c r="M238" s="84">
        <f t="shared" si="54"/>
        <v>225.20715814022884</v>
      </c>
      <c r="N238" s="84">
        <f t="shared" si="54"/>
        <v>213.74408282973815</v>
      </c>
      <c r="O238" s="84">
        <f t="shared" si="54"/>
        <v>273.14874784730029</v>
      </c>
      <c r="P238" s="84">
        <f t="shared" si="54"/>
        <v>215.43265576748308</v>
      </c>
      <c r="Q238" s="84">
        <f t="shared" si="54"/>
        <v>227.38623161522713</v>
      </c>
      <c r="R238" s="84">
        <f t="shared" si="54"/>
        <v>191.83441904414619</v>
      </c>
      <c r="S238" s="84">
        <f t="shared" si="54"/>
        <v>201.13828143219172</v>
      </c>
      <c r="T238" s="84">
        <f t="shared" si="54"/>
        <v>224.90146765968478</v>
      </c>
      <c r="U238" s="84">
        <f t="shared" si="54"/>
        <v>230.6471076768016</v>
      </c>
      <c r="V238" s="84">
        <f t="shared" si="54"/>
        <v>248.66990243109041</v>
      </c>
      <c r="W238" s="84">
        <f t="shared" si="53"/>
        <v>283.57654307477759</v>
      </c>
      <c r="DA238" s="63" t="s">
        <v>229</v>
      </c>
    </row>
    <row r="239" spans="1:105" ht="11.4" customHeight="1" x14ac:dyDescent="0.35">
      <c r="A239" s="59" t="str">
        <f>$A$27</f>
        <v>Domestic coastal shipping</v>
      </c>
      <c r="B239" s="83">
        <f t="shared" si="54"/>
        <v>333.89622243470751</v>
      </c>
      <c r="C239" s="83">
        <f t="shared" si="54"/>
        <v>282.27038987263711</v>
      </c>
      <c r="D239" s="83">
        <f t="shared" si="54"/>
        <v>356.42426784238677</v>
      </c>
      <c r="E239" s="83">
        <f t="shared" si="54"/>
        <v>308.01711516721872</v>
      </c>
      <c r="F239" s="83">
        <f t="shared" si="54"/>
        <v>287.32222740726519</v>
      </c>
      <c r="G239" s="83">
        <f t="shared" si="54"/>
        <v>295.9651210384439</v>
      </c>
      <c r="H239" s="83">
        <f t="shared" si="54"/>
        <v>235.37071501553402</v>
      </c>
      <c r="I239" s="83">
        <f t="shared" si="54"/>
        <v>192.18909296826953</v>
      </c>
      <c r="J239" s="83">
        <f t="shared" si="54"/>
        <v>258.002071299904</v>
      </c>
      <c r="K239" s="83">
        <f t="shared" si="54"/>
        <v>306.58193538677472</v>
      </c>
      <c r="L239" s="83">
        <f t="shared" si="54"/>
        <v>236.15605927303824</v>
      </c>
      <c r="M239" s="83">
        <f t="shared" si="54"/>
        <v>225.20715814022884</v>
      </c>
      <c r="N239" s="83">
        <f t="shared" si="54"/>
        <v>213.74408282973815</v>
      </c>
      <c r="O239" s="83">
        <f t="shared" si="54"/>
        <v>273.14874784730029</v>
      </c>
      <c r="P239" s="83">
        <f t="shared" si="54"/>
        <v>215.43265576748308</v>
      </c>
      <c r="Q239" s="83">
        <f t="shared" si="54"/>
        <v>227.38623161522713</v>
      </c>
      <c r="R239" s="83">
        <f t="shared" si="54"/>
        <v>191.83441904414619</v>
      </c>
      <c r="S239" s="83">
        <f t="shared" si="54"/>
        <v>201.13828143219172</v>
      </c>
      <c r="T239" s="83">
        <f t="shared" si="54"/>
        <v>224.90146765968478</v>
      </c>
      <c r="U239" s="83">
        <f t="shared" si="54"/>
        <v>230.6471076768016</v>
      </c>
      <c r="V239" s="83">
        <f t="shared" si="54"/>
        <v>248.66990243109041</v>
      </c>
      <c r="W239" s="83">
        <f t="shared" si="53"/>
        <v>283.57654307477759</v>
      </c>
      <c r="DA239" s="49" t="s">
        <v>230</v>
      </c>
    </row>
    <row r="240" spans="1:105" ht="11.4" customHeight="1" x14ac:dyDescent="0.35">
      <c r="A240" s="67" t="str">
        <f>$A$28</f>
        <v>Inland waterways</v>
      </c>
      <c r="B240" s="85">
        <f t="shared" si="54"/>
        <v>0</v>
      </c>
      <c r="C240" s="85">
        <f t="shared" si="54"/>
        <v>0</v>
      </c>
      <c r="D240" s="85">
        <f t="shared" si="54"/>
        <v>0</v>
      </c>
      <c r="E240" s="85">
        <f t="shared" ref="E240:V240" si="55">IF(E28=0,0,E88/E28*1000)</f>
        <v>0</v>
      </c>
      <c r="F240" s="85">
        <f t="shared" si="55"/>
        <v>0</v>
      </c>
      <c r="G240" s="85">
        <f t="shared" si="55"/>
        <v>0</v>
      </c>
      <c r="H240" s="85">
        <f t="shared" si="55"/>
        <v>0</v>
      </c>
      <c r="I240" s="85">
        <f t="shared" si="55"/>
        <v>0</v>
      </c>
      <c r="J240" s="85">
        <f t="shared" si="55"/>
        <v>0</v>
      </c>
      <c r="K240" s="85">
        <f t="shared" si="55"/>
        <v>0</v>
      </c>
      <c r="L240" s="85">
        <f t="shared" si="55"/>
        <v>0</v>
      </c>
      <c r="M240" s="85">
        <f t="shared" si="55"/>
        <v>0</v>
      </c>
      <c r="N240" s="85">
        <f t="shared" si="55"/>
        <v>0</v>
      </c>
      <c r="O240" s="85">
        <f t="shared" si="55"/>
        <v>0</v>
      </c>
      <c r="P240" s="85">
        <f t="shared" si="55"/>
        <v>0</v>
      </c>
      <c r="Q240" s="85">
        <f t="shared" si="55"/>
        <v>0</v>
      </c>
      <c r="R240" s="85">
        <f t="shared" si="55"/>
        <v>0</v>
      </c>
      <c r="S240" s="85">
        <f t="shared" si="55"/>
        <v>0</v>
      </c>
      <c r="T240" s="85">
        <f t="shared" si="55"/>
        <v>0</v>
      </c>
      <c r="U240" s="85">
        <f t="shared" si="55"/>
        <v>0</v>
      </c>
      <c r="V240" s="85">
        <f t="shared" si="55"/>
        <v>0</v>
      </c>
      <c r="W240" s="85">
        <f t="shared" si="53"/>
        <v>0</v>
      </c>
      <c r="DA240" s="69" t="s">
        <v>231</v>
      </c>
    </row>
    <row r="241" spans="1:105" ht="11.4" customHeight="1" x14ac:dyDescent="0.35">
      <c r="A241" s="53" t="s">
        <v>200</v>
      </c>
      <c r="B241" s="81">
        <f t="shared" ref="B241:V243" si="56">IF(B29=0,0,B89/B29*1000)</f>
        <v>50.773077394673706</v>
      </c>
      <c r="C241" s="81">
        <f t="shared" si="56"/>
        <v>41.147981537295259</v>
      </c>
      <c r="D241" s="81">
        <f t="shared" si="56"/>
        <v>35.008892655529188</v>
      </c>
      <c r="E241" s="81">
        <f t="shared" si="56"/>
        <v>30.555480151785861</v>
      </c>
      <c r="F241" s="81">
        <f t="shared" si="56"/>
        <v>28.550454368586454</v>
      </c>
      <c r="G241" s="81">
        <f t="shared" si="56"/>
        <v>30.566274928905258</v>
      </c>
      <c r="H241" s="81">
        <f t="shared" si="56"/>
        <v>33.842273021240175</v>
      </c>
      <c r="I241" s="81">
        <f t="shared" si="56"/>
        <v>38.996913674442361</v>
      </c>
      <c r="J241" s="81">
        <f t="shared" si="56"/>
        <v>33.798625230408213</v>
      </c>
      <c r="K241" s="81">
        <f t="shared" si="56"/>
        <v>21.72217952803086</v>
      </c>
      <c r="L241" s="81">
        <f t="shared" si="56"/>
        <v>33.038960197662597</v>
      </c>
      <c r="M241" s="81">
        <f t="shared" si="56"/>
        <v>28.362042860060601</v>
      </c>
      <c r="N241" s="81">
        <f t="shared" si="56"/>
        <v>26.403681191146813</v>
      </c>
      <c r="O241" s="81">
        <f t="shared" si="56"/>
        <v>29.815223370124659</v>
      </c>
      <c r="P241" s="81">
        <f t="shared" si="56"/>
        <v>34.446869400857743</v>
      </c>
      <c r="Q241" s="81">
        <f t="shared" si="56"/>
        <v>27.10136838180005</v>
      </c>
      <c r="R241" s="81">
        <f t="shared" si="56"/>
        <v>23.529257417719386</v>
      </c>
      <c r="S241" s="81">
        <f t="shared" si="56"/>
        <v>19.420538144921686</v>
      </c>
      <c r="T241" s="81">
        <f t="shared" si="56"/>
        <v>21.199424436871912</v>
      </c>
      <c r="U241" s="81">
        <f t="shared" si="56"/>
        <v>23.593653037791746</v>
      </c>
      <c r="V241" s="81">
        <f t="shared" si="56"/>
        <v>17.575732447437343</v>
      </c>
      <c r="W241" s="81">
        <f t="shared" si="53"/>
        <v>14.389298132472307</v>
      </c>
      <c r="DA241" s="55" t="s">
        <v>232</v>
      </c>
    </row>
    <row r="242" spans="1:105" ht="11.4" customHeight="1" x14ac:dyDescent="0.35">
      <c r="A242" s="59" t="str">
        <f>$A$30</f>
        <v>Intra-EEA</v>
      </c>
      <c r="B242" s="83">
        <f t="shared" si="56"/>
        <v>79.758013407966402</v>
      </c>
      <c r="C242" s="83">
        <f t="shared" si="56"/>
        <v>65.936664877778426</v>
      </c>
      <c r="D242" s="83">
        <f t="shared" si="56"/>
        <v>53.988614204769107</v>
      </c>
      <c r="E242" s="83">
        <f t="shared" si="56"/>
        <v>51.898518666105709</v>
      </c>
      <c r="F242" s="83">
        <f t="shared" si="56"/>
        <v>43.235497907405602</v>
      </c>
      <c r="G242" s="83">
        <f t="shared" si="56"/>
        <v>45.683341110584387</v>
      </c>
      <c r="H242" s="83">
        <f t="shared" si="56"/>
        <v>57.582680092410016</v>
      </c>
      <c r="I242" s="83">
        <f t="shared" si="56"/>
        <v>64.510935204669565</v>
      </c>
      <c r="J242" s="83">
        <f t="shared" si="56"/>
        <v>55.796968356206463</v>
      </c>
      <c r="K242" s="83">
        <f t="shared" si="56"/>
        <v>35.500388522494418</v>
      </c>
      <c r="L242" s="83">
        <f t="shared" si="56"/>
        <v>50.735948824794995</v>
      </c>
      <c r="M242" s="83">
        <f t="shared" si="56"/>
        <v>48.574138310277824</v>
      </c>
      <c r="N242" s="83">
        <f t="shared" si="56"/>
        <v>39.324024481266108</v>
      </c>
      <c r="O242" s="83">
        <f t="shared" si="56"/>
        <v>41.523216514227457</v>
      </c>
      <c r="P242" s="83">
        <f t="shared" si="56"/>
        <v>52.022546530965862</v>
      </c>
      <c r="Q242" s="83">
        <f t="shared" si="56"/>
        <v>46.921997088721938</v>
      </c>
      <c r="R242" s="83">
        <f t="shared" si="56"/>
        <v>40.106925404461109</v>
      </c>
      <c r="S242" s="83">
        <f t="shared" si="56"/>
        <v>32.920804347616837</v>
      </c>
      <c r="T242" s="83">
        <f t="shared" si="56"/>
        <v>37.365936236812537</v>
      </c>
      <c r="U242" s="83">
        <f t="shared" si="56"/>
        <v>42.332987955675655</v>
      </c>
      <c r="V242" s="83">
        <f t="shared" si="56"/>
        <v>29.185217248771789</v>
      </c>
      <c r="W242" s="83">
        <f t="shared" si="53"/>
        <v>24.583701861323984</v>
      </c>
      <c r="DA242" s="49" t="s">
        <v>233</v>
      </c>
    </row>
    <row r="243" spans="1:105" ht="11.4" customHeight="1" x14ac:dyDescent="0.35">
      <c r="A243" s="67" t="str">
        <f>$A$31</f>
        <v>Extra-EEA</v>
      </c>
      <c r="B243" s="85">
        <f t="shared" si="56"/>
        <v>40.102926840420167</v>
      </c>
      <c r="C243" s="85">
        <f t="shared" si="56"/>
        <v>32.291146949611615</v>
      </c>
      <c r="D243" s="85">
        <f t="shared" si="56"/>
        <v>27.675143414560583</v>
      </c>
      <c r="E243" s="85">
        <f t="shared" si="56"/>
        <v>23.775941601262794</v>
      </c>
      <c r="F243" s="85">
        <f t="shared" si="56"/>
        <v>22.52717102982383</v>
      </c>
      <c r="G243" s="85">
        <f t="shared" si="56"/>
        <v>24.091751600643128</v>
      </c>
      <c r="H243" s="85">
        <f t="shared" si="56"/>
        <v>26.425675921787231</v>
      </c>
      <c r="I243" s="85">
        <f t="shared" si="56"/>
        <v>30.377537313233773</v>
      </c>
      <c r="J243" s="85">
        <f t="shared" si="56"/>
        <v>26.2685863916196</v>
      </c>
      <c r="K243" s="85">
        <f t="shared" si="56"/>
        <v>16.944696803805808</v>
      </c>
      <c r="L243" s="85">
        <f t="shared" si="56"/>
        <v>25.810246875615654</v>
      </c>
      <c r="M243" s="85">
        <f t="shared" si="56"/>
        <v>22.109002513014826</v>
      </c>
      <c r="N243" s="85">
        <f t="shared" si="56"/>
        <v>20.821463643849878</v>
      </c>
      <c r="O243" s="85">
        <f t="shared" si="56"/>
        <v>23.763283987680921</v>
      </c>
      <c r="P243" s="85">
        <f t="shared" si="56"/>
        <v>26.987038240458514</v>
      </c>
      <c r="Q243" s="85">
        <f t="shared" si="56"/>
        <v>20.678933201216378</v>
      </c>
      <c r="R243" s="85">
        <f t="shared" si="56"/>
        <v>18.066366265908805</v>
      </c>
      <c r="S243" s="85">
        <f t="shared" si="56"/>
        <v>14.851512562879405</v>
      </c>
      <c r="T243" s="85">
        <f t="shared" si="56"/>
        <v>16.168746525807279</v>
      </c>
      <c r="U243" s="85">
        <f t="shared" si="56"/>
        <v>18.020606177350068</v>
      </c>
      <c r="V243" s="85">
        <f t="shared" si="56"/>
        <v>14.250897771257209</v>
      </c>
      <c r="W243" s="85">
        <f t="shared" ref="W243" si="57">IF(W31=0,0,W91/W31*1000)</f>
        <v>11.628710913636663</v>
      </c>
      <c r="DA243" s="69" t="s">
        <v>234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8B51F9679BA144793883E00F33314C2" ma:contentTypeVersion="13" ma:contentTypeDescription="Ein neues Dokument erstellen." ma:contentTypeScope="" ma:versionID="015b9be55f5f754557c169d2250338b4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583b137ad0097f742a3eb8eb807bdb3f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0E6155-5747-4FE2-A946-061709E1D3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81135B-BED3-4901-BD96-90E2745B9F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9c1a43-fcee-47b9-8e14-d0136f5b770f"/>
    <ds:schemaRef ds:uri="a0ef95e8-51fd-41c3-80a8-973dcfb15a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12723B-F468-4996-BA45-8051E07159A9}">
  <ds:schemaRefs>
    <ds:schemaRef ds:uri="http://schemas.microsoft.com/office/2006/metadata/properties"/>
    <ds:schemaRef ds:uri="http://schemas.microsoft.com/office/infopath/2007/PartnerControls"/>
    <ds:schemaRef ds:uri="a0ef95e8-51fd-41c3-80a8-973dcfb15a5e"/>
    <ds:schemaRef ds:uri="399c1a43-fcee-47b9-8e14-d0136f5b770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</vt:lpstr>
      <vt:lpstr>Description</vt:lpstr>
      <vt:lpstr>JR_IDEES_Industry</vt:lpstr>
      <vt:lpstr>JR_IDEES_Transport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 von Mikulicz-Radecki</dc:creator>
  <cp:lastModifiedBy>Flora von Mikulicz-Radecki</cp:lastModifiedBy>
  <dcterms:created xsi:type="dcterms:W3CDTF">2024-10-28T10:20:26Z</dcterms:created>
  <dcterms:modified xsi:type="dcterms:W3CDTF">2024-11-18T16:05:12Z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