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flv_eco_cbs_dk/Documents/Documents/01_PtX_Markets/Industry_Data/Neuwirth_2024_Supplementary_Data/"/>
    </mc:Choice>
  </mc:AlternateContent>
  <xr:revisionPtr revIDLastSave="168" documentId="11_B8200644A690DA500395A935E42932AB38BDCB32" xr6:coauthVersionLast="47" xr6:coauthVersionMax="47" xr10:uidLastSave="{15B1F3A6-B7FF-4946-B800-FA54390ADE4D}"/>
  <bookViews>
    <workbookView xWindow="-110" yWindow="-110" windowWidth="19420" windowHeight="11620" activeTab="3" xr2:uid="{00000000-000D-0000-FFFF-FFFF00000000}"/>
  </bookViews>
  <sheets>
    <sheet name="Log" sheetId="8" r:id="rId1"/>
    <sheet name="Database" sheetId="1" r:id="rId2"/>
    <sheet name="SEC" sheetId="10" r:id="rId3"/>
    <sheet name="Energy demand calculation" sheetId="9" r:id="rId4"/>
  </sheets>
  <definedNames>
    <definedName name="_xlnm._FilterDatabase" localSheetId="1" hidden="1">Database!$A$1:$Q$157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D3" i="9"/>
  <c r="C4" i="9"/>
  <c r="E4" i="9" s="1"/>
  <c r="C3" i="9"/>
  <c r="C2" i="9"/>
  <c r="D2" i="9"/>
  <c r="B6" i="10"/>
  <c r="D6" i="10"/>
  <c r="C6" i="10"/>
  <c r="D4" i="9"/>
  <c r="E2" i="9" l="1"/>
  <c r="I156" i="1"/>
  <c r="I157" i="1" s="1"/>
  <c r="E5" i="9" l="1"/>
</calcChain>
</file>

<file path=xl/sharedStrings.xml><?xml version="1.0" encoding="utf-8"?>
<sst xmlns="http://schemas.openxmlformats.org/spreadsheetml/2006/main" count="779" uniqueCount="165">
  <si>
    <t>id_site</t>
  </si>
  <si>
    <t>id_production_unit</t>
  </si>
  <si>
    <t>AT</t>
  </si>
  <si>
    <t>BE</t>
  </si>
  <si>
    <t>CZ</t>
  </si>
  <si>
    <t>FI</t>
  </si>
  <si>
    <t>FR</t>
  </si>
  <si>
    <t>DE</t>
  </si>
  <si>
    <t>EL</t>
  </si>
  <si>
    <t>HU</t>
  </si>
  <si>
    <t>IT</t>
  </si>
  <si>
    <t>LT</t>
  </si>
  <si>
    <t>NL</t>
  </si>
  <si>
    <t>PL</t>
  </si>
  <si>
    <t>PT</t>
  </si>
  <si>
    <t>SK</t>
  </si>
  <si>
    <t>ES</t>
  </si>
  <si>
    <t>SE</t>
  </si>
  <si>
    <t>UK</t>
  </si>
  <si>
    <t>RO</t>
  </si>
  <si>
    <t>BG</t>
  </si>
  <si>
    <t>NO</t>
  </si>
  <si>
    <t>HR</t>
  </si>
  <si>
    <t>Country</t>
  </si>
  <si>
    <t>voestalpine Stahl Donawitz GesmbH</t>
  </si>
  <si>
    <t>voestalpine Stahl GmbH</t>
  </si>
  <si>
    <t>OMV Refining and Marketing GmbH</t>
  </si>
  <si>
    <t>Borealis Agrolinz Melamine GmbH</t>
  </si>
  <si>
    <t>TOTAL RAFFINADERIJ ANTWERPEN</t>
  </si>
  <si>
    <t>BASF ANTWERPEN</t>
  </si>
  <si>
    <t>ARCELORMITTAL BELGIUM - GENT</t>
  </si>
  <si>
    <t>NEOHIMAD</t>
  </si>
  <si>
    <t>Provozovna Třinec</t>
  </si>
  <si>
    <t>ArcelorMittal Ostrava a.s.</t>
  </si>
  <si>
    <t>ROGESA Roheisengesellschaft Saar mbH</t>
  </si>
  <si>
    <t>Raffinerie Heide GmbH</t>
  </si>
  <si>
    <t>YARA Brunsbüttel GmbH</t>
  </si>
  <si>
    <t>ArcelorMittal Hamburg GmbH</t>
  </si>
  <si>
    <t>Salzgitter Flachstahl GmbH Werk Salzgitter</t>
  </si>
  <si>
    <t>ArcelorMittal Bremen GmbH</t>
  </si>
  <si>
    <t>Hüttenwerke Krupp Mannesmann GmbH</t>
  </si>
  <si>
    <t>ThyssenKrupp Steel Europe AG Werk Schwelgern</t>
  </si>
  <si>
    <t>DK Recycling und Roheisen GmbH</t>
  </si>
  <si>
    <t>Shell Deutschland Oil GmbH Rheinland Raffinerie, Werk Süd</t>
  </si>
  <si>
    <t>OMV Werk Burghausen</t>
  </si>
  <si>
    <t>Basell Polyolefine GmbH</t>
  </si>
  <si>
    <t>ArcelorMittal Eisenhüttenstadt GmbH</t>
  </si>
  <si>
    <t>Dow Olefinverbund GmbH, Werk Böhlen</t>
  </si>
  <si>
    <t>SKW Stickstoffwerke Piesteritz GmbH</t>
  </si>
  <si>
    <t>Basell Polyolefine GmbH Werk Wesseling</t>
  </si>
  <si>
    <t>INEOS Köln GmbH</t>
  </si>
  <si>
    <t>RUHR OEL GMBH Werk Scholven</t>
  </si>
  <si>
    <t>BASF SE</t>
  </si>
  <si>
    <t>HELLENIC FERTILIZERS AND CHEMICALS ELFE S.A.</t>
  </si>
  <si>
    <t>ARCELORMITTAL ESPAÑA - PLANTA SIDERÚRGICA DE AVILÉS Y GIJÓN</t>
  </si>
  <si>
    <t>REPSOL PETROLEO S.A.</t>
  </si>
  <si>
    <t>DOW CHEMICAL IBERICA (DOW NORD)</t>
  </si>
  <si>
    <t>REPSOL QUIMICA</t>
  </si>
  <si>
    <t>FÁBRICA DE PALOS (FERTIBERIA, S.A.)</t>
  </si>
  <si>
    <t>FERTIBERIA</t>
  </si>
  <si>
    <t>SSAB Europe Oy (ent. RUUKKI METALS OY), Raahen terästehdas</t>
  </si>
  <si>
    <t>Borealis Polymers Oy, Olefiinituotanto</t>
  </si>
  <si>
    <t>Raffinerie de Feyzin</t>
  </si>
  <si>
    <t>SAINT GOBAIN PAM (usine et fonderie)</t>
  </si>
  <si>
    <t>ArcelorMittal FOS</t>
  </si>
  <si>
    <t>Borealis Chimie - Usine de Grand Quevilly</t>
  </si>
  <si>
    <t>Borealis Grandpuits</t>
  </si>
  <si>
    <t>BOREALIS PEC-RHIN SAS</t>
  </si>
  <si>
    <t>ARCELORMITTAL ATLANTIQUE et LORRAINE SITE DE DUNKERQUE</t>
  </si>
  <si>
    <t>Proizvodnja gnojiva</t>
  </si>
  <si>
    <t>ISD Kokszoló Kft.</t>
  </si>
  <si>
    <t>ILVA S.P.A. Stabilimento di Taranto</t>
  </si>
  <si>
    <t>YARA Sluiskil BV</t>
  </si>
  <si>
    <t>Tata Steel IJmuiden BV</t>
  </si>
  <si>
    <t>Dow Benelux BV (Hoek)</t>
  </si>
  <si>
    <t>Bio Methanol Chemie Nederland (BioMCN)</t>
  </si>
  <si>
    <t>Yara Norge, Yara Porsgrunn</t>
  </si>
  <si>
    <t>Polski Koncern Naftowy ORLEN S.A.</t>
  </si>
  <si>
    <t>ArcelorMittal Poland S.A., Oddział w Krakowie</t>
  </si>
  <si>
    <t>ArcelorMittal Poland S.A., Oddział w Dąbrowie Górniczej</t>
  </si>
  <si>
    <t>Zakłady Chemiczne "POLICE" S.A.</t>
  </si>
  <si>
    <t>Zakłady Azotowe "Puławy" S.A.</t>
  </si>
  <si>
    <t>ANWIL S.A.</t>
  </si>
  <si>
    <t>Grupa Azoty Zakłady Azotowe Kędzierzyn Spółka Akcyjna</t>
  </si>
  <si>
    <t>Grupa Azoty S.A.</t>
  </si>
  <si>
    <t>SSAB Oxelösund AB</t>
  </si>
  <si>
    <t>SSAB EMEA AB i Luleå</t>
  </si>
  <si>
    <t>Slovnaft, a.s.</t>
  </si>
  <si>
    <t>AB "Achema"</t>
  </si>
  <si>
    <t>Nitrogénművek Zrt.</t>
  </si>
  <si>
    <t>YARA France</t>
  </si>
  <si>
    <t>ExxonMobil Chemical France</t>
  </si>
  <si>
    <t>TOTAL PETROCHEMICALS FRANCE Usine de Gonfreville</t>
  </si>
  <si>
    <t>NAPHTACHIMIE</t>
  </si>
  <si>
    <t>USINE CHIMIQUE DE L'AUBETTE</t>
  </si>
  <si>
    <t>YARA ITALIA  SpA - STAB. FERRARA</t>
  </si>
  <si>
    <t>Repsol Polimeros , Lda.</t>
  </si>
  <si>
    <t>Tiszai Vegyi Kombinát Nyilvánosan Működő Részvénytársaság</t>
  </si>
  <si>
    <t>Borealis Krackeranl.</t>
  </si>
  <si>
    <t>UNIPETROL RPA</t>
  </si>
  <si>
    <t>STABILIMENTO DI BRINDISI</t>
  </si>
  <si>
    <t>Stabilimento di Priolo</t>
  </si>
  <si>
    <t>Shell Nederland Chemie BV (Moerdijk)</t>
  </si>
  <si>
    <t>U.S.Steel s.r.o.</t>
  </si>
  <si>
    <t>Chemelot Site Permit BV</t>
  </si>
  <si>
    <t>Teeside Polyethylene Plant</t>
  </si>
  <si>
    <t>Port Talbot Steel Works</t>
  </si>
  <si>
    <t>Fife Ethylene Plant</t>
  </si>
  <si>
    <t>YARA TERTRE sa-nv - CETPROBEL sa</t>
  </si>
  <si>
    <t>Ruhr Oel GmbH Werk Horst</t>
  </si>
  <si>
    <t>TOTAL Raffinerie Mitteldeutschland GmbH (Raffinerie/POX)</t>
  </si>
  <si>
    <t>SC ARCELORMITTAL GALATI SA</t>
  </si>
  <si>
    <t>SC CHEMGAS HOLDING CORPORATION SRL</t>
  </si>
  <si>
    <t>SC AZOMURES SA</t>
  </si>
  <si>
    <t>Scunthorpe Intergrated Iron And Steel Works</t>
  </si>
  <si>
    <t>NORETYL AS</t>
  </si>
  <si>
    <t>Statoil ASA Tjeldbergodden Metanolfabrikk</t>
  </si>
  <si>
    <t>VERSALIS FRANCE SAS</t>
  </si>
  <si>
    <t>Grangemouth Chemicals</t>
  </si>
  <si>
    <t>Duslo a.s. Šaľa</t>
  </si>
  <si>
    <t>Ammonia</t>
  </si>
  <si>
    <t>Ethylene</t>
  </si>
  <si>
    <t>Methanol</t>
  </si>
  <si>
    <t>Steel, primary</t>
  </si>
  <si>
    <t>Ammonia SMR</t>
  </si>
  <si>
    <t>Blast furnace</t>
  </si>
  <si>
    <t>Direct reduction NG</t>
  </si>
  <si>
    <t>Methanol SMR</t>
  </si>
  <si>
    <t>Steam cracking</t>
  </si>
  <si>
    <t>Process status qup</t>
  </si>
  <si>
    <t>Product</t>
  </si>
  <si>
    <t>Site</t>
  </si>
  <si>
    <t>Production in tons (calibrated)</t>
  </si>
  <si>
    <t>Latitude</t>
  </si>
  <si>
    <t>Longitude</t>
  </si>
  <si>
    <t>ETS emissions 2015</t>
  </si>
  <si>
    <t>Year of last modernisation</t>
  </si>
  <si>
    <t>Comment</t>
  </si>
  <si>
    <t>x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</si>
  <si>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</si>
  <si>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</si>
  <si>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</si>
  <si>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</si>
  <si>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</si>
  <si>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</si>
  <si>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This supplementary data contains assumptions and input data for the modelling approach. This dataset contains modelled sites for primary steel, HVC, ammonia and methanol as well as non-proprietory information on plant-level. This supplementary data is structured as follows:</t>
  </si>
  <si>
    <t>0. Database</t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</si>
  <si>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</si>
  <si>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Religning year primary steel proprietary (licensing)</t>
  </si>
  <si>
    <t>* Year of last modernisation is extrapolated if last available information is older than assumed lifetimes in this paper.</t>
  </si>
  <si>
    <t>The dataset contains information on product and process for the status quo, geolocation, calibrated production, year of last modernisation and ETS emissions.</t>
  </si>
  <si>
    <t>Supplementary data - Industrial Site Database</t>
  </si>
  <si>
    <t>This dataset is supplementary data of modelling input of the industrial site database for the following journal publication in Energy Conversion and Management</t>
  </si>
  <si>
    <t xml:space="preserve">Ethlyene </t>
  </si>
  <si>
    <t>Energy Intensity [GJ/t]</t>
  </si>
  <si>
    <t>Conversion factor ethylene eq</t>
  </si>
  <si>
    <t>Energy demand [kt ethylene eq. ]</t>
  </si>
  <si>
    <t>Source</t>
  </si>
  <si>
    <t xml:space="preserve">Saygin et al (2011) </t>
  </si>
  <si>
    <t>Production [t]</t>
  </si>
  <si>
    <t>SEC_Methanol</t>
  </si>
  <si>
    <t>SEC_Ammonia</t>
  </si>
  <si>
    <t>SEC_HVC</t>
  </si>
  <si>
    <t>Average</t>
  </si>
  <si>
    <t>Benelux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</si>
</sst>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1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3" fillId="2" borderId="4" xfId="0" applyFont="1" applyFill="1" applyBorder="1"/>
    <xf numFmtId="0" fontId="3" fillId="2" borderId="5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0" xfId="1" applyFill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workbookViewId="0">
      <selection activeCell="A12" sqref="A12:N12"/>
    </sheetView>
  </sheetViews>
  <sheetFormatPr defaultColWidth="11.453125" defaultRowHeight="14.5" x14ac:dyDescent="0.35"/>
  <cols>
    <col min="1" max="5" width="11.453125" style="5"/>
    <col min="6" max="6" width="13" style="5" bestFit="1" customWidth="1"/>
    <col min="7" max="7" width="11.453125" style="5"/>
    <col min="8" max="8" width="13" style="5" bestFit="1" customWidth="1"/>
    <col min="9" max="13" width="11.453125" style="5"/>
    <col min="14" max="14" width="18.54296875" style="5" customWidth="1"/>
    <col min="15" max="16384" width="11.453125" style="5"/>
  </cols>
  <sheetData>
    <row r="1" spans="1:14" x14ac:dyDescent="0.3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x14ac:dyDescent="0.35">
      <c r="A2" s="6"/>
      <c r="N2" s="7"/>
    </row>
    <row r="3" spans="1:14" x14ac:dyDescent="0.35">
      <c r="A3" s="6"/>
      <c r="N3" s="7"/>
    </row>
    <row r="4" spans="1:14" x14ac:dyDescent="0.35">
      <c r="A4" s="6"/>
      <c r="N4" s="7"/>
    </row>
    <row r="5" spans="1:14" x14ac:dyDescent="0.35">
      <c r="A5" s="8"/>
      <c r="N5" s="7"/>
    </row>
    <row r="6" spans="1:14" x14ac:dyDescent="0.35">
      <c r="A6" s="6"/>
      <c r="N6" s="7"/>
    </row>
    <row r="7" spans="1:14" x14ac:dyDescent="0.35">
      <c r="A7" s="6"/>
      <c r="N7" s="7"/>
    </row>
    <row r="8" spans="1:14" x14ac:dyDescent="0.35">
      <c r="A8" s="25" t="s">
        <v>151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7"/>
    </row>
    <row r="9" spans="1:14" x14ac:dyDescent="0.3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</row>
    <row r="10" spans="1:14" x14ac:dyDescent="0.3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7"/>
    </row>
    <row r="11" spans="1:14" x14ac:dyDescent="0.35">
      <c r="A11" s="6"/>
      <c r="N11" s="7"/>
    </row>
    <row r="12" spans="1:14" x14ac:dyDescent="0.35">
      <c r="A12" s="28" t="s">
        <v>152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0"/>
    </row>
    <row r="13" spans="1:14" x14ac:dyDescent="0.35">
      <c r="A13" s="6"/>
      <c r="N13" s="7"/>
    </row>
    <row r="14" spans="1:14" x14ac:dyDescent="0.35">
      <c r="A14" s="31" t="s">
        <v>147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3"/>
    </row>
    <row r="15" spans="1:14" x14ac:dyDescent="0.35">
      <c r="A15" s="34" t="s">
        <v>139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4" x14ac:dyDescent="0.35">
      <c r="A16" s="6"/>
      <c r="N16" s="7"/>
    </row>
    <row r="17" spans="1:14" x14ac:dyDescent="0.35">
      <c r="A17" s="34" t="s">
        <v>140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ht="15" thickBot="1" x14ac:dyDescent="0.4">
      <c r="A18" s="6"/>
      <c r="N18" s="7"/>
    </row>
    <row r="19" spans="1:14" ht="15" thickBot="1" x14ac:dyDescent="0.4">
      <c r="A19" s="22" t="s">
        <v>141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4"/>
    </row>
    <row r="20" spans="1:14" x14ac:dyDescent="0.35">
      <c r="A20" s="6"/>
      <c r="N20" s="7"/>
    </row>
    <row r="21" spans="1:14" x14ac:dyDescent="0.35">
      <c r="A21" s="31" t="s">
        <v>145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/>
    </row>
    <row r="22" spans="1:14" x14ac:dyDescent="0.35">
      <c r="A22" s="44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</row>
    <row r="23" spans="1:14" x14ac:dyDescent="0.3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5">
      <c r="A24" s="45" t="s">
        <v>142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7"/>
    </row>
    <row r="25" spans="1:14" x14ac:dyDescent="0.35">
      <c r="A25" s="21" t="s">
        <v>146</v>
      </c>
      <c r="B25" s="12"/>
      <c r="C25" s="37" t="s">
        <v>150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 x14ac:dyDescent="0.35">
      <c r="A26" s="21"/>
      <c r="B26" s="12"/>
      <c r="C26" s="19" t="s">
        <v>149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20"/>
    </row>
    <row r="27" spans="1:14" x14ac:dyDescent="0.35">
      <c r="A27" s="21"/>
      <c r="B27" s="1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20"/>
    </row>
    <row r="28" spans="1:14" x14ac:dyDescent="0.35">
      <c r="A28" s="14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5"/>
    </row>
    <row r="29" spans="1:14" ht="15" customHeight="1" x14ac:dyDescent="0.35">
      <c r="A29" s="39" t="s">
        <v>143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1"/>
    </row>
    <row r="30" spans="1:14" x14ac:dyDescent="0.35">
      <c r="A30" s="34" t="s">
        <v>144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8"/>
    </row>
    <row r="31" spans="1:14" ht="15" thickBot="1" x14ac:dyDescent="0.4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</row>
  </sheetData>
  <mergeCells count="11">
    <mergeCell ref="A30:N30"/>
    <mergeCell ref="C25:N25"/>
    <mergeCell ref="A29:N29"/>
    <mergeCell ref="A21:N22"/>
    <mergeCell ref="A24:N24"/>
    <mergeCell ref="A19:N19"/>
    <mergeCell ref="A8:N10"/>
    <mergeCell ref="A12:N12"/>
    <mergeCell ref="A14:N14"/>
    <mergeCell ref="A15:N15"/>
    <mergeCell ref="A17:N17"/>
  </mergeCells>
  <hyperlinks>
    <hyperlink ref="A29:N29" r:id="rId1" display="Contact: Marius.Neuwirth@isi.fraunhofer.de " xr:uid="{00000000-0004-0000-0000-000000000000}"/>
    <hyperlink ref="A25" location="Database!A1" display="0. Database" xr:uid="{00000000-0004-0000-0000-000001000000}"/>
  </hyperlinks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7"/>
  <sheetViews>
    <sheetView topLeftCell="B1" workbookViewId="0">
      <selection activeCell="I3" sqref="I3"/>
    </sheetView>
  </sheetViews>
  <sheetFormatPr defaultColWidth="9.08984375" defaultRowHeight="14.5" x14ac:dyDescent="0.35"/>
  <cols>
    <col min="2" max="2" width="20.453125" bestFit="1" customWidth="1"/>
    <col min="4" max="4" width="32.36328125" customWidth="1"/>
    <col min="5" max="5" width="19.54296875" customWidth="1"/>
    <col min="6" max="6" width="21.453125" customWidth="1"/>
    <col min="7" max="7" width="11" bestFit="1" customWidth="1"/>
    <col min="9" max="9" width="42.36328125" customWidth="1"/>
    <col min="10" max="10" width="31.453125" customWidth="1"/>
    <col min="11" max="11" width="19.453125" bestFit="1" customWidth="1"/>
  </cols>
  <sheetData>
    <row r="1" spans="1:12" x14ac:dyDescent="0.35">
      <c r="A1" t="s">
        <v>0</v>
      </c>
      <c r="B1" t="s">
        <v>1</v>
      </c>
      <c r="C1" t="s">
        <v>23</v>
      </c>
      <c r="D1" t="s">
        <v>131</v>
      </c>
      <c r="E1" t="s">
        <v>130</v>
      </c>
      <c r="F1" t="s">
        <v>129</v>
      </c>
      <c r="G1" t="s">
        <v>133</v>
      </c>
      <c r="H1" t="s">
        <v>134</v>
      </c>
      <c r="I1" t="s">
        <v>132</v>
      </c>
      <c r="J1" t="s">
        <v>136</v>
      </c>
      <c r="K1" t="s">
        <v>135</v>
      </c>
      <c r="L1" t="s">
        <v>137</v>
      </c>
    </row>
    <row r="2" spans="1:12" x14ac:dyDescent="0.35">
      <c r="A2">
        <v>1</v>
      </c>
      <c r="B2">
        <v>4</v>
      </c>
      <c r="C2" t="s">
        <v>2</v>
      </c>
      <c r="D2" t="s">
        <v>24</v>
      </c>
      <c r="E2" t="s">
        <v>123</v>
      </c>
      <c r="F2" t="s">
        <v>125</v>
      </c>
      <c r="G2">
        <v>47.03378</v>
      </c>
      <c r="H2">
        <v>15.067805999999999</v>
      </c>
      <c r="I2" s="1">
        <v>715761.82140000002</v>
      </c>
      <c r="J2" t="s">
        <v>138</v>
      </c>
      <c r="K2">
        <v>2981508</v>
      </c>
      <c r="L2" t="s">
        <v>148</v>
      </c>
    </row>
    <row r="3" spans="1:12" x14ac:dyDescent="0.35">
      <c r="A3">
        <v>1</v>
      </c>
      <c r="B3">
        <v>5</v>
      </c>
      <c r="C3" t="s">
        <v>2</v>
      </c>
      <c r="D3" t="s">
        <v>24</v>
      </c>
      <c r="E3" t="s">
        <v>123</v>
      </c>
      <c r="F3" t="s">
        <v>125</v>
      </c>
      <c r="G3">
        <v>47.03378</v>
      </c>
      <c r="H3">
        <v>15.067805999999999</v>
      </c>
      <c r="I3" s="1">
        <v>747810.85809999995</v>
      </c>
      <c r="J3" t="s">
        <v>138</v>
      </c>
      <c r="K3">
        <v>2981508</v>
      </c>
      <c r="L3" t="s">
        <v>148</v>
      </c>
    </row>
    <row r="4" spans="1:12" x14ac:dyDescent="0.35">
      <c r="A4">
        <v>2</v>
      </c>
      <c r="B4">
        <v>17</v>
      </c>
      <c r="C4" t="s">
        <v>2</v>
      </c>
      <c r="D4" t="s">
        <v>25</v>
      </c>
      <c r="E4" t="s">
        <v>123</v>
      </c>
      <c r="F4" t="s">
        <v>125</v>
      </c>
      <c r="G4">
        <v>48.281944000000003</v>
      </c>
      <c r="H4">
        <v>14.343056000000001</v>
      </c>
      <c r="I4" s="1">
        <v>2969877.4079999998</v>
      </c>
      <c r="J4" t="s">
        <v>138</v>
      </c>
      <c r="K4">
        <v>8712811</v>
      </c>
      <c r="L4" t="s">
        <v>148</v>
      </c>
    </row>
    <row r="5" spans="1:12" x14ac:dyDescent="0.35">
      <c r="A5">
        <v>2</v>
      </c>
      <c r="B5">
        <v>18</v>
      </c>
      <c r="C5" t="s">
        <v>2</v>
      </c>
      <c r="D5" t="s">
        <v>25</v>
      </c>
      <c r="E5" t="s">
        <v>123</v>
      </c>
      <c r="F5" t="s">
        <v>125</v>
      </c>
      <c r="G5">
        <v>48.281944000000003</v>
      </c>
      <c r="H5">
        <v>14.343056000000001</v>
      </c>
      <c r="I5" s="1">
        <v>822591.94400000002</v>
      </c>
      <c r="J5" t="s">
        <v>138</v>
      </c>
      <c r="K5">
        <v>8712811</v>
      </c>
      <c r="L5" t="s">
        <v>148</v>
      </c>
    </row>
    <row r="6" spans="1:12" x14ac:dyDescent="0.35">
      <c r="A6">
        <v>2</v>
      </c>
      <c r="B6">
        <v>19</v>
      </c>
      <c r="C6" t="s">
        <v>2</v>
      </c>
      <c r="D6" t="s">
        <v>25</v>
      </c>
      <c r="E6" t="s">
        <v>123</v>
      </c>
      <c r="F6" t="s">
        <v>125</v>
      </c>
      <c r="G6">
        <v>48.281944000000003</v>
      </c>
      <c r="H6">
        <v>14.343056000000001</v>
      </c>
      <c r="I6" s="1">
        <v>843957.96849999996</v>
      </c>
      <c r="J6" t="s">
        <v>138</v>
      </c>
      <c r="K6">
        <v>8712811</v>
      </c>
      <c r="L6" t="s">
        <v>148</v>
      </c>
    </row>
    <row r="7" spans="1:12" x14ac:dyDescent="0.35">
      <c r="A7">
        <v>4</v>
      </c>
      <c r="B7">
        <v>1884</v>
      </c>
      <c r="C7" t="s">
        <v>2</v>
      </c>
      <c r="D7" t="s">
        <v>26</v>
      </c>
      <c r="E7" t="s">
        <v>121</v>
      </c>
      <c r="F7" t="s">
        <v>128</v>
      </c>
      <c r="G7">
        <v>48.144722000000002</v>
      </c>
      <c r="H7">
        <v>16.493888999999999</v>
      </c>
      <c r="I7" s="1">
        <v>500000</v>
      </c>
      <c r="J7">
        <v>2011</v>
      </c>
      <c r="K7">
        <v>2804050</v>
      </c>
    </row>
    <row r="8" spans="1:12" x14ac:dyDescent="0.35">
      <c r="A8">
        <v>26</v>
      </c>
      <c r="B8">
        <v>1857</v>
      </c>
      <c r="C8" t="s">
        <v>2</v>
      </c>
      <c r="D8" t="s">
        <v>27</v>
      </c>
      <c r="E8" t="s">
        <v>120</v>
      </c>
      <c r="F8" t="s">
        <v>124</v>
      </c>
      <c r="G8">
        <v>48.017859999999999</v>
      </c>
      <c r="H8">
        <v>14.035333</v>
      </c>
      <c r="I8" s="1">
        <v>143783.7838</v>
      </c>
      <c r="J8">
        <v>2012</v>
      </c>
      <c r="K8">
        <v>943574</v>
      </c>
    </row>
    <row r="9" spans="1:12" x14ac:dyDescent="0.35">
      <c r="A9">
        <v>26</v>
      </c>
      <c r="B9">
        <v>1916</v>
      </c>
      <c r="C9" t="s">
        <v>2</v>
      </c>
      <c r="D9" t="s">
        <v>27</v>
      </c>
      <c r="E9" t="s">
        <v>120</v>
      </c>
      <c r="F9" t="s">
        <v>124</v>
      </c>
      <c r="G9">
        <v>48.017859999999999</v>
      </c>
      <c r="H9">
        <v>14.035333</v>
      </c>
      <c r="I9" s="1">
        <v>276216.21620000002</v>
      </c>
      <c r="J9">
        <v>2015</v>
      </c>
      <c r="K9">
        <v>943574</v>
      </c>
    </row>
    <row r="10" spans="1:12" x14ac:dyDescent="0.35">
      <c r="A10">
        <v>38</v>
      </c>
      <c r="B10">
        <v>1940</v>
      </c>
      <c r="C10" t="s">
        <v>3</v>
      </c>
      <c r="D10" t="s">
        <v>28</v>
      </c>
      <c r="E10" t="s">
        <v>121</v>
      </c>
      <c r="F10" t="s">
        <v>128</v>
      </c>
      <c r="G10">
        <v>51.267449999999997</v>
      </c>
      <c r="H10">
        <v>4.3216605000000001</v>
      </c>
      <c r="I10" s="1">
        <v>591522.54460000002</v>
      </c>
      <c r="J10">
        <v>2015</v>
      </c>
      <c r="K10">
        <v>3780955</v>
      </c>
    </row>
    <row r="11" spans="1:12" x14ac:dyDescent="0.35">
      <c r="A11">
        <v>38</v>
      </c>
      <c r="B11">
        <v>1941</v>
      </c>
      <c r="C11" t="s">
        <v>3</v>
      </c>
      <c r="D11" t="s">
        <v>28</v>
      </c>
      <c r="E11" t="s">
        <v>121</v>
      </c>
      <c r="F11" t="s">
        <v>128</v>
      </c>
      <c r="G11">
        <v>51.267449999999997</v>
      </c>
      <c r="H11">
        <v>4.3216605000000001</v>
      </c>
      <c r="I11" s="1">
        <v>656052.27679999999</v>
      </c>
      <c r="J11">
        <v>2015</v>
      </c>
      <c r="K11">
        <v>3780955</v>
      </c>
    </row>
    <row r="12" spans="1:12" x14ac:dyDescent="0.35">
      <c r="A12">
        <v>54</v>
      </c>
      <c r="B12">
        <v>1885</v>
      </c>
      <c r="C12" t="s">
        <v>3</v>
      </c>
      <c r="D12" t="s">
        <v>29</v>
      </c>
      <c r="E12" t="s">
        <v>121</v>
      </c>
      <c r="F12" t="s">
        <v>128</v>
      </c>
      <c r="G12">
        <v>51.355601999999998</v>
      </c>
      <c r="H12">
        <v>4.2674690000000002</v>
      </c>
      <c r="I12" s="1">
        <v>1161535.179</v>
      </c>
      <c r="J12">
        <v>2016</v>
      </c>
      <c r="K12">
        <v>3423094</v>
      </c>
    </row>
    <row r="13" spans="1:12" x14ac:dyDescent="0.35">
      <c r="A13">
        <v>54</v>
      </c>
      <c r="B13">
        <v>1924</v>
      </c>
      <c r="C13" t="s">
        <v>3</v>
      </c>
      <c r="D13" t="s">
        <v>29</v>
      </c>
      <c r="E13" t="s">
        <v>120</v>
      </c>
      <c r="F13" t="s">
        <v>124</v>
      </c>
      <c r="G13">
        <v>51.355601999999998</v>
      </c>
      <c r="H13">
        <v>4.2674690000000002</v>
      </c>
      <c r="I13" s="1">
        <v>526190.47620000003</v>
      </c>
      <c r="J13">
        <v>2008</v>
      </c>
      <c r="K13">
        <v>3423094</v>
      </c>
    </row>
    <row r="14" spans="1:12" x14ac:dyDescent="0.35">
      <c r="A14">
        <v>56</v>
      </c>
      <c r="B14">
        <v>83</v>
      </c>
      <c r="C14" t="s">
        <v>3</v>
      </c>
      <c r="D14" t="s">
        <v>30</v>
      </c>
      <c r="E14" t="s">
        <v>123</v>
      </c>
      <c r="F14" t="s">
        <v>125</v>
      </c>
      <c r="G14">
        <v>51.176715999999999</v>
      </c>
      <c r="H14">
        <v>3.8143601</v>
      </c>
      <c r="I14" s="1">
        <v>2180586.9070000001</v>
      </c>
      <c r="J14" t="s">
        <v>138</v>
      </c>
      <c r="K14">
        <v>8556638</v>
      </c>
      <c r="L14" t="s">
        <v>148</v>
      </c>
    </row>
    <row r="15" spans="1:12" x14ac:dyDescent="0.35">
      <c r="A15">
        <v>56</v>
      </c>
      <c r="B15">
        <v>85</v>
      </c>
      <c r="C15" t="s">
        <v>3</v>
      </c>
      <c r="D15" t="s">
        <v>30</v>
      </c>
      <c r="E15" t="s">
        <v>123</v>
      </c>
      <c r="F15" t="s">
        <v>125</v>
      </c>
      <c r="G15">
        <v>51.176715999999999</v>
      </c>
      <c r="H15">
        <v>3.8143601</v>
      </c>
      <c r="I15" s="1">
        <v>2019413.0930000001</v>
      </c>
      <c r="J15" t="s">
        <v>138</v>
      </c>
      <c r="K15">
        <v>8556638</v>
      </c>
      <c r="L15" t="s">
        <v>148</v>
      </c>
    </row>
    <row r="16" spans="1:12" x14ac:dyDescent="0.35">
      <c r="A16">
        <v>1304</v>
      </c>
      <c r="B16">
        <v>1881</v>
      </c>
      <c r="C16" t="s">
        <v>3</v>
      </c>
      <c r="D16" t="s">
        <v>108</v>
      </c>
      <c r="E16" t="s">
        <v>120</v>
      </c>
      <c r="F16" t="s">
        <v>124</v>
      </c>
      <c r="G16">
        <v>50.48</v>
      </c>
      <c r="H16">
        <v>3.7986</v>
      </c>
      <c r="I16" s="1">
        <v>323809.52380000002</v>
      </c>
      <c r="J16">
        <v>2021</v>
      </c>
      <c r="K16">
        <v>864726</v>
      </c>
    </row>
    <row r="17" spans="1:12" x14ac:dyDescent="0.35">
      <c r="A17">
        <v>81</v>
      </c>
      <c r="B17">
        <v>114</v>
      </c>
      <c r="C17" t="s">
        <v>4</v>
      </c>
      <c r="D17" t="s">
        <v>32</v>
      </c>
      <c r="E17" t="s">
        <v>123</v>
      </c>
      <c r="F17" t="s">
        <v>125</v>
      </c>
      <c r="G17">
        <v>49.688105520000001</v>
      </c>
      <c r="H17">
        <v>18.647281540000002</v>
      </c>
      <c r="I17" s="1">
        <v>963529.4118</v>
      </c>
      <c r="J17" t="s">
        <v>138</v>
      </c>
      <c r="K17">
        <v>2497507</v>
      </c>
      <c r="L17" t="s">
        <v>148</v>
      </c>
    </row>
    <row r="18" spans="1:12" x14ac:dyDescent="0.35">
      <c r="A18">
        <v>81</v>
      </c>
      <c r="B18">
        <v>115</v>
      </c>
      <c r="C18" t="s">
        <v>4</v>
      </c>
      <c r="D18" t="s">
        <v>32</v>
      </c>
      <c r="E18" t="s">
        <v>123</v>
      </c>
      <c r="F18" t="s">
        <v>125</v>
      </c>
      <c r="G18">
        <v>49.688105520000001</v>
      </c>
      <c r="H18">
        <v>18.647281540000002</v>
      </c>
      <c r="I18" s="1">
        <v>963529.4118</v>
      </c>
      <c r="J18" t="s">
        <v>138</v>
      </c>
      <c r="K18">
        <v>2497507</v>
      </c>
      <c r="L18" t="s">
        <v>148</v>
      </c>
    </row>
    <row r="19" spans="1:12" x14ac:dyDescent="0.35">
      <c r="A19">
        <v>94</v>
      </c>
      <c r="B19">
        <v>130</v>
      </c>
      <c r="C19" t="s">
        <v>4</v>
      </c>
      <c r="D19" t="s">
        <v>33</v>
      </c>
      <c r="E19" t="s">
        <v>123</v>
      </c>
      <c r="F19" t="s">
        <v>125</v>
      </c>
      <c r="G19">
        <v>49.795869699999997</v>
      </c>
      <c r="H19">
        <v>18.30577783</v>
      </c>
      <c r="I19" s="1">
        <v>1009411.765</v>
      </c>
      <c r="J19" t="s">
        <v>138</v>
      </c>
      <c r="K19">
        <v>5098762</v>
      </c>
      <c r="L19" t="s">
        <v>148</v>
      </c>
    </row>
    <row r="20" spans="1:12" x14ac:dyDescent="0.35">
      <c r="A20">
        <v>94</v>
      </c>
      <c r="B20">
        <v>131</v>
      </c>
      <c r="C20" t="s">
        <v>4</v>
      </c>
      <c r="D20" t="s">
        <v>33</v>
      </c>
      <c r="E20" t="s">
        <v>123</v>
      </c>
      <c r="F20" t="s">
        <v>125</v>
      </c>
      <c r="G20">
        <v>49.795869699999997</v>
      </c>
      <c r="H20">
        <v>18.30577783</v>
      </c>
      <c r="I20" s="1">
        <v>963529.4118</v>
      </c>
      <c r="J20" t="s">
        <v>138</v>
      </c>
      <c r="K20">
        <v>5098762</v>
      </c>
      <c r="L20" t="s">
        <v>148</v>
      </c>
    </row>
    <row r="21" spans="1:12" x14ac:dyDescent="0.35">
      <c r="A21">
        <v>1126</v>
      </c>
      <c r="B21">
        <v>1926</v>
      </c>
      <c r="C21" t="s">
        <v>4</v>
      </c>
      <c r="D21" t="s">
        <v>99</v>
      </c>
      <c r="E21" t="s">
        <v>120</v>
      </c>
      <c r="F21" t="s">
        <v>124</v>
      </c>
      <c r="G21">
        <v>50.561360550000003</v>
      </c>
      <c r="H21">
        <v>13.61185648</v>
      </c>
      <c r="I21" s="1">
        <v>93000</v>
      </c>
      <c r="J21">
        <v>2005</v>
      </c>
      <c r="K21">
        <v>412674</v>
      </c>
    </row>
    <row r="22" spans="1:12" x14ac:dyDescent="0.35">
      <c r="A22">
        <v>1126</v>
      </c>
      <c r="B22">
        <v>1942</v>
      </c>
      <c r="C22" t="s">
        <v>4</v>
      </c>
      <c r="D22" t="s">
        <v>99</v>
      </c>
      <c r="E22" t="s">
        <v>121</v>
      </c>
      <c r="F22" t="s">
        <v>128</v>
      </c>
      <c r="G22">
        <v>50.561360550000003</v>
      </c>
      <c r="H22">
        <v>13.61185648</v>
      </c>
      <c r="I22" s="1">
        <v>448571</v>
      </c>
      <c r="J22">
        <v>2002</v>
      </c>
      <c r="K22">
        <v>412674</v>
      </c>
    </row>
    <row r="23" spans="1:12" x14ac:dyDescent="0.35">
      <c r="A23">
        <v>438</v>
      </c>
      <c r="B23">
        <v>425</v>
      </c>
      <c r="C23" t="s">
        <v>5</v>
      </c>
      <c r="D23" t="s">
        <v>60</v>
      </c>
      <c r="E23" t="s">
        <v>123</v>
      </c>
      <c r="F23" t="s">
        <v>125</v>
      </c>
      <c r="G23">
        <v>64.654079999999993</v>
      </c>
      <c r="H23">
        <v>24.409659999999999</v>
      </c>
      <c r="I23" s="1">
        <v>1250000</v>
      </c>
      <c r="J23" t="s">
        <v>138</v>
      </c>
      <c r="K23">
        <v>3936555</v>
      </c>
      <c r="L23" t="s">
        <v>148</v>
      </c>
    </row>
    <row r="24" spans="1:12" x14ac:dyDescent="0.35">
      <c r="A24">
        <v>438</v>
      </c>
      <c r="B24">
        <v>426</v>
      </c>
      <c r="C24" t="s">
        <v>5</v>
      </c>
      <c r="D24" t="s">
        <v>60</v>
      </c>
      <c r="E24" t="s">
        <v>123</v>
      </c>
      <c r="F24" t="s">
        <v>125</v>
      </c>
      <c r="G24">
        <v>64.654079999999993</v>
      </c>
      <c r="H24">
        <v>24.409659999999999</v>
      </c>
      <c r="I24" s="1">
        <v>1250000</v>
      </c>
      <c r="J24" t="s">
        <v>138</v>
      </c>
      <c r="K24">
        <v>3936555</v>
      </c>
      <c r="L24" t="s">
        <v>148</v>
      </c>
    </row>
    <row r="25" spans="1:12" x14ac:dyDescent="0.35">
      <c r="A25">
        <v>444</v>
      </c>
      <c r="B25">
        <v>1898</v>
      </c>
      <c r="C25" t="s">
        <v>5</v>
      </c>
      <c r="D25" t="s">
        <v>61</v>
      </c>
      <c r="E25" t="s">
        <v>121</v>
      </c>
      <c r="F25" t="s">
        <v>128</v>
      </c>
      <c r="G25">
        <v>60.300490000000003</v>
      </c>
      <c r="H25">
        <v>25.521090000000001</v>
      </c>
      <c r="I25" s="1">
        <v>430947</v>
      </c>
      <c r="J25">
        <v>2016</v>
      </c>
      <c r="K25">
        <v>554162</v>
      </c>
    </row>
    <row r="26" spans="1:12" x14ac:dyDescent="0.35">
      <c r="A26">
        <v>476</v>
      </c>
      <c r="B26">
        <v>1899</v>
      </c>
      <c r="C26" t="s">
        <v>6</v>
      </c>
      <c r="D26" t="s">
        <v>62</v>
      </c>
      <c r="E26" t="s">
        <v>121</v>
      </c>
      <c r="F26" t="s">
        <v>128</v>
      </c>
      <c r="G26">
        <v>45.673831</v>
      </c>
      <c r="H26">
        <v>4.8473160000000002</v>
      </c>
      <c r="I26" s="1">
        <v>221633.60219999999</v>
      </c>
      <c r="J26">
        <v>2016</v>
      </c>
      <c r="K26">
        <v>1128116</v>
      </c>
    </row>
    <row r="27" spans="1:12" x14ac:dyDescent="0.35">
      <c r="A27">
        <v>479</v>
      </c>
      <c r="B27">
        <v>437</v>
      </c>
      <c r="C27" t="s">
        <v>6</v>
      </c>
      <c r="D27" t="s">
        <v>63</v>
      </c>
      <c r="E27" t="s">
        <v>123</v>
      </c>
      <c r="F27" t="s">
        <v>125</v>
      </c>
      <c r="G27">
        <v>48.611451000000002</v>
      </c>
      <c r="H27">
        <v>6.1127510000000003</v>
      </c>
      <c r="I27" s="1">
        <v>237314.598</v>
      </c>
      <c r="J27" t="s">
        <v>138</v>
      </c>
      <c r="K27">
        <v>617511</v>
      </c>
      <c r="L27" t="s">
        <v>148</v>
      </c>
    </row>
    <row r="28" spans="1:12" x14ac:dyDescent="0.35">
      <c r="A28">
        <v>479</v>
      </c>
      <c r="B28">
        <v>438</v>
      </c>
      <c r="C28" t="s">
        <v>6</v>
      </c>
      <c r="D28" t="s">
        <v>63</v>
      </c>
      <c r="E28" t="s">
        <v>123</v>
      </c>
      <c r="F28" t="s">
        <v>125</v>
      </c>
      <c r="G28">
        <v>48.611451000000002</v>
      </c>
      <c r="H28">
        <v>6.1127510000000003</v>
      </c>
      <c r="I28" s="1">
        <v>244730.67920000001</v>
      </c>
      <c r="J28" t="s">
        <v>138</v>
      </c>
      <c r="K28">
        <v>617511</v>
      </c>
      <c r="L28" t="s">
        <v>148</v>
      </c>
    </row>
    <row r="29" spans="1:12" x14ac:dyDescent="0.35">
      <c r="A29">
        <v>479</v>
      </c>
      <c r="B29">
        <v>439</v>
      </c>
      <c r="C29" t="s">
        <v>6</v>
      </c>
      <c r="D29" t="s">
        <v>63</v>
      </c>
      <c r="E29" t="s">
        <v>123</v>
      </c>
      <c r="F29" t="s">
        <v>125</v>
      </c>
      <c r="G29">
        <v>48.611451000000002</v>
      </c>
      <c r="H29">
        <v>6.1127510000000003</v>
      </c>
      <c r="I29" s="1">
        <v>341139.73460000003</v>
      </c>
      <c r="J29" t="s">
        <v>138</v>
      </c>
      <c r="K29">
        <v>617511</v>
      </c>
      <c r="L29" t="s">
        <v>148</v>
      </c>
    </row>
    <row r="30" spans="1:12" x14ac:dyDescent="0.35">
      <c r="A30">
        <v>500</v>
      </c>
      <c r="B30">
        <v>453</v>
      </c>
      <c r="C30" t="s">
        <v>6</v>
      </c>
      <c r="D30" t="s">
        <v>64</v>
      </c>
      <c r="E30" t="s">
        <v>123</v>
      </c>
      <c r="F30" t="s">
        <v>125</v>
      </c>
      <c r="G30">
        <v>43.437717999999997</v>
      </c>
      <c r="H30">
        <v>4.8758160000000004</v>
      </c>
      <c r="I30" s="1">
        <v>1854020.297</v>
      </c>
      <c r="J30" t="s">
        <v>138</v>
      </c>
      <c r="K30">
        <v>7861098</v>
      </c>
      <c r="L30" t="s">
        <v>148</v>
      </c>
    </row>
    <row r="31" spans="1:12" x14ac:dyDescent="0.35">
      <c r="A31">
        <v>500</v>
      </c>
      <c r="B31">
        <v>454</v>
      </c>
      <c r="C31" t="s">
        <v>6</v>
      </c>
      <c r="D31" t="s">
        <v>64</v>
      </c>
      <c r="E31" t="s">
        <v>123</v>
      </c>
      <c r="F31" t="s">
        <v>125</v>
      </c>
      <c r="G31">
        <v>43.437717999999997</v>
      </c>
      <c r="H31">
        <v>4.8758160000000004</v>
      </c>
      <c r="I31" s="1">
        <v>1779859.4850000001</v>
      </c>
      <c r="J31" t="s">
        <v>138</v>
      </c>
      <c r="K31">
        <v>7861098</v>
      </c>
      <c r="L31" t="s">
        <v>148</v>
      </c>
    </row>
    <row r="32" spans="1:12" x14ac:dyDescent="0.35">
      <c r="A32">
        <v>529</v>
      </c>
      <c r="B32">
        <v>1865</v>
      </c>
      <c r="C32" t="s">
        <v>6</v>
      </c>
      <c r="D32" t="s">
        <v>65</v>
      </c>
      <c r="E32" t="s">
        <v>120</v>
      </c>
      <c r="F32" t="s">
        <v>124</v>
      </c>
      <c r="G32">
        <v>49.419663</v>
      </c>
      <c r="H32">
        <v>1.0323960000000001</v>
      </c>
      <c r="I32" s="1">
        <v>228575.3425</v>
      </c>
      <c r="J32">
        <v>2016</v>
      </c>
      <c r="K32">
        <v>749186</v>
      </c>
    </row>
    <row r="33" spans="1:12" x14ac:dyDescent="0.35">
      <c r="A33">
        <v>530</v>
      </c>
      <c r="B33">
        <v>1866</v>
      </c>
      <c r="C33" t="s">
        <v>6</v>
      </c>
      <c r="D33" t="s">
        <v>66</v>
      </c>
      <c r="E33" t="s">
        <v>120</v>
      </c>
      <c r="F33" t="s">
        <v>124</v>
      </c>
      <c r="G33">
        <v>48.59496</v>
      </c>
      <c r="H33">
        <v>2.956823</v>
      </c>
      <c r="I33" s="1">
        <v>248328.7671</v>
      </c>
      <c r="J33">
        <v>2017</v>
      </c>
      <c r="K33">
        <v>560530</v>
      </c>
    </row>
    <row r="34" spans="1:12" x14ac:dyDescent="0.35">
      <c r="A34">
        <v>552</v>
      </c>
      <c r="B34">
        <v>1867</v>
      </c>
      <c r="C34" t="s">
        <v>6</v>
      </c>
      <c r="D34" t="s">
        <v>67</v>
      </c>
      <c r="E34" t="s">
        <v>120</v>
      </c>
      <c r="F34" t="s">
        <v>124</v>
      </c>
      <c r="G34">
        <v>47.789971000000001</v>
      </c>
      <c r="H34">
        <v>7.5192399999999999</v>
      </c>
      <c r="I34" s="1">
        <v>135452.05480000001</v>
      </c>
      <c r="J34">
        <v>2021</v>
      </c>
      <c r="K34">
        <v>417245</v>
      </c>
    </row>
    <row r="35" spans="1:12" x14ac:dyDescent="0.35">
      <c r="A35">
        <v>553</v>
      </c>
      <c r="B35">
        <v>468</v>
      </c>
      <c r="C35" t="s">
        <v>6</v>
      </c>
      <c r="D35" t="s">
        <v>68</v>
      </c>
      <c r="E35" t="s">
        <v>123</v>
      </c>
      <c r="F35" t="s">
        <v>125</v>
      </c>
      <c r="G35">
        <v>51.025284999999997</v>
      </c>
      <c r="H35">
        <v>2.2934009999999998</v>
      </c>
      <c r="I35" s="1">
        <v>1097580.0160000001</v>
      </c>
      <c r="J35" t="s">
        <v>138</v>
      </c>
      <c r="K35">
        <v>7251142</v>
      </c>
      <c r="L35" t="s">
        <v>148</v>
      </c>
    </row>
    <row r="36" spans="1:12" x14ac:dyDescent="0.35">
      <c r="A36">
        <v>553</v>
      </c>
      <c r="B36">
        <v>469</v>
      </c>
      <c r="C36" t="s">
        <v>6</v>
      </c>
      <c r="D36" t="s">
        <v>68</v>
      </c>
      <c r="E36" t="s">
        <v>123</v>
      </c>
      <c r="F36" t="s">
        <v>125</v>
      </c>
      <c r="G36">
        <v>51.025284999999997</v>
      </c>
      <c r="H36">
        <v>2.2934009999999998</v>
      </c>
      <c r="I36" s="1">
        <v>1386807.182</v>
      </c>
      <c r="J36" t="s">
        <v>138</v>
      </c>
      <c r="K36">
        <v>7251142</v>
      </c>
      <c r="L36" t="s">
        <v>148</v>
      </c>
    </row>
    <row r="37" spans="1:12" x14ac:dyDescent="0.35">
      <c r="A37">
        <v>553</v>
      </c>
      <c r="B37">
        <v>471</v>
      </c>
      <c r="C37" t="s">
        <v>6</v>
      </c>
      <c r="D37" t="s">
        <v>68</v>
      </c>
      <c r="E37" t="s">
        <v>123</v>
      </c>
      <c r="F37" t="s">
        <v>125</v>
      </c>
      <c r="G37">
        <v>51.025284999999997</v>
      </c>
      <c r="H37">
        <v>2.2934009999999998</v>
      </c>
      <c r="I37" s="1">
        <v>2558548.0090000001</v>
      </c>
      <c r="J37" t="s">
        <v>138</v>
      </c>
      <c r="K37">
        <v>7251142</v>
      </c>
      <c r="L37" t="s">
        <v>148</v>
      </c>
    </row>
    <row r="38" spans="1:12" x14ac:dyDescent="0.35">
      <c r="A38">
        <v>987</v>
      </c>
      <c r="B38">
        <v>1927</v>
      </c>
      <c r="C38" t="s">
        <v>6</v>
      </c>
      <c r="D38" t="s">
        <v>90</v>
      </c>
      <c r="E38" t="s">
        <v>120</v>
      </c>
      <c r="F38" t="s">
        <v>124</v>
      </c>
      <c r="G38">
        <v>49.479008</v>
      </c>
      <c r="H38">
        <v>0.19647899999999999</v>
      </c>
      <c r="I38" s="1">
        <v>225753.4247</v>
      </c>
      <c r="J38">
        <v>2016</v>
      </c>
      <c r="K38">
        <v>750191</v>
      </c>
    </row>
    <row r="39" spans="1:12" x14ac:dyDescent="0.35">
      <c r="A39">
        <v>988</v>
      </c>
      <c r="B39">
        <v>1901</v>
      </c>
      <c r="C39" t="s">
        <v>6</v>
      </c>
      <c r="D39" t="s">
        <v>91</v>
      </c>
      <c r="E39" t="s">
        <v>121</v>
      </c>
      <c r="F39" t="s">
        <v>128</v>
      </c>
      <c r="G39">
        <v>49.496850000000002</v>
      </c>
      <c r="H39">
        <v>0.52570099999999997</v>
      </c>
      <c r="I39" s="1">
        <v>376777.1237</v>
      </c>
      <c r="J39">
        <v>2007</v>
      </c>
      <c r="K39">
        <v>2300000</v>
      </c>
    </row>
    <row r="40" spans="1:12" x14ac:dyDescent="0.35">
      <c r="A40">
        <v>990</v>
      </c>
      <c r="B40">
        <v>1902</v>
      </c>
      <c r="C40" t="s">
        <v>6</v>
      </c>
      <c r="D40" t="s">
        <v>92</v>
      </c>
      <c r="E40" t="s">
        <v>121</v>
      </c>
      <c r="F40" t="s">
        <v>128</v>
      </c>
      <c r="G40">
        <v>49.480510000000002</v>
      </c>
      <c r="H40">
        <v>0.215278</v>
      </c>
      <c r="I40" s="1">
        <v>465430.56449999998</v>
      </c>
      <c r="J40">
        <v>2010</v>
      </c>
      <c r="K40">
        <v>1043403</v>
      </c>
    </row>
    <row r="41" spans="1:12" x14ac:dyDescent="0.35">
      <c r="A41">
        <v>1039</v>
      </c>
      <c r="B41">
        <v>1903</v>
      </c>
      <c r="C41" t="s">
        <v>6</v>
      </c>
      <c r="D41" t="s">
        <v>93</v>
      </c>
      <c r="E41" t="s">
        <v>121</v>
      </c>
      <c r="F41" t="s">
        <v>128</v>
      </c>
      <c r="G41">
        <v>43.385731999999997</v>
      </c>
      <c r="H41">
        <v>5.0159820000000002</v>
      </c>
      <c r="I41" s="1">
        <v>656035.46239999996</v>
      </c>
      <c r="J41">
        <v>2016</v>
      </c>
      <c r="K41">
        <v>1467637</v>
      </c>
    </row>
    <row r="42" spans="1:12" x14ac:dyDescent="0.35">
      <c r="A42">
        <v>1044</v>
      </c>
      <c r="B42">
        <v>1904</v>
      </c>
      <c r="C42" t="s">
        <v>6</v>
      </c>
      <c r="D42" t="s">
        <v>94</v>
      </c>
      <c r="E42" t="s">
        <v>121</v>
      </c>
      <c r="F42" t="s">
        <v>128</v>
      </c>
      <c r="G42">
        <v>43.506746</v>
      </c>
      <c r="H42">
        <v>5.1836390000000003</v>
      </c>
      <c r="I42" s="1">
        <v>416671.17200000002</v>
      </c>
      <c r="J42">
        <v>2001</v>
      </c>
      <c r="K42">
        <v>954000</v>
      </c>
    </row>
    <row r="43" spans="1:12" x14ac:dyDescent="0.35">
      <c r="A43">
        <v>3378</v>
      </c>
      <c r="B43">
        <v>1914</v>
      </c>
      <c r="C43" t="s">
        <v>6</v>
      </c>
      <c r="D43" t="s">
        <v>117</v>
      </c>
      <c r="E43" t="s">
        <v>121</v>
      </c>
      <c r="F43" t="s">
        <v>128</v>
      </c>
      <c r="G43">
        <v>51.025664999999996</v>
      </c>
      <c r="H43">
        <v>2.24376</v>
      </c>
      <c r="I43" s="1">
        <v>336883.07530000003</v>
      </c>
      <c r="J43">
        <v>1998</v>
      </c>
      <c r="K43">
        <v>643720</v>
      </c>
    </row>
    <row r="44" spans="1:12" x14ac:dyDescent="0.35">
      <c r="A44">
        <v>116</v>
      </c>
      <c r="B44">
        <v>149</v>
      </c>
      <c r="C44" t="s">
        <v>7</v>
      </c>
      <c r="D44" t="s">
        <v>34</v>
      </c>
      <c r="E44" t="s">
        <v>123</v>
      </c>
      <c r="F44" t="s">
        <v>125</v>
      </c>
      <c r="G44">
        <v>49.352136989999998</v>
      </c>
      <c r="H44">
        <v>6.7436526030000001</v>
      </c>
      <c r="I44" s="1">
        <v>1740495.6129999999</v>
      </c>
      <c r="J44" t="s">
        <v>138</v>
      </c>
      <c r="K44">
        <v>5678657</v>
      </c>
      <c r="L44" t="s">
        <v>148</v>
      </c>
    </row>
    <row r="45" spans="1:12" x14ac:dyDescent="0.35">
      <c r="A45">
        <v>116</v>
      </c>
      <c r="B45">
        <v>150</v>
      </c>
      <c r="C45" t="s">
        <v>7</v>
      </c>
      <c r="D45" t="s">
        <v>34</v>
      </c>
      <c r="E45" t="s">
        <v>123</v>
      </c>
      <c r="F45" t="s">
        <v>125</v>
      </c>
      <c r="G45">
        <v>49.352136989999998</v>
      </c>
      <c r="H45">
        <v>6.7436526030000001</v>
      </c>
      <c r="I45" s="1">
        <v>2056949.361</v>
      </c>
      <c r="J45" t="s">
        <v>138</v>
      </c>
      <c r="K45">
        <v>5678657</v>
      </c>
      <c r="L45" t="s">
        <v>148</v>
      </c>
    </row>
    <row r="46" spans="1:12" x14ac:dyDescent="0.35">
      <c r="A46">
        <v>119</v>
      </c>
      <c r="B46">
        <v>1886</v>
      </c>
      <c r="C46" t="s">
        <v>7</v>
      </c>
      <c r="D46" t="s">
        <v>35</v>
      </c>
      <c r="E46" t="s">
        <v>121</v>
      </c>
      <c r="F46" t="s">
        <v>128</v>
      </c>
      <c r="G46">
        <v>54.160831209999998</v>
      </c>
      <c r="H46">
        <v>9.0797744320000007</v>
      </c>
      <c r="I46" s="1">
        <v>86958.527000000002</v>
      </c>
      <c r="J46">
        <v>1998</v>
      </c>
      <c r="K46">
        <v>973263</v>
      </c>
    </row>
    <row r="47" spans="1:12" x14ac:dyDescent="0.35">
      <c r="A47">
        <v>120</v>
      </c>
      <c r="B47">
        <v>1859</v>
      </c>
      <c r="C47" t="s">
        <v>7</v>
      </c>
      <c r="D47" t="s">
        <v>36</v>
      </c>
      <c r="E47" t="s">
        <v>120</v>
      </c>
      <c r="F47" t="s">
        <v>124</v>
      </c>
      <c r="G47">
        <v>53.910644339999997</v>
      </c>
      <c r="H47">
        <v>9.2078709439999997</v>
      </c>
      <c r="I47" s="1">
        <v>559759.7598</v>
      </c>
      <c r="J47">
        <v>2014</v>
      </c>
      <c r="K47">
        <v>1204616</v>
      </c>
    </row>
    <row r="48" spans="1:12" x14ac:dyDescent="0.35">
      <c r="A48">
        <v>124</v>
      </c>
      <c r="B48">
        <v>151</v>
      </c>
      <c r="C48" t="s">
        <v>7</v>
      </c>
      <c r="D48" t="s">
        <v>37</v>
      </c>
      <c r="E48" t="s">
        <v>123</v>
      </c>
      <c r="F48" t="s">
        <v>126</v>
      </c>
      <c r="G48">
        <v>53.524784969999999</v>
      </c>
      <c r="H48">
        <v>9.9000510780000006</v>
      </c>
      <c r="I48" s="1">
        <v>474680.62180000002</v>
      </c>
      <c r="J48" t="s">
        <v>138</v>
      </c>
      <c r="K48">
        <v>403699</v>
      </c>
      <c r="L48" t="s">
        <v>148</v>
      </c>
    </row>
    <row r="49" spans="1:12" x14ac:dyDescent="0.35">
      <c r="A49">
        <v>125</v>
      </c>
      <c r="B49">
        <v>160</v>
      </c>
      <c r="C49" t="s">
        <v>7</v>
      </c>
      <c r="D49" t="s">
        <v>38</v>
      </c>
      <c r="E49" t="s">
        <v>123</v>
      </c>
      <c r="F49" t="s">
        <v>125</v>
      </c>
      <c r="G49">
        <v>52.154764919999998</v>
      </c>
      <c r="H49">
        <v>10.40307531</v>
      </c>
      <c r="I49" s="1">
        <v>632907.49580000003</v>
      </c>
      <c r="J49" t="s">
        <v>138</v>
      </c>
      <c r="K49">
        <v>7453782</v>
      </c>
      <c r="L49" t="s">
        <v>148</v>
      </c>
    </row>
    <row r="50" spans="1:12" x14ac:dyDescent="0.35">
      <c r="A50">
        <v>125</v>
      </c>
      <c r="B50">
        <v>161</v>
      </c>
      <c r="C50" t="s">
        <v>7</v>
      </c>
      <c r="D50" t="s">
        <v>38</v>
      </c>
      <c r="E50" t="s">
        <v>123</v>
      </c>
      <c r="F50" t="s">
        <v>125</v>
      </c>
      <c r="G50">
        <v>52.154764919999998</v>
      </c>
      <c r="H50">
        <v>10.40307531</v>
      </c>
      <c r="I50" s="1">
        <v>1582268.7390000001</v>
      </c>
      <c r="J50" t="s">
        <v>138</v>
      </c>
      <c r="K50">
        <v>7453782</v>
      </c>
      <c r="L50" t="s">
        <v>148</v>
      </c>
    </row>
    <row r="51" spans="1:12" x14ac:dyDescent="0.35">
      <c r="A51">
        <v>125</v>
      </c>
      <c r="B51">
        <v>163</v>
      </c>
      <c r="C51" t="s">
        <v>7</v>
      </c>
      <c r="D51" t="s">
        <v>38</v>
      </c>
      <c r="E51" t="s">
        <v>123</v>
      </c>
      <c r="F51" t="s">
        <v>125</v>
      </c>
      <c r="G51">
        <v>52.154764919999998</v>
      </c>
      <c r="H51">
        <v>10.40307531</v>
      </c>
      <c r="I51" s="1">
        <v>1582268.7390000001</v>
      </c>
      <c r="J51" t="s">
        <v>138</v>
      </c>
      <c r="K51">
        <v>7453782</v>
      </c>
      <c r="L51" t="s">
        <v>148</v>
      </c>
    </row>
    <row r="52" spans="1:12" x14ac:dyDescent="0.35">
      <c r="A52">
        <v>139</v>
      </c>
      <c r="B52">
        <v>198</v>
      </c>
      <c r="C52" t="s">
        <v>7</v>
      </c>
      <c r="D52" t="s">
        <v>39</v>
      </c>
      <c r="E52" t="s">
        <v>123</v>
      </c>
      <c r="F52" t="s">
        <v>125</v>
      </c>
      <c r="G52">
        <v>53.12493044</v>
      </c>
      <c r="H52">
        <v>8.6867285299999999</v>
      </c>
      <c r="I52" s="1">
        <v>2001569.9550000001</v>
      </c>
      <c r="J52" t="s">
        <v>138</v>
      </c>
      <c r="K52">
        <v>5370722</v>
      </c>
      <c r="L52" t="s">
        <v>148</v>
      </c>
    </row>
    <row r="53" spans="1:12" x14ac:dyDescent="0.35">
      <c r="A53">
        <v>139</v>
      </c>
      <c r="B53">
        <v>199</v>
      </c>
      <c r="C53" t="s">
        <v>7</v>
      </c>
      <c r="D53" t="s">
        <v>39</v>
      </c>
      <c r="E53" t="s">
        <v>123</v>
      </c>
      <c r="F53" t="s">
        <v>125</v>
      </c>
      <c r="G53">
        <v>53.12493044</v>
      </c>
      <c r="H53">
        <v>8.6867285299999999</v>
      </c>
      <c r="I53" s="1">
        <v>1131322.149</v>
      </c>
      <c r="J53" t="s">
        <v>138</v>
      </c>
      <c r="K53">
        <v>5370722</v>
      </c>
      <c r="L53" t="s">
        <v>148</v>
      </c>
    </row>
    <row r="54" spans="1:12" x14ac:dyDescent="0.35">
      <c r="A54">
        <v>143</v>
      </c>
      <c r="B54">
        <v>210</v>
      </c>
      <c r="C54" t="s">
        <v>7</v>
      </c>
      <c r="D54" t="s">
        <v>40</v>
      </c>
      <c r="E54" t="s">
        <v>123</v>
      </c>
      <c r="F54" t="s">
        <v>125</v>
      </c>
      <c r="G54">
        <v>51.368231170000001</v>
      </c>
      <c r="H54">
        <v>6.7122673319999997</v>
      </c>
      <c r="I54" s="1">
        <v>1977835.9240000001</v>
      </c>
      <c r="J54" t="s">
        <v>138</v>
      </c>
      <c r="K54">
        <v>8360604</v>
      </c>
      <c r="L54" t="s">
        <v>148</v>
      </c>
    </row>
    <row r="55" spans="1:12" x14ac:dyDescent="0.35">
      <c r="A55">
        <v>143</v>
      </c>
      <c r="B55">
        <v>211</v>
      </c>
      <c r="C55" t="s">
        <v>7</v>
      </c>
      <c r="D55" t="s">
        <v>40</v>
      </c>
      <c r="E55" t="s">
        <v>123</v>
      </c>
      <c r="F55" t="s">
        <v>125</v>
      </c>
      <c r="G55">
        <v>51.368231170000001</v>
      </c>
      <c r="H55">
        <v>6.7122673319999997</v>
      </c>
      <c r="I55" s="1">
        <v>2136062.798</v>
      </c>
      <c r="J55" t="s">
        <v>138</v>
      </c>
      <c r="K55">
        <v>8360604</v>
      </c>
      <c r="L55" t="s">
        <v>148</v>
      </c>
    </row>
    <row r="56" spans="1:12" x14ac:dyDescent="0.35">
      <c r="A56">
        <v>148</v>
      </c>
      <c r="B56">
        <v>219</v>
      </c>
      <c r="C56" t="s">
        <v>7</v>
      </c>
      <c r="D56" t="s">
        <v>41</v>
      </c>
      <c r="E56" t="s">
        <v>123</v>
      </c>
      <c r="F56" t="s">
        <v>125</v>
      </c>
      <c r="G56">
        <v>51.503690300000002</v>
      </c>
      <c r="H56">
        <v>6.7359074840000002</v>
      </c>
      <c r="I56" s="1">
        <v>1582268.7390000001</v>
      </c>
      <c r="J56" t="s">
        <v>138</v>
      </c>
      <c r="K56">
        <v>13658426</v>
      </c>
      <c r="L56" t="s">
        <v>148</v>
      </c>
    </row>
    <row r="57" spans="1:12" x14ac:dyDescent="0.35">
      <c r="A57">
        <v>148</v>
      </c>
      <c r="B57">
        <v>231</v>
      </c>
      <c r="C57" t="s">
        <v>7</v>
      </c>
      <c r="D57" t="s">
        <v>41</v>
      </c>
      <c r="E57" t="s">
        <v>123</v>
      </c>
      <c r="F57" t="s">
        <v>125</v>
      </c>
      <c r="G57">
        <v>51.503690300000002</v>
      </c>
      <c r="H57">
        <v>6.7359074840000002</v>
      </c>
      <c r="I57" s="1">
        <v>2768970.2940000002</v>
      </c>
      <c r="J57" t="s">
        <v>138</v>
      </c>
      <c r="K57">
        <v>13658426</v>
      </c>
      <c r="L57" t="s">
        <v>148</v>
      </c>
    </row>
    <row r="58" spans="1:12" x14ac:dyDescent="0.35">
      <c r="A58">
        <v>148</v>
      </c>
      <c r="B58">
        <v>232</v>
      </c>
      <c r="C58" t="s">
        <v>7</v>
      </c>
      <c r="D58" t="s">
        <v>41</v>
      </c>
      <c r="E58" t="s">
        <v>123</v>
      </c>
      <c r="F58" t="s">
        <v>125</v>
      </c>
      <c r="G58">
        <v>51.503690300000002</v>
      </c>
      <c r="H58">
        <v>6.7359074840000002</v>
      </c>
      <c r="I58" s="1">
        <v>1344928.429</v>
      </c>
      <c r="J58" t="s">
        <v>138</v>
      </c>
      <c r="K58">
        <v>13658426</v>
      </c>
      <c r="L58" t="s">
        <v>148</v>
      </c>
    </row>
    <row r="59" spans="1:12" x14ac:dyDescent="0.35">
      <c r="A59">
        <v>148</v>
      </c>
      <c r="B59">
        <v>242</v>
      </c>
      <c r="C59" t="s">
        <v>7</v>
      </c>
      <c r="D59" t="s">
        <v>41</v>
      </c>
      <c r="E59" t="s">
        <v>123</v>
      </c>
      <c r="F59" t="s">
        <v>125</v>
      </c>
      <c r="G59">
        <v>51.503690300000002</v>
      </c>
      <c r="H59">
        <v>6.7359074840000002</v>
      </c>
      <c r="I59" s="1">
        <v>3480991.227</v>
      </c>
      <c r="J59" t="s">
        <v>138</v>
      </c>
      <c r="K59">
        <v>13658426</v>
      </c>
      <c r="L59" t="s">
        <v>148</v>
      </c>
    </row>
    <row r="60" spans="1:12" x14ac:dyDescent="0.35">
      <c r="A60">
        <v>153</v>
      </c>
      <c r="B60">
        <v>249</v>
      </c>
      <c r="C60" t="s">
        <v>7</v>
      </c>
      <c r="D60" t="s">
        <v>42</v>
      </c>
      <c r="E60" t="s">
        <v>123</v>
      </c>
      <c r="F60" t="s">
        <v>125</v>
      </c>
      <c r="G60">
        <v>51.422282979999999</v>
      </c>
      <c r="H60">
        <v>6.7419912780000004</v>
      </c>
      <c r="I60" s="1">
        <v>237340.31090000001</v>
      </c>
      <c r="J60" t="s">
        <v>138</v>
      </c>
      <c r="K60">
        <v>291732</v>
      </c>
      <c r="L60" t="s">
        <v>148</v>
      </c>
    </row>
    <row r="61" spans="1:12" x14ac:dyDescent="0.35">
      <c r="A61">
        <v>166</v>
      </c>
      <c r="B61">
        <v>1887</v>
      </c>
      <c r="C61" t="s">
        <v>7</v>
      </c>
      <c r="D61" t="s">
        <v>43</v>
      </c>
      <c r="E61" t="s">
        <v>121</v>
      </c>
      <c r="F61" t="s">
        <v>128</v>
      </c>
      <c r="G61">
        <v>50.814110419999999</v>
      </c>
      <c r="H61">
        <v>7.0057562789999999</v>
      </c>
      <c r="I61" s="1">
        <v>245064.93969999999</v>
      </c>
      <c r="J61">
        <v>2005</v>
      </c>
      <c r="K61">
        <v>1818675</v>
      </c>
    </row>
    <row r="62" spans="1:12" x14ac:dyDescent="0.35">
      <c r="A62">
        <v>166</v>
      </c>
      <c r="B62">
        <v>1949</v>
      </c>
      <c r="C62" t="s">
        <v>7</v>
      </c>
      <c r="D62" t="s">
        <v>43</v>
      </c>
      <c r="E62" t="s">
        <v>121</v>
      </c>
      <c r="F62" t="s">
        <v>128</v>
      </c>
      <c r="G62">
        <v>50.814110419999999</v>
      </c>
      <c r="H62">
        <v>7.0057562789999999</v>
      </c>
      <c r="I62" s="1">
        <v>189727.69529999999</v>
      </c>
      <c r="J62">
        <v>2002</v>
      </c>
      <c r="K62">
        <v>1818675</v>
      </c>
    </row>
    <row r="63" spans="1:12" x14ac:dyDescent="0.35">
      <c r="A63">
        <v>166</v>
      </c>
      <c r="B63">
        <v>1955</v>
      </c>
      <c r="C63" t="s">
        <v>7</v>
      </c>
      <c r="D63" t="s">
        <v>43</v>
      </c>
      <c r="E63" t="s">
        <v>122</v>
      </c>
      <c r="F63" t="s">
        <v>127</v>
      </c>
      <c r="G63">
        <v>50.814110419999999</v>
      </c>
      <c r="H63">
        <v>7.0057562789999999</v>
      </c>
      <c r="I63" s="1">
        <v>303944.78259999998</v>
      </c>
      <c r="J63">
        <v>2020</v>
      </c>
      <c r="K63">
        <v>1818675</v>
      </c>
    </row>
    <row r="64" spans="1:12" x14ac:dyDescent="0.35">
      <c r="A64">
        <v>210</v>
      </c>
      <c r="B64">
        <v>1888</v>
      </c>
      <c r="C64" t="s">
        <v>7</v>
      </c>
      <c r="D64" t="s">
        <v>44</v>
      </c>
      <c r="E64" t="s">
        <v>121</v>
      </c>
      <c r="F64" t="s">
        <v>128</v>
      </c>
      <c r="G64">
        <v>48.194976570000001</v>
      </c>
      <c r="H64">
        <v>12.83249114</v>
      </c>
      <c r="I64" s="1">
        <v>395266.0318</v>
      </c>
      <c r="J64">
        <v>2022</v>
      </c>
      <c r="K64">
        <v>1107526</v>
      </c>
    </row>
    <row r="65" spans="1:12" x14ac:dyDescent="0.35">
      <c r="A65">
        <v>213</v>
      </c>
      <c r="B65">
        <v>1889</v>
      </c>
      <c r="C65" t="s">
        <v>7</v>
      </c>
      <c r="D65" t="s">
        <v>45</v>
      </c>
      <c r="E65" t="s">
        <v>121</v>
      </c>
      <c r="F65" t="s">
        <v>128</v>
      </c>
      <c r="G65">
        <v>48.758551730000001</v>
      </c>
      <c r="H65">
        <v>11.708626430000001</v>
      </c>
      <c r="I65" s="1">
        <v>316212.82539999997</v>
      </c>
      <c r="J65">
        <v>1997</v>
      </c>
      <c r="K65">
        <v>355335</v>
      </c>
    </row>
    <row r="66" spans="1:12" x14ac:dyDescent="0.35">
      <c r="A66">
        <v>236</v>
      </c>
      <c r="B66">
        <v>302</v>
      </c>
      <c r="C66" t="s">
        <v>7</v>
      </c>
      <c r="D66" t="s">
        <v>46</v>
      </c>
      <c r="E66" t="s">
        <v>123</v>
      </c>
      <c r="F66" t="s">
        <v>125</v>
      </c>
      <c r="G66">
        <v>52.166140519999999</v>
      </c>
      <c r="H66">
        <v>14.617682240000001</v>
      </c>
      <c r="I66" s="1">
        <v>1443820.2250000001</v>
      </c>
      <c r="J66" t="s">
        <v>138</v>
      </c>
      <c r="K66">
        <v>3953160</v>
      </c>
      <c r="L66" t="s">
        <v>148</v>
      </c>
    </row>
    <row r="67" spans="1:12" x14ac:dyDescent="0.35">
      <c r="A67">
        <v>239</v>
      </c>
      <c r="B67">
        <v>1890</v>
      </c>
      <c r="C67" t="s">
        <v>7</v>
      </c>
      <c r="D67" t="s">
        <v>47</v>
      </c>
      <c r="E67" t="s">
        <v>121</v>
      </c>
      <c r="F67" t="s">
        <v>128</v>
      </c>
      <c r="G67">
        <v>51.191413470000001</v>
      </c>
      <c r="H67">
        <v>12.356130759999999</v>
      </c>
      <c r="I67" s="1">
        <v>446650.61589999998</v>
      </c>
      <c r="J67">
        <v>2000</v>
      </c>
      <c r="K67">
        <v>1164860</v>
      </c>
    </row>
    <row r="68" spans="1:12" x14ac:dyDescent="0.35">
      <c r="A68">
        <v>248</v>
      </c>
      <c r="B68">
        <v>1860</v>
      </c>
      <c r="C68" t="s">
        <v>7</v>
      </c>
      <c r="D68" t="s">
        <v>48</v>
      </c>
      <c r="E68" t="s">
        <v>120</v>
      </c>
      <c r="F68" t="s">
        <v>124</v>
      </c>
      <c r="G68">
        <v>51.878593369999997</v>
      </c>
      <c r="H68">
        <v>12.575128550000001</v>
      </c>
      <c r="I68" s="1">
        <v>419819.8198</v>
      </c>
      <c r="J68">
        <v>2017</v>
      </c>
      <c r="K68">
        <v>2324701</v>
      </c>
    </row>
    <row r="69" spans="1:12" x14ac:dyDescent="0.35">
      <c r="A69">
        <v>248</v>
      </c>
      <c r="B69">
        <v>1917</v>
      </c>
      <c r="C69" t="s">
        <v>7</v>
      </c>
      <c r="D69" t="s">
        <v>48</v>
      </c>
      <c r="E69" t="s">
        <v>120</v>
      </c>
      <c r="F69" t="s">
        <v>124</v>
      </c>
      <c r="G69">
        <v>51.878593369999997</v>
      </c>
      <c r="H69">
        <v>12.575128550000001</v>
      </c>
      <c r="I69" s="1">
        <v>419819.8198</v>
      </c>
      <c r="J69">
        <v>2000</v>
      </c>
      <c r="K69">
        <v>2324701</v>
      </c>
    </row>
    <row r="70" spans="1:12" x14ac:dyDescent="0.35">
      <c r="A70">
        <v>268</v>
      </c>
      <c r="B70">
        <v>1891</v>
      </c>
      <c r="C70" t="s">
        <v>7</v>
      </c>
      <c r="D70" t="s">
        <v>49</v>
      </c>
      <c r="E70" t="s">
        <v>121</v>
      </c>
      <c r="F70" t="s">
        <v>128</v>
      </c>
      <c r="G70">
        <v>50.833210000000001</v>
      </c>
      <c r="H70">
        <v>6.9669809999999996</v>
      </c>
      <c r="I70" s="1">
        <v>581041.06669999997</v>
      </c>
      <c r="J70">
        <v>2015</v>
      </c>
      <c r="K70">
        <v>1351937</v>
      </c>
    </row>
    <row r="71" spans="1:12" x14ac:dyDescent="0.35">
      <c r="A71">
        <v>268</v>
      </c>
      <c r="B71">
        <v>1936</v>
      </c>
      <c r="C71" t="s">
        <v>7</v>
      </c>
      <c r="D71" t="s">
        <v>49</v>
      </c>
      <c r="E71" t="s">
        <v>121</v>
      </c>
      <c r="F71" t="s">
        <v>128</v>
      </c>
      <c r="G71">
        <v>50.833210000000001</v>
      </c>
      <c r="H71">
        <v>6.9669809999999996</v>
      </c>
      <c r="I71" s="1">
        <v>241112.2794</v>
      </c>
      <c r="J71">
        <v>2000</v>
      </c>
      <c r="K71">
        <v>1351937</v>
      </c>
    </row>
    <row r="72" spans="1:12" x14ac:dyDescent="0.35">
      <c r="A72">
        <v>269</v>
      </c>
      <c r="B72">
        <v>1861</v>
      </c>
      <c r="C72" t="s">
        <v>7</v>
      </c>
      <c r="D72" t="s">
        <v>50</v>
      </c>
      <c r="E72" t="s">
        <v>120</v>
      </c>
      <c r="F72" t="s">
        <v>124</v>
      </c>
      <c r="G72">
        <v>51.067636020000002</v>
      </c>
      <c r="H72">
        <v>6.8467425029999998</v>
      </c>
      <c r="I72" s="1">
        <v>265885.88589999999</v>
      </c>
      <c r="J72">
        <v>2017</v>
      </c>
      <c r="K72">
        <v>2379969</v>
      </c>
    </row>
    <row r="73" spans="1:12" x14ac:dyDescent="0.35">
      <c r="A73">
        <v>269</v>
      </c>
      <c r="B73">
        <v>1892</v>
      </c>
      <c r="C73" t="s">
        <v>7</v>
      </c>
      <c r="D73" t="s">
        <v>50</v>
      </c>
      <c r="E73" t="s">
        <v>121</v>
      </c>
      <c r="F73" t="s">
        <v>128</v>
      </c>
      <c r="G73">
        <v>51.067636020000002</v>
      </c>
      <c r="H73">
        <v>6.8467425029999998</v>
      </c>
      <c r="I73" s="1">
        <v>395266.0318</v>
      </c>
      <c r="J73">
        <v>2020</v>
      </c>
      <c r="K73">
        <v>2379969</v>
      </c>
    </row>
    <row r="74" spans="1:12" x14ac:dyDescent="0.35">
      <c r="A74">
        <v>269</v>
      </c>
      <c r="B74">
        <v>1947</v>
      </c>
      <c r="C74" t="s">
        <v>7</v>
      </c>
      <c r="D74" t="s">
        <v>50</v>
      </c>
      <c r="E74" t="s">
        <v>121</v>
      </c>
      <c r="F74" t="s">
        <v>128</v>
      </c>
      <c r="G74">
        <v>51.067636020000002</v>
      </c>
      <c r="H74">
        <v>6.8467425029999998</v>
      </c>
      <c r="I74" s="1">
        <v>656141.6128</v>
      </c>
      <c r="J74">
        <v>2003</v>
      </c>
      <c r="K74">
        <v>2379969</v>
      </c>
    </row>
    <row r="75" spans="1:12" x14ac:dyDescent="0.35">
      <c r="A75">
        <v>270</v>
      </c>
      <c r="B75">
        <v>1893</v>
      </c>
      <c r="C75" t="s">
        <v>7</v>
      </c>
      <c r="D75" t="s">
        <v>51</v>
      </c>
      <c r="E75" t="s">
        <v>121</v>
      </c>
      <c r="F75" t="s">
        <v>128</v>
      </c>
      <c r="G75">
        <v>51.596032749999999</v>
      </c>
      <c r="H75">
        <v>7.0289085059999996</v>
      </c>
      <c r="I75" s="1">
        <v>458508.5969</v>
      </c>
      <c r="J75">
        <v>1998</v>
      </c>
      <c r="K75">
        <v>4403818</v>
      </c>
    </row>
    <row r="76" spans="1:12" x14ac:dyDescent="0.35">
      <c r="A76">
        <v>270</v>
      </c>
      <c r="B76">
        <v>1948</v>
      </c>
      <c r="C76" t="s">
        <v>7</v>
      </c>
      <c r="D76" t="s">
        <v>51</v>
      </c>
      <c r="E76" t="s">
        <v>121</v>
      </c>
      <c r="F76" t="s">
        <v>128</v>
      </c>
      <c r="G76">
        <v>51.596032749999999</v>
      </c>
      <c r="H76">
        <v>7.0289085059999996</v>
      </c>
      <c r="I76" s="1">
        <v>379455.39049999998</v>
      </c>
      <c r="J76">
        <v>2009</v>
      </c>
      <c r="K76">
        <v>4403818</v>
      </c>
    </row>
    <row r="77" spans="1:12" x14ac:dyDescent="0.35">
      <c r="A77">
        <v>278</v>
      </c>
      <c r="B77">
        <v>1862</v>
      </c>
      <c r="C77" t="s">
        <v>7</v>
      </c>
      <c r="D77" t="s">
        <v>52</v>
      </c>
      <c r="E77" t="s">
        <v>120</v>
      </c>
      <c r="F77" t="s">
        <v>124</v>
      </c>
      <c r="G77">
        <v>49.529099840000001</v>
      </c>
      <c r="H77">
        <v>8.4247174919999992</v>
      </c>
      <c r="I77" s="1">
        <v>314864.86489999999</v>
      </c>
      <c r="J77">
        <v>2018</v>
      </c>
      <c r="K77">
        <v>4068483</v>
      </c>
    </row>
    <row r="78" spans="1:12" x14ac:dyDescent="0.35">
      <c r="A78">
        <v>278</v>
      </c>
      <c r="B78">
        <v>1894</v>
      </c>
      <c r="C78" t="s">
        <v>7</v>
      </c>
      <c r="D78" t="s">
        <v>52</v>
      </c>
      <c r="E78" t="s">
        <v>121</v>
      </c>
      <c r="F78" t="s">
        <v>128</v>
      </c>
      <c r="G78">
        <v>49.529099840000001</v>
      </c>
      <c r="H78">
        <v>8.4247174919999992</v>
      </c>
      <c r="I78" s="1">
        <v>316212.82539999997</v>
      </c>
      <c r="J78">
        <v>2005</v>
      </c>
      <c r="K78">
        <v>4068483</v>
      </c>
    </row>
    <row r="79" spans="1:12" x14ac:dyDescent="0.35">
      <c r="A79">
        <v>278</v>
      </c>
      <c r="B79">
        <v>1918</v>
      </c>
      <c r="C79" t="s">
        <v>7</v>
      </c>
      <c r="D79" t="s">
        <v>52</v>
      </c>
      <c r="E79" t="s">
        <v>120</v>
      </c>
      <c r="F79" t="s">
        <v>124</v>
      </c>
      <c r="G79">
        <v>49.529099840000001</v>
      </c>
      <c r="H79">
        <v>8.4247174919999992</v>
      </c>
      <c r="I79" s="1">
        <v>349849.84980000003</v>
      </c>
      <c r="J79">
        <v>2007</v>
      </c>
      <c r="K79">
        <v>4068483</v>
      </c>
    </row>
    <row r="80" spans="1:12" x14ac:dyDescent="0.35">
      <c r="A80">
        <v>278</v>
      </c>
      <c r="B80">
        <v>1937</v>
      </c>
      <c r="C80" t="s">
        <v>7</v>
      </c>
      <c r="D80" t="s">
        <v>52</v>
      </c>
      <c r="E80" t="s">
        <v>121</v>
      </c>
      <c r="F80" t="s">
        <v>128</v>
      </c>
      <c r="G80">
        <v>49.529099840000001</v>
      </c>
      <c r="H80">
        <v>8.4247174919999992</v>
      </c>
      <c r="I80" s="1">
        <v>173917.054</v>
      </c>
      <c r="J80">
        <v>2015</v>
      </c>
      <c r="K80">
        <v>4068483</v>
      </c>
    </row>
    <row r="81" spans="1:12" x14ac:dyDescent="0.35">
      <c r="A81">
        <v>278</v>
      </c>
      <c r="B81">
        <v>1952</v>
      </c>
      <c r="C81" t="s">
        <v>7</v>
      </c>
      <c r="D81" t="s">
        <v>52</v>
      </c>
      <c r="E81" t="s">
        <v>122</v>
      </c>
      <c r="F81" t="s">
        <v>127</v>
      </c>
      <c r="G81">
        <v>49.529099840000001</v>
      </c>
      <c r="H81">
        <v>8.4247174919999992</v>
      </c>
      <c r="I81" s="1">
        <v>364733.73910000001</v>
      </c>
      <c r="J81">
        <v>2020</v>
      </c>
      <c r="K81">
        <v>4068483</v>
      </c>
    </row>
    <row r="82" spans="1:12" x14ac:dyDescent="0.35">
      <c r="A82">
        <v>1408</v>
      </c>
      <c r="B82">
        <v>1953</v>
      </c>
      <c r="C82" t="s">
        <v>7</v>
      </c>
      <c r="D82" t="s">
        <v>109</v>
      </c>
      <c r="E82" t="s">
        <v>122</v>
      </c>
      <c r="F82" t="s">
        <v>127</v>
      </c>
      <c r="G82">
        <v>51.53960695</v>
      </c>
      <c r="H82">
        <v>7.0372028440000003</v>
      </c>
      <c r="I82" s="1">
        <v>227958.587</v>
      </c>
      <c r="J82">
        <v>2005</v>
      </c>
      <c r="K82">
        <v>1162480</v>
      </c>
    </row>
    <row r="83" spans="1:12" x14ac:dyDescent="0.35">
      <c r="A83">
        <v>1445</v>
      </c>
      <c r="B83">
        <v>1954</v>
      </c>
      <c r="C83" t="s">
        <v>7</v>
      </c>
      <c r="D83" t="s">
        <v>110</v>
      </c>
      <c r="E83" t="s">
        <v>122</v>
      </c>
      <c r="F83" t="s">
        <v>127</v>
      </c>
      <c r="G83">
        <v>51.289677300000001</v>
      </c>
      <c r="H83">
        <v>11.99058215</v>
      </c>
      <c r="I83" s="1">
        <v>501508.89130000002</v>
      </c>
      <c r="J83">
        <v>2022</v>
      </c>
      <c r="K83">
        <v>2946790</v>
      </c>
    </row>
    <row r="84" spans="1:12" x14ac:dyDescent="0.35">
      <c r="A84">
        <v>300</v>
      </c>
      <c r="B84">
        <v>1863</v>
      </c>
      <c r="C84" t="s">
        <v>8</v>
      </c>
      <c r="D84" t="s">
        <v>53</v>
      </c>
      <c r="E84" t="s">
        <v>120</v>
      </c>
      <c r="F84" t="s">
        <v>124</v>
      </c>
      <c r="G84">
        <v>40.954999999999998</v>
      </c>
      <c r="H84">
        <v>24.479444000000001</v>
      </c>
      <c r="I84" s="1">
        <v>100000</v>
      </c>
      <c r="J84">
        <v>2011</v>
      </c>
      <c r="K84">
        <v>282183</v>
      </c>
    </row>
    <row r="85" spans="1:12" x14ac:dyDescent="0.35">
      <c r="A85">
        <v>565</v>
      </c>
      <c r="B85">
        <v>478</v>
      </c>
      <c r="C85" t="s">
        <v>9</v>
      </c>
      <c r="D85" t="s">
        <v>70</v>
      </c>
      <c r="E85" t="s">
        <v>123</v>
      </c>
      <c r="F85" t="s">
        <v>125</v>
      </c>
      <c r="G85">
        <v>46.940316000000003</v>
      </c>
      <c r="H85">
        <v>18.937736999999998</v>
      </c>
      <c r="I85" s="1">
        <v>288549.61829999997</v>
      </c>
      <c r="J85" t="s">
        <v>138</v>
      </c>
      <c r="K85">
        <v>2450379</v>
      </c>
      <c r="L85" t="s">
        <v>148</v>
      </c>
    </row>
    <row r="86" spans="1:12" x14ac:dyDescent="0.35">
      <c r="A86">
        <v>959</v>
      </c>
      <c r="B86">
        <v>1877</v>
      </c>
      <c r="C86" t="s">
        <v>9</v>
      </c>
      <c r="D86" t="s">
        <v>89</v>
      </c>
      <c r="E86" t="s">
        <v>120</v>
      </c>
      <c r="F86" t="s">
        <v>124</v>
      </c>
      <c r="G86">
        <v>47.158498999999999</v>
      </c>
      <c r="H86">
        <v>18.139486999999999</v>
      </c>
      <c r="I86" s="1">
        <v>430000</v>
      </c>
      <c r="J86">
        <v>2000</v>
      </c>
      <c r="K86">
        <v>768493</v>
      </c>
    </row>
    <row r="87" spans="1:12" x14ac:dyDescent="0.35">
      <c r="A87">
        <v>1093</v>
      </c>
      <c r="B87">
        <v>1943</v>
      </c>
      <c r="C87" t="s">
        <v>9</v>
      </c>
      <c r="D87" t="s">
        <v>97</v>
      </c>
      <c r="E87" t="s">
        <v>121</v>
      </c>
      <c r="F87" t="s">
        <v>128</v>
      </c>
      <c r="G87">
        <v>47.910679000000002</v>
      </c>
      <c r="H87">
        <v>21.033317</v>
      </c>
      <c r="I87" s="1">
        <v>325610.48479999998</v>
      </c>
      <c r="J87">
        <v>2000</v>
      </c>
      <c r="K87">
        <v>1452871</v>
      </c>
    </row>
    <row r="88" spans="1:12" x14ac:dyDescent="0.35">
      <c r="A88">
        <v>1093</v>
      </c>
      <c r="B88">
        <v>1944</v>
      </c>
      <c r="C88" t="s">
        <v>9</v>
      </c>
      <c r="D88" t="s">
        <v>97</v>
      </c>
      <c r="E88" t="s">
        <v>121</v>
      </c>
      <c r="F88" t="s">
        <v>128</v>
      </c>
      <c r="G88">
        <v>47.910679000000002</v>
      </c>
      <c r="H88">
        <v>21.033317</v>
      </c>
      <c r="I88" s="1">
        <v>257060.90909999999</v>
      </c>
      <c r="J88">
        <v>2016</v>
      </c>
      <c r="K88">
        <v>1452871</v>
      </c>
    </row>
    <row r="89" spans="1:12" x14ac:dyDescent="0.35">
      <c r="A89">
        <v>653</v>
      </c>
      <c r="B89">
        <v>548</v>
      </c>
      <c r="C89" t="s">
        <v>10</v>
      </c>
      <c r="D89" t="s">
        <v>71</v>
      </c>
      <c r="E89" t="s">
        <v>123</v>
      </c>
      <c r="F89" t="s">
        <v>125</v>
      </c>
      <c r="G89">
        <v>40.500481000000001</v>
      </c>
      <c r="H89">
        <v>17.201307</v>
      </c>
      <c r="I89" s="1">
        <v>1012649.8</v>
      </c>
      <c r="J89" t="s">
        <v>138</v>
      </c>
      <c r="K89">
        <v>11060987</v>
      </c>
      <c r="L89" t="s">
        <v>148</v>
      </c>
    </row>
    <row r="90" spans="1:12" x14ac:dyDescent="0.35">
      <c r="A90">
        <v>653</v>
      </c>
      <c r="B90">
        <v>549</v>
      </c>
      <c r="C90" t="s">
        <v>10</v>
      </c>
      <c r="D90" t="s">
        <v>71</v>
      </c>
      <c r="E90" t="s">
        <v>123</v>
      </c>
      <c r="F90" t="s">
        <v>125</v>
      </c>
      <c r="G90">
        <v>40.500481000000001</v>
      </c>
      <c r="H90">
        <v>17.201307</v>
      </c>
      <c r="I90" s="1">
        <v>1043808.2560000001</v>
      </c>
      <c r="J90" t="s">
        <v>138</v>
      </c>
      <c r="K90">
        <v>11060987</v>
      </c>
      <c r="L90" t="s">
        <v>148</v>
      </c>
    </row>
    <row r="91" spans="1:12" x14ac:dyDescent="0.35">
      <c r="A91">
        <v>653</v>
      </c>
      <c r="B91">
        <v>551</v>
      </c>
      <c r="C91" t="s">
        <v>10</v>
      </c>
      <c r="D91" t="s">
        <v>71</v>
      </c>
      <c r="E91" t="s">
        <v>123</v>
      </c>
      <c r="F91" t="s">
        <v>125</v>
      </c>
      <c r="G91">
        <v>40.500481000000001</v>
      </c>
      <c r="H91">
        <v>17.201307</v>
      </c>
      <c r="I91" s="1">
        <v>1843541.9439999999</v>
      </c>
      <c r="J91" t="s">
        <v>138</v>
      </c>
      <c r="K91">
        <v>11060987</v>
      </c>
      <c r="L91" t="s">
        <v>148</v>
      </c>
    </row>
    <row r="92" spans="1:12" x14ac:dyDescent="0.35">
      <c r="A92">
        <v>1078</v>
      </c>
      <c r="B92">
        <v>1878</v>
      </c>
      <c r="C92" t="s">
        <v>10</v>
      </c>
      <c r="D92" t="s">
        <v>95</v>
      </c>
      <c r="E92" t="s">
        <v>120</v>
      </c>
      <c r="F92" t="s">
        <v>124</v>
      </c>
      <c r="G92">
        <v>44.853611000000001</v>
      </c>
      <c r="H92">
        <v>11.591388999999999</v>
      </c>
      <c r="I92" s="1">
        <v>620000</v>
      </c>
      <c r="J92">
        <v>2002</v>
      </c>
      <c r="K92">
        <v>901555</v>
      </c>
    </row>
    <row r="93" spans="1:12" x14ac:dyDescent="0.35">
      <c r="A93">
        <v>1131</v>
      </c>
      <c r="B93">
        <v>1907</v>
      </c>
      <c r="C93" t="s">
        <v>10</v>
      </c>
      <c r="D93" t="s">
        <v>100</v>
      </c>
      <c r="E93" t="s">
        <v>121</v>
      </c>
      <c r="F93" t="s">
        <v>128</v>
      </c>
      <c r="G93">
        <v>40.634721999999996</v>
      </c>
      <c r="H93">
        <v>18.009722</v>
      </c>
      <c r="I93" s="1">
        <v>313364.3836</v>
      </c>
      <c r="J93">
        <v>2000</v>
      </c>
      <c r="K93">
        <v>432532</v>
      </c>
    </row>
    <row r="94" spans="1:12" x14ac:dyDescent="0.35">
      <c r="A94">
        <v>1140</v>
      </c>
      <c r="B94">
        <v>1908</v>
      </c>
      <c r="C94" t="s">
        <v>10</v>
      </c>
      <c r="D94" t="s">
        <v>101</v>
      </c>
      <c r="E94" t="s">
        <v>121</v>
      </c>
      <c r="F94" t="s">
        <v>128</v>
      </c>
      <c r="G94">
        <v>37.139443999999997</v>
      </c>
      <c r="H94">
        <v>15.171944</v>
      </c>
      <c r="I94" s="1">
        <v>377461.64380000002</v>
      </c>
      <c r="J94">
        <v>2002</v>
      </c>
      <c r="K94">
        <v>822000</v>
      </c>
    </row>
    <row r="95" spans="1:12" x14ac:dyDescent="0.35">
      <c r="A95">
        <v>952</v>
      </c>
      <c r="B95">
        <v>1876</v>
      </c>
      <c r="C95" t="s">
        <v>11</v>
      </c>
      <c r="D95" t="s">
        <v>88</v>
      </c>
      <c r="E95" t="s">
        <v>120</v>
      </c>
      <c r="F95" t="s">
        <v>124</v>
      </c>
      <c r="G95">
        <v>55.082596000000002</v>
      </c>
      <c r="H95">
        <v>24.334050000000001</v>
      </c>
      <c r="I95" s="1">
        <v>563692.77110000001</v>
      </c>
      <c r="J95">
        <v>2016</v>
      </c>
      <c r="K95">
        <v>2755145</v>
      </c>
    </row>
    <row r="96" spans="1:12" x14ac:dyDescent="0.35">
      <c r="A96">
        <v>952</v>
      </c>
      <c r="B96">
        <v>1935</v>
      </c>
      <c r="C96" t="s">
        <v>11</v>
      </c>
      <c r="D96" t="s">
        <v>88</v>
      </c>
      <c r="E96" t="s">
        <v>120</v>
      </c>
      <c r="F96" t="s">
        <v>124</v>
      </c>
      <c r="G96">
        <v>55.082596000000002</v>
      </c>
      <c r="H96">
        <v>24.334050000000001</v>
      </c>
      <c r="I96" s="1">
        <v>279307.22889999999</v>
      </c>
      <c r="J96">
        <v>2016</v>
      </c>
      <c r="K96">
        <v>2755145</v>
      </c>
    </row>
    <row r="97" spans="1:12" x14ac:dyDescent="0.35">
      <c r="A97">
        <v>723</v>
      </c>
      <c r="B97">
        <v>1869</v>
      </c>
      <c r="C97" t="s">
        <v>12</v>
      </c>
      <c r="D97" t="s">
        <v>72</v>
      </c>
      <c r="E97" t="s">
        <v>120</v>
      </c>
      <c r="F97" t="s">
        <v>124</v>
      </c>
      <c r="G97">
        <v>51.277639999999998</v>
      </c>
      <c r="H97">
        <v>3.85006</v>
      </c>
      <c r="I97" s="1">
        <v>515094.33960000001</v>
      </c>
      <c r="J97">
        <v>2012</v>
      </c>
      <c r="K97">
        <v>3762406</v>
      </c>
    </row>
    <row r="98" spans="1:12" x14ac:dyDescent="0.35">
      <c r="A98">
        <v>723</v>
      </c>
      <c r="B98">
        <v>1919</v>
      </c>
      <c r="C98" t="s">
        <v>12</v>
      </c>
      <c r="D98" t="s">
        <v>72</v>
      </c>
      <c r="E98" t="s">
        <v>120</v>
      </c>
      <c r="F98" t="s">
        <v>124</v>
      </c>
      <c r="G98">
        <v>51.277639999999998</v>
      </c>
      <c r="H98">
        <v>3.85006</v>
      </c>
      <c r="I98" s="1">
        <v>435849.05660000001</v>
      </c>
      <c r="J98">
        <v>2009</v>
      </c>
      <c r="K98">
        <v>3762406</v>
      </c>
    </row>
    <row r="99" spans="1:12" x14ac:dyDescent="0.35">
      <c r="A99">
        <v>723</v>
      </c>
      <c r="B99">
        <v>1920</v>
      </c>
      <c r="C99" t="s">
        <v>12</v>
      </c>
      <c r="D99" t="s">
        <v>72</v>
      </c>
      <c r="E99" t="s">
        <v>120</v>
      </c>
      <c r="F99" t="s">
        <v>124</v>
      </c>
      <c r="G99">
        <v>51.277639999999998</v>
      </c>
      <c r="H99">
        <v>3.85006</v>
      </c>
      <c r="I99" s="1">
        <v>277358.49060000002</v>
      </c>
      <c r="J99">
        <v>2018</v>
      </c>
      <c r="K99">
        <v>3762406</v>
      </c>
    </row>
    <row r="100" spans="1:12" x14ac:dyDescent="0.35">
      <c r="A100">
        <v>729</v>
      </c>
      <c r="B100">
        <v>582</v>
      </c>
      <c r="C100" t="s">
        <v>12</v>
      </c>
      <c r="D100" t="s">
        <v>73</v>
      </c>
      <c r="E100" t="s">
        <v>123</v>
      </c>
      <c r="F100" t="s">
        <v>125</v>
      </c>
      <c r="G100">
        <v>52.476559999999999</v>
      </c>
      <c r="H100">
        <v>4.5921700000000003</v>
      </c>
      <c r="I100" s="1">
        <v>2590015.8480000002</v>
      </c>
      <c r="J100" t="s">
        <v>138</v>
      </c>
      <c r="K100">
        <v>12331861</v>
      </c>
      <c r="L100" t="s">
        <v>148</v>
      </c>
    </row>
    <row r="101" spans="1:12" x14ac:dyDescent="0.35">
      <c r="A101">
        <v>729</v>
      </c>
      <c r="B101">
        <v>583</v>
      </c>
      <c r="C101" t="s">
        <v>12</v>
      </c>
      <c r="D101" t="s">
        <v>73</v>
      </c>
      <c r="E101" t="s">
        <v>123</v>
      </c>
      <c r="F101" t="s">
        <v>125</v>
      </c>
      <c r="G101">
        <v>52.476559999999999</v>
      </c>
      <c r="H101">
        <v>4.5921700000000003</v>
      </c>
      <c r="I101" s="1">
        <v>3309984.1519999998</v>
      </c>
      <c r="J101" t="s">
        <v>138</v>
      </c>
      <c r="K101">
        <v>12331861</v>
      </c>
      <c r="L101" t="s">
        <v>148</v>
      </c>
    </row>
    <row r="102" spans="1:12" x14ac:dyDescent="0.35">
      <c r="A102">
        <v>732</v>
      </c>
      <c r="B102">
        <v>1900</v>
      </c>
      <c r="C102" t="s">
        <v>12</v>
      </c>
      <c r="D102" t="s">
        <v>74</v>
      </c>
      <c r="E102" t="s">
        <v>121</v>
      </c>
      <c r="F102" t="s">
        <v>128</v>
      </c>
      <c r="G102">
        <v>51.34225</v>
      </c>
      <c r="H102">
        <v>3.78247</v>
      </c>
      <c r="I102" s="1">
        <v>287010.29800000001</v>
      </c>
      <c r="J102">
        <v>2011</v>
      </c>
      <c r="K102">
        <v>2623404</v>
      </c>
    </row>
    <row r="103" spans="1:12" x14ac:dyDescent="0.35">
      <c r="A103">
        <v>732</v>
      </c>
      <c r="B103">
        <v>1938</v>
      </c>
      <c r="C103" t="s">
        <v>12</v>
      </c>
      <c r="D103" t="s">
        <v>74</v>
      </c>
      <c r="E103" t="s">
        <v>121</v>
      </c>
      <c r="F103" t="s">
        <v>128</v>
      </c>
      <c r="G103">
        <v>51.34225</v>
      </c>
      <c r="H103">
        <v>3.78247</v>
      </c>
      <c r="I103" s="1">
        <v>294630.0404</v>
      </c>
      <c r="J103">
        <v>2000</v>
      </c>
      <c r="K103">
        <v>2623404</v>
      </c>
    </row>
    <row r="104" spans="1:12" x14ac:dyDescent="0.35">
      <c r="A104">
        <v>732</v>
      </c>
      <c r="B104">
        <v>1939</v>
      </c>
      <c r="C104" t="s">
        <v>12</v>
      </c>
      <c r="D104" t="s">
        <v>74</v>
      </c>
      <c r="E104" t="s">
        <v>121</v>
      </c>
      <c r="F104" t="s">
        <v>128</v>
      </c>
      <c r="G104">
        <v>51.34225</v>
      </c>
      <c r="H104">
        <v>3.78247</v>
      </c>
      <c r="I104" s="1">
        <v>345428.32319999998</v>
      </c>
      <c r="J104">
        <v>2000</v>
      </c>
      <c r="K104">
        <v>2623404</v>
      </c>
    </row>
    <row r="105" spans="1:12" x14ac:dyDescent="0.35">
      <c r="A105">
        <v>734</v>
      </c>
      <c r="B105">
        <v>1958</v>
      </c>
      <c r="C105" t="s">
        <v>12</v>
      </c>
      <c r="D105" t="s">
        <v>75</v>
      </c>
      <c r="E105" t="s">
        <v>122</v>
      </c>
      <c r="F105" t="s">
        <v>127</v>
      </c>
      <c r="G105">
        <v>53.313749999999999</v>
      </c>
      <c r="H105">
        <v>6.9624300000000003</v>
      </c>
      <c r="I105" s="1">
        <v>360000</v>
      </c>
      <c r="J105">
        <v>2009</v>
      </c>
      <c r="K105">
        <v>269277</v>
      </c>
    </row>
    <row r="106" spans="1:12" x14ac:dyDescent="0.35">
      <c r="A106">
        <v>734</v>
      </c>
      <c r="B106">
        <v>1959</v>
      </c>
      <c r="C106" t="s">
        <v>12</v>
      </c>
      <c r="D106" t="s">
        <v>75</v>
      </c>
      <c r="E106" t="s">
        <v>122</v>
      </c>
      <c r="F106" t="s">
        <v>127</v>
      </c>
      <c r="G106">
        <v>53.313749999999999</v>
      </c>
      <c r="H106">
        <v>6.9624300000000003</v>
      </c>
      <c r="I106" s="1">
        <v>360000</v>
      </c>
      <c r="J106">
        <v>2019</v>
      </c>
      <c r="K106">
        <v>269277</v>
      </c>
    </row>
    <row r="107" spans="1:12" x14ac:dyDescent="0.35">
      <c r="A107">
        <v>1178</v>
      </c>
      <c r="B107">
        <v>1909</v>
      </c>
      <c r="C107" t="s">
        <v>12</v>
      </c>
      <c r="D107" t="s">
        <v>102</v>
      </c>
      <c r="E107" t="s">
        <v>121</v>
      </c>
      <c r="F107" t="s">
        <v>128</v>
      </c>
      <c r="G107">
        <v>51.687849999999997</v>
      </c>
      <c r="H107">
        <v>4.5621099999999997</v>
      </c>
      <c r="I107" s="1">
        <v>462264.3737</v>
      </c>
      <c r="J107">
        <v>2020</v>
      </c>
      <c r="K107">
        <v>778174</v>
      </c>
    </row>
    <row r="108" spans="1:12" x14ac:dyDescent="0.35">
      <c r="A108">
        <v>1190</v>
      </c>
      <c r="B108">
        <v>1910</v>
      </c>
      <c r="C108" t="s">
        <v>12</v>
      </c>
      <c r="D108" t="s">
        <v>104</v>
      </c>
      <c r="E108" t="s">
        <v>121</v>
      </c>
      <c r="F108" t="s">
        <v>128</v>
      </c>
      <c r="G108">
        <v>50.980580000000003</v>
      </c>
      <c r="H108">
        <v>5.7963300000000002</v>
      </c>
      <c r="I108" s="1">
        <v>279390.55560000002</v>
      </c>
      <c r="J108">
        <v>2023</v>
      </c>
      <c r="K108">
        <v>4785329</v>
      </c>
    </row>
    <row r="109" spans="1:12" x14ac:dyDescent="0.35">
      <c r="A109">
        <v>1190</v>
      </c>
      <c r="B109">
        <v>1950</v>
      </c>
      <c r="C109" t="s">
        <v>12</v>
      </c>
      <c r="D109" t="s">
        <v>104</v>
      </c>
      <c r="E109" t="s">
        <v>121</v>
      </c>
      <c r="F109" t="s">
        <v>128</v>
      </c>
      <c r="G109">
        <v>50.980580000000003</v>
      </c>
      <c r="H109">
        <v>5.7963300000000002</v>
      </c>
      <c r="I109" s="1">
        <v>342888.40909999999</v>
      </c>
      <c r="J109">
        <v>2024</v>
      </c>
      <c r="K109">
        <v>4785329</v>
      </c>
    </row>
    <row r="110" spans="1:12" x14ac:dyDescent="0.35">
      <c r="A110">
        <v>1190</v>
      </c>
      <c r="B110">
        <v>1960</v>
      </c>
      <c r="C110" t="s">
        <v>12</v>
      </c>
      <c r="D110" t="s">
        <v>104</v>
      </c>
      <c r="E110" t="s">
        <v>120</v>
      </c>
      <c r="F110" t="s">
        <v>124</v>
      </c>
      <c r="G110">
        <v>50.980580000000003</v>
      </c>
      <c r="H110">
        <v>5.7963300000000002</v>
      </c>
      <c r="I110" s="1">
        <v>435849.05660000001</v>
      </c>
      <c r="J110">
        <v>2011</v>
      </c>
      <c r="K110">
        <v>4785329</v>
      </c>
    </row>
    <row r="111" spans="1:12" x14ac:dyDescent="0.35">
      <c r="A111">
        <v>1190</v>
      </c>
      <c r="B111">
        <v>1961</v>
      </c>
      <c r="C111" t="s">
        <v>12</v>
      </c>
      <c r="D111" t="s">
        <v>104</v>
      </c>
      <c r="E111" t="s">
        <v>120</v>
      </c>
      <c r="F111" t="s">
        <v>124</v>
      </c>
      <c r="G111">
        <v>50.980580000000003</v>
      </c>
      <c r="H111">
        <v>5.7963300000000002</v>
      </c>
      <c r="I111" s="1">
        <v>435849.05660000001</v>
      </c>
      <c r="J111">
        <v>2003</v>
      </c>
      <c r="K111">
        <v>4785329</v>
      </c>
    </row>
    <row r="112" spans="1:12" x14ac:dyDescent="0.35">
      <c r="A112">
        <v>768</v>
      </c>
      <c r="B112">
        <v>1945</v>
      </c>
      <c r="C112" t="s">
        <v>13</v>
      </c>
      <c r="D112" t="s">
        <v>77</v>
      </c>
      <c r="E112" t="s">
        <v>121</v>
      </c>
      <c r="F112" t="s">
        <v>128</v>
      </c>
      <c r="G112">
        <v>52.586167000000003</v>
      </c>
      <c r="H112">
        <v>19.673249999999999</v>
      </c>
      <c r="I112" s="1">
        <v>474778</v>
      </c>
      <c r="J112">
        <v>2006</v>
      </c>
      <c r="K112">
        <v>2631913</v>
      </c>
    </row>
    <row r="113" spans="1:12" x14ac:dyDescent="0.35">
      <c r="A113">
        <v>770</v>
      </c>
      <c r="B113">
        <v>603</v>
      </c>
      <c r="C113" t="s">
        <v>13</v>
      </c>
      <c r="D113" t="s">
        <v>78</v>
      </c>
      <c r="E113" t="s">
        <v>123</v>
      </c>
      <c r="F113" t="s">
        <v>125</v>
      </c>
      <c r="G113">
        <v>50.080333000000003</v>
      </c>
      <c r="H113">
        <v>20.092361</v>
      </c>
      <c r="I113" s="1">
        <v>771849.42720000003</v>
      </c>
      <c r="J113" t="s">
        <v>138</v>
      </c>
      <c r="K113">
        <v>2972805</v>
      </c>
      <c r="L113" t="s">
        <v>148</v>
      </c>
    </row>
    <row r="114" spans="1:12" x14ac:dyDescent="0.35">
      <c r="A114">
        <v>774</v>
      </c>
      <c r="B114">
        <v>620</v>
      </c>
      <c r="C114" t="s">
        <v>13</v>
      </c>
      <c r="D114" t="s">
        <v>79</v>
      </c>
      <c r="E114" t="s">
        <v>123</v>
      </c>
      <c r="F114" t="s">
        <v>125</v>
      </c>
      <c r="G114">
        <v>50.343378999999999</v>
      </c>
      <c r="H114">
        <v>19.281863999999999</v>
      </c>
      <c r="I114" s="1">
        <v>1296235.679</v>
      </c>
      <c r="J114" t="s">
        <v>138</v>
      </c>
      <c r="K114">
        <v>4555786</v>
      </c>
      <c r="L114" t="s">
        <v>148</v>
      </c>
    </row>
    <row r="115" spans="1:12" x14ac:dyDescent="0.35">
      <c r="A115">
        <v>774</v>
      </c>
      <c r="B115">
        <v>622</v>
      </c>
      <c r="C115" t="s">
        <v>13</v>
      </c>
      <c r="D115" t="s">
        <v>79</v>
      </c>
      <c r="E115" t="s">
        <v>123</v>
      </c>
      <c r="F115" t="s">
        <v>125</v>
      </c>
      <c r="G115">
        <v>50.343378999999999</v>
      </c>
      <c r="H115">
        <v>19.281863999999999</v>
      </c>
      <c r="I115" s="1">
        <v>1531914.8940000001</v>
      </c>
      <c r="J115" t="s">
        <v>138</v>
      </c>
      <c r="K115">
        <v>4555786</v>
      </c>
      <c r="L115" t="s">
        <v>148</v>
      </c>
    </row>
    <row r="116" spans="1:12" x14ac:dyDescent="0.35">
      <c r="A116">
        <v>801</v>
      </c>
      <c r="B116">
        <v>1871</v>
      </c>
      <c r="C116" t="s">
        <v>13</v>
      </c>
      <c r="D116" t="s">
        <v>80</v>
      </c>
      <c r="E116" t="s">
        <v>120</v>
      </c>
      <c r="F116" t="s">
        <v>124</v>
      </c>
      <c r="G116">
        <v>53.575282999999999</v>
      </c>
      <c r="H116">
        <v>14.541092000000001</v>
      </c>
      <c r="I116" s="1">
        <v>200242.62299999999</v>
      </c>
      <c r="J116">
        <v>2010</v>
      </c>
      <c r="K116">
        <v>960478</v>
      </c>
    </row>
    <row r="117" spans="1:12" x14ac:dyDescent="0.35">
      <c r="A117">
        <v>801</v>
      </c>
      <c r="B117">
        <v>1921</v>
      </c>
      <c r="C117" t="s">
        <v>13</v>
      </c>
      <c r="D117" t="s">
        <v>80</v>
      </c>
      <c r="E117" t="s">
        <v>120</v>
      </c>
      <c r="F117" t="s">
        <v>124</v>
      </c>
      <c r="G117">
        <v>53.575282999999999</v>
      </c>
      <c r="H117">
        <v>14.541092000000001</v>
      </c>
      <c r="I117" s="1">
        <v>200242.62299999999</v>
      </c>
      <c r="J117">
        <v>2010</v>
      </c>
      <c r="K117">
        <v>960478</v>
      </c>
    </row>
    <row r="118" spans="1:12" x14ac:dyDescent="0.35">
      <c r="A118">
        <v>803</v>
      </c>
      <c r="B118">
        <v>1872</v>
      </c>
      <c r="C118" t="s">
        <v>13</v>
      </c>
      <c r="D118" t="s">
        <v>81</v>
      </c>
      <c r="E118" t="s">
        <v>120</v>
      </c>
      <c r="F118" t="s">
        <v>124</v>
      </c>
      <c r="G118">
        <v>51.45975</v>
      </c>
      <c r="H118">
        <v>21.977910000000001</v>
      </c>
      <c r="I118" s="1">
        <v>370819.67210000003</v>
      </c>
      <c r="J118">
        <v>2013</v>
      </c>
      <c r="K118">
        <v>2303502</v>
      </c>
    </row>
    <row r="119" spans="1:12" x14ac:dyDescent="0.35">
      <c r="A119">
        <v>803</v>
      </c>
      <c r="B119">
        <v>1922</v>
      </c>
      <c r="C119" t="s">
        <v>13</v>
      </c>
      <c r="D119" t="s">
        <v>81</v>
      </c>
      <c r="E119" t="s">
        <v>120</v>
      </c>
      <c r="F119" t="s">
        <v>124</v>
      </c>
      <c r="G119">
        <v>51.45975</v>
      </c>
      <c r="H119">
        <v>21.977910000000001</v>
      </c>
      <c r="I119" s="1">
        <v>370819.67210000003</v>
      </c>
      <c r="J119">
        <v>2013</v>
      </c>
      <c r="K119">
        <v>2303502</v>
      </c>
    </row>
    <row r="120" spans="1:12" x14ac:dyDescent="0.35">
      <c r="A120">
        <v>804</v>
      </c>
      <c r="B120">
        <v>1873</v>
      </c>
      <c r="C120" t="s">
        <v>13</v>
      </c>
      <c r="D120" t="s">
        <v>82</v>
      </c>
      <c r="E120" t="s">
        <v>120</v>
      </c>
      <c r="F120" t="s">
        <v>124</v>
      </c>
      <c r="G120">
        <v>52.706190999999997</v>
      </c>
      <c r="H120">
        <v>18.965406000000002</v>
      </c>
      <c r="I120" s="1">
        <v>370819.67210000003</v>
      </c>
      <c r="J120">
        <v>1997</v>
      </c>
      <c r="K120">
        <v>1001446</v>
      </c>
    </row>
    <row r="121" spans="1:12" x14ac:dyDescent="0.35">
      <c r="A121">
        <v>804</v>
      </c>
      <c r="B121">
        <v>1923</v>
      </c>
      <c r="C121" t="s">
        <v>13</v>
      </c>
      <c r="D121" t="s">
        <v>82</v>
      </c>
      <c r="E121" t="s">
        <v>120</v>
      </c>
      <c r="F121" t="s">
        <v>124</v>
      </c>
      <c r="G121">
        <v>52.706190999999997</v>
      </c>
      <c r="H121">
        <v>18.965406000000002</v>
      </c>
      <c r="I121" s="1">
        <v>482065.57380000001</v>
      </c>
      <c r="J121">
        <v>2022</v>
      </c>
      <c r="K121">
        <v>1001446</v>
      </c>
    </row>
    <row r="122" spans="1:12" x14ac:dyDescent="0.35">
      <c r="A122">
        <v>805</v>
      </c>
      <c r="B122">
        <v>1928</v>
      </c>
      <c r="C122" t="s">
        <v>13</v>
      </c>
      <c r="D122" t="s">
        <v>83</v>
      </c>
      <c r="E122" t="s">
        <v>120</v>
      </c>
      <c r="F122" t="s">
        <v>124</v>
      </c>
      <c r="G122">
        <v>50.304716999999997</v>
      </c>
      <c r="H122">
        <v>18.257825</v>
      </c>
      <c r="I122" s="1">
        <v>133495.08199999999</v>
      </c>
      <c r="J122">
        <v>2023</v>
      </c>
      <c r="K122">
        <v>773575</v>
      </c>
    </row>
    <row r="123" spans="1:12" x14ac:dyDescent="0.35">
      <c r="A123">
        <v>809</v>
      </c>
      <c r="B123">
        <v>1929</v>
      </c>
      <c r="C123" t="s">
        <v>13</v>
      </c>
      <c r="D123" t="s">
        <v>84</v>
      </c>
      <c r="E123" t="s">
        <v>120</v>
      </c>
      <c r="F123" t="s">
        <v>124</v>
      </c>
      <c r="G123">
        <v>50.022776999999998</v>
      </c>
      <c r="H123">
        <v>20.921665999999998</v>
      </c>
      <c r="I123" s="1">
        <v>133495.08199999999</v>
      </c>
      <c r="J123">
        <v>2003</v>
      </c>
      <c r="K123">
        <v>509528</v>
      </c>
    </row>
    <row r="124" spans="1:12" x14ac:dyDescent="0.35">
      <c r="A124">
        <v>1087</v>
      </c>
      <c r="B124">
        <v>1905</v>
      </c>
      <c r="C124" t="s">
        <v>14</v>
      </c>
      <c r="D124" t="s">
        <v>96</v>
      </c>
      <c r="E124" t="s">
        <v>121</v>
      </c>
      <c r="F124" t="s">
        <v>128</v>
      </c>
      <c r="G124">
        <v>37.984099999999998</v>
      </c>
      <c r="H124">
        <v>-8.8325800000000001</v>
      </c>
      <c r="I124" s="1">
        <v>361095</v>
      </c>
      <c r="J124">
        <v>1997</v>
      </c>
      <c r="K124">
        <v>700793</v>
      </c>
    </row>
    <row r="125" spans="1:12" x14ac:dyDescent="0.35">
      <c r="A125">
        <v>914</v>
      </c>
      <c r="B125">
        <v>1946</v>
      </c>
      <c r="C125" t="s">
        <v>15</v>
      </c>
      <c r="D125" t="s">
        <v>87</v>
      </c>
      <c r="E125" t="s">
        <v>121</v>
      </c>
      <c r="F125" t="s">
        <v>128</v>
      </c>
      <c r="G125">
        <v>48.117749000000003</v>
      </c>
      <c r="H125">
        <v>17.189958000000001</v>
      </c>
      <c r="I125" s="1">
        <v>169478</v>
      </c>
      <c r="J125">
        <v>1998</v>
      </c>
      <c r="K125">
        <v>1145821</v>
      </c>
    </row>
    <row r="126" spans="1:12" x14ac:dyDescent="0.35">
      <c r="A126">
        <v>1189</v>
      </c>
      <c r="B126">
        <v>1607</v>
      </c>
      <c r="C126" t="s">
        <v>15</v>
      </c>
      <c r="D126" t="s">
        <v>103</v>
      </c>
      <c r="E126" t="s">
        <v>123</v>
      </c>
      <c r="F126" t="s">
        <v>125</v>
      </c>
      <c r="G126">
        <v>48.617783000000003</v>
      </c>
      <c r="H126">
        <v>21.198325000000001</v>
      </c>
      <c r="I126" s="1">
        <v>1336065.574</v>
      </c>
      <c r="J126" t="s">
        <v>138</v>
      </c>
      <c r="K126">
        <v>8646637</v>
      </c>
      <c r="L126" t="s">
        <v>148</v>
      </c>
    </row>
    <row r="127" spans="1:12" x14ac:dyDescent="0.35">
      <c r="A127">
        <v>1189</v>
      </c>
      <c r="B127">
        <v>1609</v>
      </c>
      <c r="C127" t="s">
        <v>15</v>
      </c>
      <c r="D127" t="s">
        <v>103</v>
      </c>
      <c r="E127" t="s">
        <v>123</v>
      </c>
      <c r="F127" t="s">
        <v>125</v>
      </c>
      <c r="G127">
        <v>48.617783000000003</v>
      </c>
      <c r="H127">
        <v>21.198325000000001</v>
      </c>
      <c r="I127" s="1">
        <v>1024590.164</v>
      </c>
      <c r="J127" t="s">
        <v>138</v>
      </c>
      <c r="K127">
        <v>8646637</v>
      </c>
      <c r="L127" t="s">
        <v>148</v>
      </c>
    </row>
    <row r="128" spans="1:12" x14ac:dyDescent="0.35">
      <c r="A128">
        <v>1189</v>
      </c>
      <c r="B128">
        <v>5000</v>
      </c>
      <c r="C128" t="s">
        <v>15</v>
      </c>
      <c r="D128" t="s">
        <v>103</v>
      </c>
      <c r="E128" t="s">
        <v>123</v>
      </c>
      <c r="F128" t="s">
        <v>125</v>
      </c>
      <c r="G128">
        <v>48.617783000000003</v>
      </c>
      <c r="H128">
        <v>21.198325000000001</v>
      </c>
      <c r="I128" s="1">
        <v>1639344.2620000001</v>
      </c>
      <c r="J128" t="s">
        <v>138</v>
      </c>
      <c r="K128">
        <v>8646637</v>
      </c>
      <c r="L128" t="s">
        <v>148</v>
      </c>
    </row>
    <row r="129" spans="1:12" x14ac:dyDescent="0.35">
      <c r="A129">
        <v>5000</v>
      </c>
      <c r="B129">
        <v>1882</v>
      </c>
      <c r="C129" t="s">
        <v>15</v>
      </c>
      <c r="D129" t="s">
        <v>119</v>
      </c>
      <c r="E129" t="s">
        <v>120</v>
      </c>
      <c r="F129" t="s">
        <v>124</v>
      </c>
      <c r="G129">
        <v>48.186919019999998</v>
      </c>
      <c r="H129">
        <v>17.930030819999999</v>
      </c>
      <c r="I129" s="1">
        <v>355000</v>
      </c>
      <c r="J129">
        <v>2015</v>
      </c>
      <c r="K129">
        <v>1098236</v>
      </c>
    </row>
    <row r="130" spans="1:12" x14ac:dyDescent="0.35">
      <c r="A130">
        <v>322</v>
      </c>
      <c r="B130">
        <v>357</v>
      </c>
      <c r="C130" t="s">
        <v>16</v>
      </c>
      <c r="D130" t="s">
        <v>54</v>
      </c>
      <c r="E130" t="s">
        <v>123</v>
      </c>
      <c r="F130" t="s">
        <v>125</v>
      </c>
      <c r="G130">
        <v>43.556109999999997</v>
      </c>
      <c r="H130">
        <v>-5.91113</v>
      </c>
      <c r="I130" s="1">
        <v>2017857.1429999999</v>
      </c>
      <c r="J130" t="s">
        <v>138</v>
      </c>
      <c r="K130">
        <v>5907100</v>
      </c>
      <c r="L130" t="s">
        <v>148</v>
      </c>
    </row>
    <row r="131" spans="1:12" x14ac:dyDescent="0.35">
      <c r="A131">
        <v>322</v>
      </c>
      <c r="B131">
        <v>359</v>
      </c>
      <c r="C131" t="s">
        <v>16</v>
      </c>
      <c r="D131" t="s">
        <v>54</v>
      </c>
      <c r="E131" t="s">
        <v>123</v>
      </c>
      <c r="F131" t="s">
        <v>125</v>
      </c>
      <c r="G131">
        <v>43.556109999999997</v>
      </c>
      <c r="H131">
        <v>-5.91113</v>
      </c>
      <c r="I131" s="1">
        <v>1982142.8570000001</v>
      </c>
      <c r="J131" t="s">
        <v>138</v>
      </c>
      <c r="K131">
        <v>5907100</v>
      </c>
      <c r="L131" t="s">
        <v>148</v>
      </c>
    </row>
    <row r="132" spans="1:12" x14ac:dyDescent="0.35">
      <c r="A132">
        <v>339</v>
      </c>
      <c r="B132">
        <v>1895</v>
      </c>
      <c r="C132" t="s">
        <v>16</v>
      </c>
      <c r="D132" t="s">
        <v>55</v>
      </c>
      <c r="E132" t="s">
        <v>121</v>
      </c>
      <c r="F132" t="s">
        <v>128</v>
      </c>
      <c r="G132">
        <v>38.671999999999997</v>
      </c>
      <c r="H132">
        <v>-4.0496999999999996</v>
      </c>
      <c r="I132" s="1">
        <v>74975.655169999998</v>
      </c>
      <c r="J132">
        <v>2015</v>
      </c>
      <c r="K132">
        <v>1486839</v>
      </c>
    </row>
    <row r="133" spans="1:12" x14ac:dyDescent="0.35">
      <c r="A133">
        <v>346</v>
      </c>
      <c r="B133">
        <v>1896</v>
      </c>
      <c r="C133" t="s">
        <v>16</v>
      </c>
      <c r="D133" t="s">
        <v>56</v>
      </c>
      <c r="E133" t="s">
        <v>121</v>
      </c>
      <c r="F133" t="s">
        <v>128</v>
      </c>
      <c r="G133">
        <v>41.177951</v>
      </c>
      <c r="H133">
        <v>1.2203029999999999</v>
      </c>
      <c r="I133" s="1">
        <v>496162.42389999999</v>
      </c>
      <c r="J133">
        <v>1997</v>
      </c>
      <c r="K133">
        <v>1054571</v>
      </c>
    </row>
    <row r="134" spans="1:12" x14ac:dyDescent="0.35">
      <c r="A134">
        <v>347</v>
      </c>
      <c r="B134">
        <v>1897</v>
      </c>
      <c r="C134" t="s">
        <v>16</v>
      </c>
      <c r="D134" t="s">
        <v>57</v>
      </c>
      <c r="E134" t="s">
        <v>121</v>
      </c>
      <c r="F134" t="s">
        <v>128</v>
      </c>
      <c r="G134">
        <v>41.193587999999998</v>
      </c>
      <c r="H134">
        <v>1.2262230000000001</v>
      </c>
      <c r="I134" s="1">
        <v>516008.92090000003</v>
      </c>
      <c r="J134">
        <v>2014</v>
      </c>
      <c r="K134">
        <v>829803</v>
      </c>
    </row>
    <row r="135" spans="1:12" x14ac:dyDescent="0.35">
      <c r="A135">
        <v>403</v>
      </c>
      <c r="B135">
        <v>1864</v>
      </c>
      <c r="C135" t="s">
        <v>16</v>
      </c>
      <c r="D135" t="s">
        <v>58</v>
      </c>
      <c r="E135" t="s">
        <v>120</v>
      </c>
      <c r="F135" t="s">
        <v>124</v>
      </c>
      <c r="G135">
        <v>37.184313000000003</v>
      </c>
      <c r="H135">
        <v>-6.8878750000000002</v>
      </c>
      <c r="I135" s="1">
        <v>144000</v>
      </c>
      <c r="J135">
        <v>2014</v>
      </c>
      <c r="K135">
        <v>663274</v>
      </c>
    </row>
    <row r="136" spans="1:12" x14ac:dyDescent="0.35">
      <c r="A136">
        <v>404</v>
      </c>
      <c r="B136">
        <v>1951</v>
      </c>
      <c r="C136" t="s">
        <v>16</v>
      </c>
      <c r="D136" t="s">
        <v>59</v>
      </c>
      <c r="E136" t="s">
        <v>120</v>
      </c>
      <c r="F136" t="s">
        <v>124</v>
      </c>
      <c r="G136">
        <v>38.665900000000001</v>
      </c>
      <c r="H136">
        <v>-4.0586000000000002</v>
      </c>
      <c r="I136" s="1">
        <v>216000</v>
      </c>
      <c r="J136">
        <v>2017</v>
      </c>
      <c r="K136">
        <v>405091</v>
      </c>
    </row>
    <row r="137" spans="1:12" x14ac:dyDescent="0.35">
      <c r="A137">
        <v>897</v>
      </c>
      <c r="B137">
        <v>658</v>
      </c>
      <c r="C137" t="s">
        <v>17</v>
      </c>
      <c r="D137" t="s">
        <v>85</v>
      </c>
      <c r="E137" t="s">
        <v>123</v>
      </c>
      <c r="F137" t="s">
        <v>125</v>
      </c>
      <c r="G137">
        <v>58.676901719999996</v>
      </c>
      <c r="H137">
        <v>17.125620219999998</v>
      </c>
      <c r="I137" s="1">
        <v>566585.95640000002</v>
      </c>
      <c r="J137" t="s">
        <v>138</v>
      </c>
      <c r="K137">
        <v>2151437</v>
      </c>
      <c r="L137" t="s">
        <v>148</v>
      </c>
    </row>
    <row r="138" spans="1:12" x14ac:dyDescent="0.35">
      <c r="A138">
        <v>897</v>
      </c>
      <c r="B138">
        <v>659</v>
      </c>
      <c r="C138" t="s">
        <v>17</v>
      </c>
      <c r="D138" t="s">
        <v>85</v>
      </c>
      <c r="E138" t="s">
        <v>123</v>
      </c>
      <c r="F138" t="s">
        <v>125</v>
      </c>
      <c r="G138">
        <v>58.676901719999996</v>
      </c>
      <c r="H138">
        <v>17.125620219999998</v>
      </c>
      <c r="I138" s="1">
        <v>762711.86439999996</v>
      </c>
      <c r="J138" t="s">
        <v>138</v>
      </c>
      <c r="K138">
        <v>2151437</v>
      </c>
      <c r="L138" t="s">
        <v>148</v>
      </c>
    </row>
    <row r="139" spans="1:12" x14ac:dyDescent="0.35">
      <c r="A139">
        <v>898</v>
      </c>
      <c r="B139">
        <v>664</v>
      </c>
      <c r="C139" t="s">
        <v>17</v>
      </c>
      <c r="D139" t="s">
        <v>86</v>
      </c>
      <c r="E139" t="s">
        <v>123</v>
      </c>
      <c r="F139" t="s">
        <v>125</v>
      </c>
      <c r="G139">
        <v>65.563492769999996</v>
      </c>
      <c r="H139">
        <v>22.20601065</v>
      </c>
      <c r="I139" s="1">
        <v>1670702.179</v>
      </c>
      <c r="J139" t="s">
        <v>138</v>
      </c>
      <c r="K139">
        <v>884873</v>
      </c>
      <c r="L139" t="s">
        <v>148</v>
      </c>
    </row>
    <row r="140" spans="1:12" x14ac:dyDescent="0.35">
      <c r="A140">
        <v>1122</v>
      </c>
      <c r="B140">
        <v>1906</v>
      </c>
      <c r="C140" t="s">
        <v>17</v>
      </c>
      <c r="D140" t="s">
        <v>98</v>
      </c>
      <c r="E140" t="s">
        <v>121</v>
      </c>
      <c r="F140" t="s">
        <v>128</v>
      </c>
      <c r="G140">
        <v>58.08324923</v>
      </c>
      <c r="H140">
        <v>11.82553951</v>
      </c>
      <c r="I140" s="1">
        <v>202171</v>
      </c>
      <c r="J140">
        <v>2022</v>
      </c>
      <c r="K140">
        <v>566811</v>
      </c>
    </row>
    <row r="141" spans="1:12" x14ac:dyDescent="0.35">
      <c r="A141">
        <v>1206</v>
      </c>
      <c r="B141">
        <v>1911</v>
      </c>
      <c r="C141" t="s">
        <v>18</v>
      </c>
      <c r="D141" t="s">
        <v>105</v>
      </c>
      <c r="E141" t="s">
        <v>121</v>
      </c>
      <c r="F141" t="s">
        <v>128</v>
      </c>
      <c r="G141">
        <v>54.582700000000003</v>
      </c>
      <c r="H141">
        <v>-1.10103</v>
      </c>
      <c r="I141" s="1">
        <v>673639.62769999995</v>
      </c>
      <c r="J141">
        <v>2022</v>
      </c>
      <c r="K141">
        <v>1214909</v>
      </c>
    </row>
    <row r="142" spans="1:12" x14ac:dyDescent="0.35">
      <c r="A142">
        <v>1262</v>
      </c>
      <c r="B142">
        <v>951</v>
      </c>
      <c r="C142" t="s">
        <v>18</v>
      </c>
      <c r="D142" t="s">
        <v>106</v>
      </c>
      <c r="E142" t="s">
        <v>123</v>
      </c>
      <c r="F142" t="s">
        <v>125</v>
      </c>
      <c r="G142">
        <v>51.567900000000002</v>
      </c>
      <c r="H142">
        <v>-3.7594599999999998</v>
      </c>
      <c r="I142" s="1">
        <v>1925868.726</v>
      </c>
      <c r="J142" t="s">
        <v>138</v>
      </c>
      <c r="K142">
        <v>7550888</v>
      </c>
      <c r="L142" t="s">
        <v>148</v>
      </c>
    </row>
    <row r="143" spans="1:12" x14ac:dyDescent="0.35">
      <c r="A143">
        <v>1262</v>
      </c>
      <c r="B143">
        <v>952</v>
      </c>
      <c r="C143" t="s">
        <v>18</v>
      </c>
      <c r="D143" t="s">
        <v>106</v>
      </c>
      <c r="E143" t="s">
        <v>123</v>
      </c>
      <c r="F143" t="s">
        <v>125</v>
      </c>
      <c r="G143">
        <v>51.567900000000002</v>
      </c>
      <c r="H143">
        <v>-3.7594599999999998</v>
      </c>
      <c r="I143" s="1">
        <v>1634749.0349999999</v>
      </c>
      <c r="J143" t="s">
        <v>138</v>
      </c>
      <c r="K143">
        <v>7550888</v>
      </c>
      <c r="L143" t="s">
        <v>148</v>
      </c>
    </row>
    <row r="144" spans="1:12" x14ac:dyDescent="0.35">
      <c r="A144">
        <v>1280</v>
      </c>
      <c r="B144">
        <v>1912</v>
      </c>
      <c r="C144" t="s">
        <v>18</v>
      </c>
      <c r="D144" t="s">
        <v>107</v>
      </c>
      <c r="E144" t="s">
        <v>121</v>
      </c>
      <c r="F144" t="s">
        <v>128</v>
      </c>
      <c r="G144">
        <v>56.093600000000002</v>
      </c>
      <c r="H144">
        <v>-3.3091200000000001</v>
      </c>
      <c r="I144" s="1">
        <v>659926.86170000001</v>
      </c>
      <c r="J144">
        <v>2010</v>
      </c>
      <c r="K144">
        <v>812418</v>
      </c>
    </row>
    <row r="145" spans="1:12" x14ac:dyDescent="0.35">
      <c r="A145">
        <v>1511</v>
      </c>
      <c r="B145">
        <v>681</v>
      </c>
      <c r="C145" t="s">
        <v>18</v>
      </c>
      <c r="D145" t="s">
        <v>114</v>
      </c>
      <c r="E145" t="s">
        <v>123</v>
      </c>
      <c r="F145" t="s">
        <v>125</v>
      </c>
      <c r="G145">
        <v>53.581299999999999</v>
      </c>
      <c r="H145">
        <v>-0.620035</v>
      </c>
      <c r="I145" s="1">
        <v>1119691.1200000001</v>
      </c>
      <c r="J145" t="s">
        <v>138</v>
      </c>
      <c r="K145">
        <v>5667711</v>
      </c>
      <c r="L145" t="s">
        <v>148</v>
      </c>
    </row>
    <row r="146" spans="1:12" x14ac:dyDescent="0.35">
      <c r="A146">
        <v>1511</v>
      </c>
      <c r="B146">
        <v>682</v>
      </c>
      <c r="C146" t="s">
        <v>18</v>
      </c>
      <c r="D146" t="s">
        <v>114</v>
      </c>
      <c r="E146" t="s">
        <v>123</v>
      </c>
      <c r="F146" t="s">
        <v>125</v>
      </c>
      <c r="G146">
        <v>53.581299999999999</v>
      </c>
      <c r="H146">
        <v>-0.620035</v>
      </c>
      <c r="I146" s="1">
        <v>1119691.1200000001</v>
      </c>
      <c r="J146" t="s">
        <v>138</v>
      </c>
      <c r="K146">
        <v>5667711</v>
      </c>
      <c r="L146" t="s">
        <v>148</v>
      </c>
    </row>
    <row r="147" spans="1:12" x14ac:dyDescent="0.35">
      <c r="A147">
        <v>3464</v>
      </c>
      <c r="B147">
        <v>1915</v>
      </c>
      <c r="C147" t="s">
        <v>18</v>
      </c>
      <c r="D147" t="s">
        <v>118</v>
      </c>
      <c r="E147" t="s">
        <v>121</v>
      </c>
      <c r="F147" t="s">
        <v>128</v>
      </c>
      <c r="G147">
        <v>56.012204099999998</v>
      </c>
      <c r="H147">
        <v>-3.6953347999999999</v>
      </c>
      <c r="I147" s="1">
        <v>599933.51060000004</v>
      </c>
      <c r="J147">
        <v>2001</v>
      </c>
      <c r="K147">
        <v>487945</v>
      </c>
    </row>
    <row r="148" spans="1:12" x14ac:dyDescent="0.35">
      <c r="A148">
        <v>1498</v>
      </c>
      <c r="B148">
        <v>1627</v>
      </c>
      <c r="C148" t="s">
        <v>19</v>
      </c>
      <c r="D148" t="s">
        <v>111</v>
      </c>
      <c r="E148" t="s">
        <v>123</v>
      </c>
      <c r="F148" t="s">
        <v>125</v>
      </c>
      <c r="G148">
        <v>45.437666999999998</v>
      </c>
      <c r="H148">
        <v>27.977934000000001</v>
      </c>
      <c r="I148" s="1">
        <v>2100000</v>
      </c>
      <c r="J148" t="s">
        <v>138</v>
      </c>
      <c r="K148">
        <v>4288727</v>
      </c>
      <c r="L148" t="s">
        <v>148</v>
      </c>
    </row>
    <row r="149" spans="1:12" x14ac:dyDescent="0.35">
      <c r="A149">
        <v>1502</v>
      </c>
      <c r="B149">
        <v>1930</v>
      </c>
      <c r="C149" t="s">
        <v>19</v>
      </c>
      <c r="D149" t="s">
        <v>112</v>
      </c>
      <c r="E149" t="s">
        <v>120</v>
      </c>
      <c r="F149" t="s">
        <v>124</v>
      </c>
      <c r="G149">
        <v>44.532980000000002</v>
      </c>
      <c r="H149">
        <v>27.387740000000001</v>
      </c>
      <c r="I149" s="1">
        <v>285816.73469999997</v>
      </c>
      <c r="J149">
        <v>2019</v>
      </c>
      <c r="K149">
        <v>216598</v>
      </c>
    </row>
    <row r="150" spans="1:12" x14ac:dyDescent="0.35">
      <c r="A150">
        <v>1508</v>
      </c>
      <c r="B150">
        <v>1932</v>
      </c>
      <c r="C150" t="s">
        <v>19</v>
      </c>
      <c r="D150" t="s">
        <v>113</v>
      </c>
      <c r="E150" t="s">
        <v>120</v>
      </c>
      <c r="F150" t="s">
        <v>124</v>
      </c>
      <c r="G150">
        <v>46.513361000000003</v>
      </c>
      <c r="H150">
        <v>24.505444000000001</v>
      </c>
      <c r="I150" s="1">
        <v>414434.26530000003</v>
      </c>
      <c r="J150">
        <v>2012</v>
      </c>
      <c r="K150">
        <v>1807951</v>
      </c>
    </row>
    <row r="151" spans="1:12" x14ac:dyDescent="0.35">
      <c r="A151">
        <v>75</v>
      </c>
      <c r="B151">
        <v>1858</v>
      </c>
      <c r="C151" t="s">
        <v>20</v>
      </c>
      <c r="D151" t="s">
        <v>31</v>
      </c>
      <c r="E151" t="s">
        <v>120</v>
      </c>
      <c r="F151" t="s">
        <v>124</v>
      </c>
      <c r="G151">
        <v>42.05</v>
      </c>
      <c r="H151">
        <v>25.617222000000002</v>
      </c>
      <c r="I151" s="1">
        <v>230000</v>
      </c>
      <c r="J151">
        <v>2012</v>
      </c>
      <c r="K151">
        <v>753748</v>
      </c>
    </row>
    <row r="152" spans="1:12" x14ac:dyDescent="0.35">
      <c r="A152">
        <v>750</v>
      </c>
      <c r="B152">
        <v>1870</v>
      </c>
      <c r="C152" t="s">
        <v>21</v>
      </c>
      <c r="D152" t="s">
        <v>76</v>
      </c>
      <c r="E152" t="s">
        <v>120</v>
      </c>
      <c r="F152" t="s">
        <v>124</v>
      </c>
      <c r="G152">
        <v>59.120456699999998</v>
      </c>
      <c r="H152">
        <v>9.6213949999999997</v>
      </c>
      <c r="I152" s="1">
        <v>330000</v>
      </c>
      <c r="J152">
        <v>2000</v>
      </c>
      <c r="K152">
        <v>1188734</v>
      </c>
    </row>
    <row r="153" spans="1:12" x14ac:dyDescent="0.35">
      <c r="A153">
        <v>1569</v>
      </c>
      <c r="B153">
        <v>1913</v>
      </c>
      <c r="C153" t="s">
        <v>21</v>
      </c>
      <c r="D153" t="s">
        <v>115</v>
      </c>
      <c r="E153" t="s">
        <v>121</v>
      </c>
      <c r="F153" t="s">
        <v>128</v>
      </c>
      <c r="G153">
        <v>59.096130000000002</v>
      </c>
      <c r="H153">
        <v>9.5933460000000004</v>
      </c>
      <c r="I153" s="1">
        <v>203537.6</v>
      </c>
      <c r="J153">
        <v>2005</v>
      </c>
      <c r="K153">
        <v>478445</v>
      </c>
    </row>
    <row r="154" spans="1:12" x14ac:dyDescent="0.35">
      <c r="A154">
        <v>1573</v>
      </c>
      <c r="B154">
        <v>1957</v>
      </c>
      <c r="C154" t="s">
        <v>21</v>
      </c>
      <c r="D154" t="s">
        <v>116</v>
      </c>
      <c r="E154" t="s">
        <v>122</v>
      </c>
      <c r="F154" t="s">
        <v>127</v>
      </c>
      <c r="G154">
        <v>63.412422200000002</v>
      </c>
      <c r="H154">
        <v>8.6850199999999997</v>
      </c>
      <c r="I154" s="1">
        <v>705500</v>
      </c>
      <c r="J154">
        <v>2022</v>
      </c>
      <c r="K154">
        <v>335583</v>
      </c>
    </row>
    <row r="155" spans="1:12" x14ac:dyDescent="0.35">
      <c r="A155">
        <v>555</v>
      </c>
      <c r="B155">
        <v>1868</v>
      </c>
      <c r="C155" t="s">
        <v>22</v>
      </c>
      <c r="D155" t="s">
        <v>69</v>
      </c>
      <c r="E155" t="s">
        <v>120</v>
      </c>
      <c r="F155" t="s">
        <v>124</v>
      </c>
      <c r="G155">
        <v>45.46646904</v>
      </c>
      <c r="H155">
        <v>16.797391470000001</v>
      </c>
      <c r="I155" s="1">
        <v>372000</v>
      </c>
      <c r="J155">
        <v>2015</v>
      </c>
      <c r="K155">
        <v>1518620</v>
      </c>
    </row>
    <row r="156" spans="1:12" x14ac:dyDescent="0.35">
      <c r="I156" s="1">
        <f>SUM(I67:I83)+SUM(I61:I65)+SUM(I46:I47)</f>
        <v>8609681.4926000014</v>
      </c>
    </row>
    <row r="157" spans="1:12" x14ac:dyDescent="0.35">
      <c r="I157" s="1">
        <f>I156/1000</f>
        <v>8609.6814926000006</v>
      </c>
    </row>
  </sheetData>
  <autoFilter ref="A1:Q157" xr:uid="{00000000-0009-0000-0000-000001000000}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F66-93A8-4FB3-974F-E580CF1B71D7}">
  <dimension ref="A1:D6"/>
  <sheetViews>
    <sheetView workbookViewId="0">
      <selection activeCell="D17" sqref="D17"/>
    </sheetView>
  </sheetViews>
  <sheetFormatPr defaultRowHeight="14.5" x14ac:dyDescent="0.35"/>
  <sheetData>
    <row r="1" spans="1:4" x14ac:dyDescent="0.35">
      <c r="A1" t="s">
        <v>23</v>
      </c>
      <c r="B1" t="s">
        <v>160</v>
      </c>
      <c r="C1" t="s">
        <v>161</v>
      </c>
      <c r="D1" t="s">
        <v>162</v>
      </c>
    </row>
    <row r="2" spans="1:4" x14ac:dyDescent="0.35">
      <c r="A2" t="s">
        <v>164</v>
      </c>
      <c r="B2">
        <v>10</v>
      </c>
      <c r="C2">
        <v>14.3</v>
      </c>
      <c r="D2">
        <v>15.3</v>
      </c>
    </row>
    <row r="3" spans="1:4" x14ac:dyDescent="0.35">
      <c r="A3" t="s">
        <v>6</v>
      </c>
      <c r="C3">
        <v>16.5</v>
      </c>
      <c r="D3">
        <v>15.4</v>
      </c>
    </row>
    <row r="4" spans="1:4" x14ac:dyDescent="0.35">
      <c r="A4" t="s">
        <v>7</v>
      </c>
      <c r="B4">
        <v>12.4</v>
      </c>
      <c r="C4">
        <v>16.600000000000001</v>
      </c>
      <c r="D4">
        <v>15.7</v>
      </c>
    </row>
    <row r="5" spans="1:4" x14ac:dyDescent="0.35">
      <c r="A5" t="s">
        <v>10</v>
      </c>
      <c r="C5">
        <v>15</v>
      </c>
      <c r="D5">
        <v>15.9</v>
      </c>
    </row>
    <row r="6" spans="1:4" x14ac:dyDescent="0.35">
      <c r="A6" t="s">
        <v>163</v>
      </c>
      <c r="B6">
        <f>(B2+B4)/2</f>
        <v>11.2</v>
      </c>
      <c r="C6">
        <f>(C2+C3+C4+C5)/4</f>
        <v>15.600000000000001</v>
      </c>
      <c r="D6">
        <f>(D2+D3+D4+D5)/4</f>
        <v>15.575000000000001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7EF3-8E3B-4340-9E93-4213DD306E9B}">
  <dimension ref="A1:F5"/>
  <sheetViews>
    <sheetView tabSelected="1" workbookViewId="0">
      <selection activeCell="E3" sqref="E3"/>
    </sheetView>
  </sheetViews>
  <sheetFormatPr defaultRowHeight="14.5" x14ac:dyDescent="0.35"/>
  <cols>
    <col min="2" max="2" width="19.36328125" bestFit="1" customWidth="1"/>
    <col min="3" max="3" width="12.26953125" bestFit="1" customWidth="1"/>
    <col min="5" max="5" width="28.6328125" bestFit="1" customWidth="1"/>
  </cols>
  <sheetData>
    <row r="1" spans="1:6" x14ac:dyDescent="0.35">
      <c r="B1" t="s">
        <v>154</v>
      </c>
      <c r="C1" t="s">
        <v>159</v>
      </c>
      <c r="D1" t="s">
        <v>155</v>
      </c>
      <c r="E1" t="s">
        <v>156</v>
      </c>
      <c r="F1" t="s">
        <v>157</v>
      </c>
    </row>
    <row r="2" spans="1:6" x14ac:dyDescent="0.35">
      <c r="A2" t="s">
        <v>153</v>
      </c>
      <c r="B2">
        <v>15.574999999999999</v>
      </c>
      <c r="C2">
        <f>SUMIFS(Database!I:I,Database!E:E,"Ethylene")</f>
        <v>18860410.514370002</v>
      </c>
      <c r="D2">
        <f>B2/$B$2</f>
        <v>1</v>
      </c>
      <c r="E2">
        <f>C2*D2/1000</f>
        <v>18860.410514370004</v>
      </c>
      <c r="F2" t="s">
        <v>158</v>
      </c>
    </row>
    <row r="3" spans="1:6" x14ac:dyDescent="0.35">
      <c r="A3" t="s">
        <v>120</v>
      </c>
      <c r="B3">
        <v>15.6</v>
      </c>
      <c r="C3">
        <f>SUMIFS(Database!I:I,Database!E:E,"Ammonia")</f>
        <v>13233360.589200001</v>
      </c>
      <c r="D3">
        <f>B3/$B$2</f>
        <v>1.0016051364365972</v>
      </c>
      <c r="E3">
        <f>C3*D3/1000</f>
        <v>13254.601938460355</v>
      </c>
      <c r="F3" t="s">
        <v>158</v>
      </c>
    </row>
    <row r="4" spans="1:6" x14ac:dyDescent="0.35">
      <c r="A4" t="s">
        <v>122</v>
      </c>
      <c r="B4">
        <v>11.2</v>
      </c>
      <c r="C4">
        <f>SUMIFS(Database!I:I,Database!E:E,"Methanol")</f>
        <v>2823646</v>
      </c>
      <c r="D4">
        <f t="shared" ref="D4" si="0">B4/$B$2</f>
        <v>0.7191011235955056</v>
      </c>
      <c r="E4">
        <f>C4*D4/1000</f>
        <v>2030.4870112359549</v>
      </c>
      <c r="F4" t="s">
        <v>158</v>
      </c>
    </row>
    <row r="5" spans="1:6" x14ac:dyDescent="0.35">
      <c r="E5">
        <f>SUM(E2:E4)</f>
        <v>34145.499464066314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D6BCE54D0E7EC48B2A794831A41BDDE" ma:contentTypeVersion="11" ma:contentTypeDescription="Ein neues Dokument erstellen." ma:contentTypeScope="" ma:versionID="2f78247f9d29d7a4b4e4353903507ced">
  <xsd:schema xmlns:xsd="http://www.w3.org/2001/XMLSchema" xmlns:xs="http://www.w3.org/2001/XMLSchema" xmlns:p="http://schemas.microsoft.com/office/2006/metadata/properties" xmlns:ns2="5e2e0904-5722-4e7b-9c3a-7f1275486772" xmlns:ns3="a47fa6b9-621f-4956-ac60-ed823f5cc434" targetNamespace="http://schemas.microsoft.com/office/2006/metadata/properties" ma:root="true" ma:fieldsID="55b5ecbc422018921681f1d0c7197538" ns2:_="" ns3:_="">
    <xsd:import namespace="5e2e0904-5722-4e7b-9c3a-7f1275486772"/>
    <xsd:import namespace="a47fa6b9-621f-4956-ac60-ed823f5cc4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e0904-5722-4e7b-9c3a-7f1275486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7fa6b9-621f-4956-ac60-ed823f5cc4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0cee8d-6a24-42a5-925f-89081ddcf925}" ma:internalName="TaxCatchAll" ma:showField="CatchAllData" ma:web="a47fa6b9-621f-4956-ac60-ed823f5cc4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7fa6b9-621f-4956-ac60-ed823f5cc434" xsi:nil="true"/>
    <lcf76f155ced4ddcb4097134ff3c332f xmlns="5e2e0904-5722-4e7b-9c3a-7f12754867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64FD6E-59BC-4E89-A58D-8000F7C6B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2e0904-5722-4e7b-9c3a-7f1275486772"/>
    <ds:schemaRef ds:uri="a47fa6b9-621f-4956-ac60-ed823f5cc4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D9C9BD-536A-4E48-9618-B6E2BF2F26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C718C8-7EB5-4AC5-9194-2861F523AC6D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</vt:lpstr>
      <vt:lpstr>Database</vt:lpstr>
      <vt:lpstr>SEC</vt:lpstr>
      <vt:lpstr>Energy demand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Flora von Mikulicz-Radecki</cp:lastModifiedBy>
  <dcterms:created xsi:type="dcterms:W3CDTF">2024-03-04T18:53:53Z</dcterms:created>
  <dcterms:modified xsi:type="dcterms:W3CDTF">2025-01-15T09:48:56Z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0x010100DD6BCE54D0E7EC48B2A794831A41BDDE</vt:lpwstr>
  </property>
</Properties>
</file>