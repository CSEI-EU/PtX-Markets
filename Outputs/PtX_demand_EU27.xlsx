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PtX-Markets-1\Outputs\"/>
    </mc:Choice>
  </mc:AlternateContent>
  <xr:revisionPtr revIDLastSave="0" documentId="13_ncr:1_{DFB0A615-62B3-459E-A119-A0AAB2CA6EA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0" i="1" l="1"/>
  <c r="S40" i="1"/>
  <c r="R40" i="1"/>
  <c r="R39" i="1"/>
  <c r="R38" i="1"/>
  <c r="R37" i="1"/>
  <c r="R36" i="1"/>
  <c r="R35" i="1"/>
  <c r="R34" i="1"/>
  <c r="R33" i="1"/>
  <c r="R32" i="1"/>
  <c r="R31" i="1"/>
  <c r="R30" i="1"/>
  <c r="R29" i="1"/>
  <c r="R27" i="1"/>
  <c r="M38" i="1"/>
  <c r="L38" i="1"/>
  <c r="L30" i="1"/>
  <c r="L31" i="1"/>
  <c r="L32" i="1"/>
  <c r="L33" i="1"/>
  <c r="L34" i="1"/>
  <c r="L35" i="1"/>
  <c r="L36" i="1"/>
  <c r="L37" i="1"/>
  <c r="L39" i="1"/>
  <c r="L40" i="1"/>
  <c r="L41" i="1"/>
  <c r="L42" i="1"/>
  <c r="L43" i="1"/>
  <c r="U61" i="1"/>
  <c r="Q61" i="1"/>
  <c r="R61" i="1"/>
  <c r="S61" i="1"/>
  <c r="T61" i="1"/>
  <c r="P61" i="1"/>
  <c r="C46" i="1"/>
  <c r="M47" i="1"/>
  <c r="N47" i="1"/>
  <c r="O47" i="1"/>
  <c r="P47" i="1"/>
  <c r="Q47" i="1"/>
  <c r="R47" i="1"/>
  <c r="S47" i="1"/>
  <c r="T47" i="1"/>
  <c r="U47" i="1"/>
  <c r="M48" i="1"/>
  <c r="N48" i="1"/>
  <c r="O48" i="1"/>
  <c r="P48" i="1"/>
  <c r="Q48" i="1"/>
  <c r="R48" i="1"/>
  <c r="S48" i="1"/>
  <c r="T48" i="1"/>
  <c r="U48" i="1"/>
  <c r="M49" i="1"/>
  <c r="N49" i="1"/>
  <c r="O49" i="1"/>
  <c r="P49" i="1"/>
  <c r="Q49" i="1"/>
  <c r="R49" i="1"/>
  <c r="S49" i="1"/>
  <c r="T49" i="1"/>
  <c r="U49" i="1"/>
  <c r="M50" i="1"/>
  <c r="N50" i="1"/>
  <c r="O50" i="1"/>
  <c r="P50" i="1"/>
  <c r="Q50" i="1"/>
  <c r="R50" i="1"/>
  <c r="S50" i="1"/>
  <c r="T50" i="1"/>
  <c r="U50" i="1"/>
  <c r="M51" i="1"/>
  <c r="N51" i="1"/>
  <c r="O51" i="1"/>
  <c r="P51" i="1"/>
  <c r="Q51" i="1"/>
  <c r="R51" i="1"/>
  <c r="S51" i="1"/>
  <c r="T51" i="1"/>
  <c r="U51" i="1"/>
  <c r="M52" i="1"/>
  <c r="N52" i="1"/>
  <c r="O52" i="1"/>
  <c r="P52" i="1"/>
  <c r="Q52" i="1"/>
  <c r="R52" i="1"/>
  <c r="S52" i="1"/>
  <c r="T52" i="1"/>
  <c r="U52" i="1"/>
  <c r="M53" i="1"/>
  <c r="N53" i="1"/>
  <c r="O53" i="1"/>
  <c r="P53" i="1"/>
  <c r="Q53" i="1"/>
  <c r="R53" i="1"/>
  <c r="S53" i="1"/>
  <c r="T53" i="1"/>
  <c r="U53" i="1"/>
  <c r="M54" i="1"/>
  <c r="N54" i="1"/>
  <c r="O54" i="1"/>
  <c r="P54" i="1"/>
  <c r="Q54" i="1"/>
  <c r="R54" i="1"/>
  <c r="S54" i="1"/>
  <c r="T54" i="1"/>
  <c r="U54" i="1"/>
  <c r="M55" i="1"/>
  <c r="N55" i="1"/>
  <c r="O55" i="1"/>
  <c r="P55" i="1"/>
  <c r="Q55" i="1"/>
  <c r="R55" i="1"/>
  <c r="S55" i="1"/>
  <c r="T55" i="1"/>
  <c r="U55" i="1"/>
  <c r="M57" i="1"/>
  <c r="N57" i="1"/>
  <c r="O57" i="1"/>
  <c r="P57" i="1"/>
  <c r="Q57" i="1"/>
  <c r="R57" i="1"/>
  <c r="S57" i="1"/>
  <c r="T57" i="1"/>
  <c r="U57" i="1"/>
  <c r="M58" i="1"/>
  <c r="N58" i="1"/>
  <c r="O58" i="1"/>
  <c r="P58" i="1"/>
  <c r="Q58" i="1"/>
  <c r="R58" i="1"/>
  <c r="S58" i="1"/>
  <c r="T58" i="1"/>
  <c r="U58" i="1"/>
  <c r="M59" i="1"/>
  <c r="N59" i="1"/>
  <c r="O59" i="1"/>
  <c r="P59" i="1"/>
  <c r="Q59" i="1"/>
  <c r="R59" i="1"/>
  <c r="S59" i="1"/>
  <c r="T59" i="1"/>
  <c r="U59" i="1"/>
  <c r="N46" i="1"/>
  <c r="O46" i="1"/>
  <c r="P46" i="1"/>
  <c r="Q46" i="1"/>
  <c r="R46" i="1"/>
  <c r="S46" i="1"/>
  <c r="T46" i="1"/>
  <c r="U46" i="1"/>
  <c r="M46" i="1"/>
  <c r="C47" i="1"/>
  <c r="D47" i="1"/>
  <c r="E47" i="1"/>
  <c r="F47" i="1"/>
  <c r="G47" i="1"/>
  <c r="H47" i="1"/>
  <c r="I47" i="1"/>
  <c r="J47" i="1"/>
  <c r="K47" i="1"/>
  <c r="C48" i="1"/>
  <c r="D48" i="1"/>
  <c r="E48" i="1"/>
  <c r="F48" i="1"/>
  <c r="G48" i="1"/>
  <c r="H48" i="1"/>
  <c r="I48" i="1"/>
  <c r="J48" i="1"/>
  <c r="K48" i="1"/>
  <c r="C49" i="1"/>
  <c r="D49" i="1"/>
  <c r="E49" i="1"/>
  <c r="F49" i="1"/>
  <c r="G49" i="1"/>
  <c r="H49" i="1"/>
  <c r="I49" i="1"/>
  <c r="J49" i="1"/>
  <c r="K49" i="1"/>
  <c r="C50" i="1"/>
  <c r="D50" i="1"/>
  <c r="E50" i="1"/>
  <c r="F50" i="1"/>
  <c r="G50" i="1"/>
  <c r="H50" i="1"/>
  <c r="I50" i="1"/>
  <c r="J50" i="1"/>
  <c r="K50" i="1"/>
  <c r="C51" i="1"/>
  <c r="D51" i="1"/>
  <c r="E51" i="1"/>
  <c r="F51" i="1"/>
  <c r="G51" i="1"/>
  <c r="H51" i="1"/>
  <c r="I51" i="1"/>
  <c r="J51" i="1"/>
  <c r="K51" i="1"/>
  <c r="C52" i="1"/>
  <c r="D52" i="1"/>
  <c r="E52" i="1"/>
  <c r="F52" i="1"/>
  <c r="G52" i="1"/>
  <c r="H52" i="1"/>
  <c r="I52" i="1"/>
  <c r="J52" i="1"/>
  <c r="K52" i="1"/>
  <c r="C53" i="1"/>
  <c r="D53" i="1"/>
  <c r="E53" i="1"/>
  <c r="F53" i="1"/>
  <c r="G53" i="1"/>
  <c r="H53" i="1"/>
  <c r="I53" i="1"/>
  <c r="J53" i="1"/>
  <c r="K53" i="1"/>
  <c r="C54" i="1"/>
  <c r="D54" i="1"/>
  <c r="E54" i="1"/>
  <c r="F54" i="1"/>
  <c r="G54" i="1"/>
  <c r="H54" i="1"/>
  <c r="I54" i="1"/>
  <c r="J54" i="1"/>
  <c r="K54" i="1"/>
  <c r="C55" i="1"/>
  <c r="D55" i="1"/>
  <c r="E55" i="1"/>
  <c r="F55" i="1"/>
  <c r="G55" i="1"/>
  <c r="H55" i="1"/>
  <c r="I55" i="1"/>
  <c r="J55" i="1"/>
  <c r="K55" i="1"/>
  <c r="C56" i="1"/>
  <c r="D56" i="1"/>
  <c r="E56" i="1"/>
  <c r="F56" i="1"/>
  <c r="G56" i="1"/>
  <c r="H56" i="1"/>
  <c r="I56" i="1"/>
  <c r="J56" i="1"/>
  <c r="K56" i="1"/>
  <c r="C57" i="1"/>
  <c r="D57" i="1"/>
  <c r="E57" i="1"/>
  <c r="F57" i="1"/>
  <c r="G57" i="1"/>
  <c r="H57" i="1"/>
  <c r="I57" i="1"/>
  <c r="J57" i="1"/>
  <c r="K57" i="1"/>
  <c r="C58" i="1"/>
  <c r="D58" i="1"/>
  <c r="E58" i="1"/>
  <c r="F58" i="1"/>
  <c r="G58" i="1"/>
  <c r="H58" i="1"/>
  <c r="I58" i="1"/>
  <c r="J58" i="1"/>
  <c r="K58" i="1"/>
  <c r="C59" i="1"/>
  <c r="D59" i="1"/>
  <c r="E59" i="1"/>
  <c r="F59" i="1"/>
  <c r="G59" i="1"/>
  <c r="H59" i="1"/>
  <c r="I59" i="1"/>
  <c r="J59" i="1"/>
  <c r="K59" i="1"/>
  <c r="D46" i="1"/>
  <c r="E46" i="1"/>
  <c r="F46" i="1"/>
  <c r="G46" i="1"/>
  <c r="H46" i="1"/>
  <c r="I46" i="1"/>
  <c r="J46" i="1"/>
  <c r="K46" i="1"/>
</calcChain>
</file>

<file path=xl/sharedStrings.xml><?xml version="1.0" encoding="utf-8"?>
<sst xmlns="http://schemas.openxmlformats.org/spreadsheetml/2006/main" count="97" uniqueCount="37">
  <si>
    <t>FuelGroup</t>
  </si>
  <si>
    <t>Year</t>
  </si>
  <si>
    <t>Iron &amp; steel</t>
  </si>
  <si>
    <t>Chemicals</t>
  </si>
  <si>
    <t>Non-metallic minerals</t>
  </si>
  <si>
    <t>Pass Road</t>
  </si>
  <si>
    <t>Pass Rail</t>
  </si>
  <si>
    <t>Pass Aviation</t>
  </si>
  <si>
    <t>Freight Road</t>
  </si>
  <si>
    <t>Freight Rail</t>
  </si>
  <si>
    <t>Maritime</t>
  </si>
  <si>
    <t>Power</t>
  </si>
  <si>
    <t>Hydrogen</t>
  </si>
  <si>
    <t>Methanol</t>
  </si>
  <si>
    <t>Ammonia</t>
  </si>
  <si>
    <t>Synthetic Gases</t>
  </si>
  <si>
    <t>Biogenic Gases</t>
  </si>
  <si>
    <t>Fossil Gases</t>
  </si>
  <si>
    <t>Synthetic Liquids</t>
  </si>
  <si>
    <t>Biogenic Liquids</t>
  </si>
  <si>
    <t>Fossil Liquids</t>
  </si>
  <si>
    <t>Fossil Residuals</t>
  </si>
  <si>
    <t>Biomass [Solid]</t>
  </si>
  <si>
    <t>Renewable Energy Carrier</t>
  </si>
  <si>
    <t>Overall Demand</t>
  </si>
  <si>
    <t>total demand</t>
  </si>
  <si>
    <t>electricity</t>
  </si>
  <si>
    <t>hydrogen</t>
  </si>
  <si>
    <t>methanol</t>
  </si>
  <si>
    <t>ammonia</t>
  </si>
  <si>
    <t>industry</t>
  </si>
  <si>
    <t>fossil kero</t>
  </si>
  <si>
    <t>fossil hfo</t>
  </si>
  <si>
    <t>fossil other</t>
  </si>
  <si>
    <t>renewable avi</t>
  </si>
  <si>
    <t>renewable mari</t>
  </si>
  <si>
    <t>renewable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</si>
</sst>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1"/>
  <sheetViews>
    <sheetView tabSelected="1" workbookViewId="0">
      <pane ySplit="1" topLeftCell="A22" activePane="bottomLeft" state="frozen"/>
      <selection pane="bottomLeft" activeCell="U31" sqref="U31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>
        <v>2030</v>
      </c>
      <c r="C2">
        <v>0.34237438094688682</v>
      </c>
      <c r="D2">
        <v>0.56288165588526429</v>
      </c>
      <c r="E2">
        <v>4.7167767093857109E-2</v>
      </c>
      <c r="F2">
        <v>0.5717885897442716</v>
      </c>
      <c r="G2">
        <v>0.211933108459677</v>
      </c>
      <c r="I2">
        <v>0.2213298425697075</v>
      </c>
      <c r="J2">
        <v>7.0336746713798498E-2</v>
      </c>
    </row>
    <row r="3" spans="1:11" x14ac:dyDescent="0.25">
      <c r="A3" t="s">
        <v>12</v>
      </c>
      <c r="B3">
        <v>2030</v>
      </c>
      <c r="C3">
        <v>4.7676027037362838E-2</v>
      </c>
      <c r="F3">
        <v>2.5642139992221299E-2</v>
      </c>
      <c r="H3">
        <v>9.6507190472473806E-8</v>
      </c>
      <c r="I3">
        <v>1.39364213478969E-2</v>
      </c>
    </row>
    <row r="4" spans="1:11" x14ac:dyDescent="0.25">
      <c r="A4" t="s">
        <v>13</v>
      </c>
      <c r="B4">
        <v>2030</v>
      </c>
      <c r="D4">
        <v>6.3846744243821127E-2</v>
      </c>
    </row>
    <row r="5" spans="1:11" x14ac:dyDescent="0.25">
      <c r="A5" t="s">
        <v>14</v>
      </c>
      <c r="B5">
        <v>2030</v>
      </c>
      <c r="D5">
        <v>0.26061667184066889</v>
      </c>
    </row>
    <row r="6" spans="1:11" x14ac:dyDescent="0.25">
      <c r="A6" t="s">
        <v>15</v>
      </c>
      <c r="B6">
        <v>2030</v>
      </c>
    </row>
    <row r="7" spans="1:11" x14ac:dyDescent="0.25">
      <c r="A7" t="s">
        <v>16</v>
      </c>
      <c r="B7">
        <v>2030</v>
      </c>
      <c r="E7">
        <v>3.1424996356555289E-2</v>
      </c>
      <c r="F7">
        <v>6.8503374306535993E-3</v>
      </c>
      <c r="I7">
        <v>2.7677793200257001E-3</v>
      </c>
    </row>
    <row r="8" spans="1:11" x14ac:dyDescent="0.25">
      <c r="A8" t="s">
        <v>17</v>
      </c>
      <c r="B8">
        <v>2030</v>
      </c>
      <c r="F8">
        <v>9.8701842088077599E-2</v>
      </c>
      <c r="I8">
        <v>1.0762208168197099E-2</v>
      </c>
    </row>
    <row r="9" spans="1:11" x14ac:dyDescent="0.25">
      <c r="A9" t="s">
        <v>18</v>
      </c>
      <c r="B9">
        <v>2030</v>
      </c>
    </row>
    <row r="10" spans="1:11" x14ac:dyDescent="0.25">
      <c r="A10" t="s">
        <v>19</v>
      </c>
      <c r="B10">
        <v>2030</v>
      </c>
      <c r="F10">
        <v>0.46010547221757808</v>
      </c>
      <c r="G10">
        <v>5.2338328056217003E-3</v>
      </c>
      <c r="H10">
        <v>0.1516791261017478</v>
      </c>
      <c r="I10">
        <v>0.50560341359295102</v>
      </c>
      <c r="J10">
        <v>7.7615983989882996E-3</v>
      </c>
      <c r="K10">
        <v>0.1942107263741033</v>
      </c>
    </row>
    <row r="11" spans="1:11" x14ac:dyDescent="0.25">
      <c r="A11" t="s">
        <v>20</v>
      </c>
      <c r="B11">
        <v>2030</v>
      </c>
      <c r="F11">
        <v>4.674368493966905</v>
      </c>
      <c r="G11">
        <v>3.6860349654078597E-2</v>
      </c>
      <c r="H11">
        <v>1.366319886400831</v>
      </c>
      <c r="I11">
        <v>3.2122113357779898</v>
      </c>
      <c r="J11">
        <v>4.6980971438075302E-2</v>
      </c>
      <c r="K11">
        <v>1.8533294677556611</v>
      </c>
    </row>
    <row r="12" spans="1:11" x14ac:dyDescent="0.25">
      <c r="A12" t="s">
        <v>21</v>
      </c>
      <c r="B12">
        <v>2030</v>
      </c>
      <c r="C12">
        <v>0.42908424333626549</v>
      </c>
      <c r="E12">
        <v>0.51080148572786532</v>
      </c>
    </row>
    <row r="13" spans="1:11" x14ac:dyDescent="0.25">
      <c r="A13" t="s">
        <v>22</v>
      </c>
      <c r="B13">
        <v>2030</v>
      </c>
      <c r="E13">
        <v>0.19163654764120799</v>
      </c>
    </row>
    <row r="14" spans="1:11" x14ac:dyDescent="0.25">
      <c r="A14" t="s">
        <v>23</v>
      </c>
      <c r="B14">
        <v>2030</v>
      </c>
      <c r="E14">
        <v>2.5330724279874199E-2</v>
      </c>
    </row>
    <row r="15" spans="1:11" x14ac:dyDescent="0.25">
      <c r="A15" t="s">
        <v>24</v>
      </c>
      <c r="B15">
        <v>2030</v>
      </c>
      <c r="C15">
        <v>0.81913465132051511</v>
      </c>
      <c r="D15">
        <v>0.88734507196975432</v>
      </c>
      <c r="E15">
        <v>0.80636152109935999</v>
      </c>
      <c r="F15">
        <v>5.8374568754397069</v>
      </c>
      <c r="G15">
        <v>0.25402729091937731</v>
      </c>
      <c r="H15">
        <v>1.5179991090097691</v>
      </c>
      <c r="I15">
        <v>3.9666110007767679</v>
      </c>
      <c r="J15">
        <v>0.1250793165508621</v>
      </c>
      <c r="K15">
        <v>2.047540194129764</v>
      </c>
    </row>
    <row r="16" spans="1:11" x14ac:dyDescent="0.25">
      <c r="A16" t="s">
        <v>11</v>
      </c>
      <c r="B16">
        <v>2040</v>
      </c>
      <c r="C16">
        <v>0.3195504680691143</v>
      </c>
      <c r="D16">
        <v>0.54660102910956643</v>
      </c>
      <c r="E16">
        <v>4.2671783525145522E-2</v>
      </c>
      <c r="F16">
        <v>1.62173211576467</v>
      </c>
      <c r="G16">
        <v>0.248723050765084</v>
      </c>
      <c r="I16">
        <v>0.77918348598963405</v>
      </c>
      <c r="J16">
        <v>6.9368377634637393E-2</v>
      </c>
    </row>
    <row r="17" spans="1:18" x14ac:dyDescent="0.25">
      <c r="A17" t="s">
        <v>12</v>
      </c>
      <c r="B17">
        <v>2040</v>
      </c>
      <c r="C17">
        <v>0.16678272079767059</v>
      </c>
      <c r="F17">
        <v>0.123828508066068</v>
      </c>
      <c r="H17">
        <v>8.0787177719651394E-6</v>
      </c>
      <c r="I17">
        <v>2.06731691200213E-2</v>
      </c>
    </row>
    <row r="18" spans="1:18" x14ac:dyDescent="0.25">
      <c r="A18" t="s">
        <v>13</v>
      </c>
      <c r="B18">
        <v>2040</v>
      </c>
      <c r="D18">
        <v>6.8619348005118708E-2</v>
      </c>
    </row>
    <row r="19" spans="1:18" x14ac:dyDescent="0.25">
      <c r="A19" t="s">
        <v>14</v>
      </c>
      <c r="B19">
        <v>2040</v>
      </c>
      <c r="D19">
        <v>0.28009801146127128</v>
      </c>
    </row>
    <row r="20" spans="1:18" x14ac:dyDescent="0.25">
      <c r="A20" t="s">
        <v>15</v>
      </c>
      <c r="B20">
        <v>2040</v>
      </c>
      <c r="F20">
        <v>4.4303420184976151E-8</v>
      </c>
      <c r="I20">
        <v>6.5910782188662802E-9</v>
      </c>
    </row>
    <row r="21" spans="1:18" x14ac:dyDescent="0.25">
      <c r="A21" t="s">
        <v>16</v>
      </c>
      <c r="B21">
        <v>2040</v>
      </c>
      <c r="E21">
        <v>0.10447977558179219</v>
      </c>
      <c r="F21">
        <v>8.690389568844499E-3</v>
      </c>
      <c r="I21">
        <v>4.5405627177267996E-3</v>
      </c>
    </row>
    <row r="22" spans="1:18" x14ac:dyDescent="0.25">
      <c r="A22" t="s">
        <v>17</v>
      </c>
      <c r="B22">
        <v>2040</v>
      </c>
      <c r="F22">
        <v>5.2638737077959699E-2</v>
      </c>
      <c r="I22">
        <v>1.14723959868434E-2</v>
      </c>
    </row>
    <row r="23" spans="1:18" x14ac:dyDescent="0.25">
      <c r="A23" t="s">
        <v>18</v>
      </c>
      <c r="B23">
        <v>2040</v>
      </c>
    </row>
    <row r="24" spans="1:18" x14ac:dyDescent="0.25">
      <c r="A24" t="s">
        <v>19</v>
      </c>
      <c r="B24">
        <v>2040</v>
      </c>
      <c r="F24">
        <v>0.1976866876306986</v>
      </c>
      <c r="G24">
        <v>8.5320109238374003E-3</v>
      </c>
      <c r="H24">
        <v>0.19123669035028501</v>
      </c>
      <c r="I24">
        <v>0.33677439709497098</v>
      </c>
      <c r="J24">
        <v>9.4290823600573E-3</v>
      </c>
      <c r="K24">
        <v>0.22309989470770381</v>
      </c>
    </row>
    <row r="25" spans="1:18" x14ac:dyDescent="0.25">
      <c r="A25" t="s">
        <v>20</v>
      </c>
      <c r="B25">
        <v>2040</v>
      </c>
      <c r="F25">
        <v>1.3001943122468189</v>
      </c>
      <c r="G25">
        <v>3.9626925208604599E-2</v>
      </c>
      <c r="H25">
        <v>1.2911108460478851</v>
      </c>
      <c r="I25">
        <v>1.4487218112481759</v>
      </c>
      <c r="J25">
        <v>4.1691408996178903E-2</v>
      </c>
      <c r="K25">
        <v>1.7863736469610669</v>
      </c>
    </row>
    <row r="26" spans="1:18" x14ac:dyDescent="0.25">
      <c r="A26" t="s">
        <v>21</v>
      </c>
      <c r="B26">
        <v>2040</v>
      </c>
      <c r="C26">
        <v>0.2501740811965058</v>
      </c>
      <c r="D26">
        <v>1.3096723705530171E-17</v>
      </c>
      <c r="E26">
        <v>0.2734504175289143</v>
      </c>
    </row>
    <row r="27" spans="1:18" x14ac:dyDescent="0.25">
      <c r="A27" t="s">
        <v>22</v>
      </c>
      <c r="B27">
        <v>2040</v>
      </c>
      <c r="E27">
        <v>0.18013644876315141</v>
      </c>
      <c r="P27" t="s">
        <v>25</v>
      </c>
      <c r="R27">
        <f>SUM(C43:K43)</f>
        <v>9.6990075916672644</v>
      </c>
    </row>
    <row r="28" spans="1:18" x14ac:dyDescent="0.25">
      <c r="A28" t="s">
        <v>23</v>
      </c>
      <c r="B28">
        <v>2040</v>
      </c>
      <c r="E28">
        <v>7.7820502770817382E-2</v>
      </c>
    </row>
    <row r="29" spans="1:18" x14ac:dyDescent="0.25">
      <c r="A29" t="s">
        <v>24</v>
      </c>
      <c r="B29">
        <v>2040</v>
      </c>
      <c r="C29">
        <v>0.73650727006329064</v>
      </c>
      <c r="D29">
        <v>0.89531838857595647</v>
      </c>
      <c r="E29">
        <v>0.67855892816982077</v>
      </c>
      <c r="F29">
        <v>3.3047707946584799</v>
      </c>
      <c r="G29">
        <v>0.29688198689752598</v>
      </c>
      <c r="H29">
        <v>1.482355615115942</v>
      </c>
      <c r="I29">
        <v>2.6013658287484511</v>
      </c>
      <c r="J29">
        <v>0.1204888689908736</v>
      </c>
      <c r="K29">
        <v>2.009473541668771</v>
      </c>
      <c r="P29" t="s">
        <v>26</v>
      </c>
      <c r="R29">
        <f>SUM(C30:K30)</f>
        <v>4.2724288412447713</v>
      </c>
    </row>
    <row r="30" spans="1:18" x14ac:dyDescent="0.25">
      <c r="A30" t="s">
        <v>11</v>
      </c>
      <c r="B30">
        <v>2050</v>
      </c>
      <c r="C30">
        <v>0.2968169652340385</v>
      </c>
      <c r="D30">
        <v>0.53038489312341031</v>
      </c>
      <c r="E30">
        <v>3.8193609438470923E-2</v>
      </c>
      <c r="F30">
        <v>1.886339370312639</v>
      </c>
      <c r="G30">
        <v>0.27931453234550202</v>
      </c>
      <c r="I30">
        <v>1.170531877660387</v>
      </c>
      <c r="J30">
        <v>7.0847593130324293E-2</v>
      </c>
      <c r="L30">
        <f>SUM(C30:K30)</f>
        <v>4.2724288412447713</v>
      </c>
      <c r="P30" t="s">
        <v>27</v>
      </c>
      <c r="R30">
        <f>SUM(C31:K31)</f>
        <v>0.56192019552750105</v>
      </c>
    </row>
    <row r="31" spans="1:18" x14ac:dyDescent="0.25">
      <c r="A31" t="s">
        <v>12</v>
      </c>
      <c r="B31">
        <v>2050</v>
      </c>
      <c r="C31">
        <v>0.35739022700625411</v>
      </c>
      <c r="F31">
        <v>0.17146597247717449</v>
      </c>
      <c r="H31">
        <v>1.369277589573568E-5</v>
      </c>
      <c r="I31">
        <v>3.3050303268176699E-2</v>
      </c>
      <c r="L31">
        <f t="shared" ref="L31:L43" si="0">SUM(C31:K31)</f>
        <v>0.56192019552750105</v>
      </c>
      <c r="P31" t="s">
        <v>28</v>
      </c>
      <c r="R31">
        <f>SUM(C32:K32)</f>
        <v>7.3373046536969175E-2</v>
      </c>
    </row>
    <row r="32" spans="1:18" x14ac:dyDescent="0.25">
      <c r="A32" t="s">
        <v>13</v>
      </c>
      <c r="B32">
        <v>2050</v>
      </c>
      <c r="D32">
        <v>7.3373046536969175E-2</v>
      </c>
      <c r="L32">
        <f t="shared" si="0"/>
        <v>7.3373046536969175E-2</v>
      </c>
      <c r="P32" t="s">
        <v>29</v>
      </c>
      <c r="R32">
        <f>SUM(C33:K33)</f>
        <v>0.29950218163435949</v>
      </c>
    </row>
    <row r="33" spans="1:21" x14ac:dyDescent="0.25">
      <c r="A33" t="s">
        <v>14</v>
      </c>
      <c r="B33">
        <v>2050</v>
      </c>
      <c r="D33">
        <v>0.29950218163435949</v>
      </c>
      <c r="L33">
        <f t="shared" si="0"/>
        <v>0.29950218163435949</v>
      </c>
      <c r="P33" t="s">
        <v>30</v>
      </c>
      <c r="R33">
        <f>SUM(E31:E42)</f>
        <v>0.51377689779477087</v>
      </c>
    </row>
    <row r="34" spans="1:21" x14ac:dyDescent="0.25">
      <c r="A34" t="s">
        <v>15</v>
      </c>
      <c r="B34">
        <v>2050</v>
      </c>
      <c r="F34">
        <v>3.2525690002328469E-7</v>
      </c>
      <c r="I34">
        <v>1.8065238002772889E-7</v>
      </c>
      <c r="L34">
        <f t="shared" si="0"/>
        <v>5.0590928005101361E-7</v>
      </c>
      <c r="P34" t="s">
        <v>31</v>
      </c>
      <c r="R34">
        <f>H39</f>
        <v>1.142093803362813</v>
      </c>
    </row>
    <row r="35" spans="1:21" x14ac:dyDescent="0.25">
      <c r="A35" t="s">
        <v>16</v>
      </c>
      <c r="B35">
        <v>2050</v>
      </c>
      <c r="E35">
        <v>0.21107085496397571</v>
      </c>
      <c r="F35">
        <v>1.3688136789312001E-3</v>
      </c>
      <c r="I35">
        <v>1.2880990814708999E-3</v>
      </c>
      <c r="L35">
        <f t="shared" si="0"/>
        <v>0.21372776772437782</v>
      </c>
      <c r="P35" t="s">
        <v>32</v>
      </c>
      <c r="R35">
        <f>K39</f>
        <v>1.65236904005886</v>
      </c>
    </row>
    <row r="36" spans="1:21" x14ac:dyDescent="0.25">
      <c r="A36" t="s">
        <v>17</v>
      </c>
      <c r="B36">
        <v>2050</v>
      </c>
      <c r="F36">
        <v>2.8056621233244999E-3</v>
      </c>
      <c r="I36">
        <v>4.1978333161223997E-3</v>
      </c>
      <c r="L36">
        <f t="shared" si="0"/>
        <v>7.0034954394468992E-3</v>
      </c>
      <c r="P36" t="s">
        <v>33</v>
      </c>
      <c r="R36">
        <f>SUM(F39:G39,I39:J39)</f>
        <v>0.45896103753004169</v>
      </c>
    </row>
    <row r="37" spans="1:21" x14ac:dyDescent="0.25">
      <c r="A37" t="s">
        <v>18</v>
      </c>
      <c r="B37">
        <v>2050</v>
      </c>
      <c r="F37">
        <v>2.1705420888765289E-9</v>
      </c>
      <c r="G37">
        <v>3.1418784714932299E-10</v>
      </c>
      <c r="H37">
        <v>6.8288786856587963E-9</v>
      </c>
      <c r="I37">
        <v>5.5001581490309914E-9</v>
      </c>
      <c r="J37">
        <v>6.4578141642183495E-11</v>
      </c>
      <c r="K37">
        <v>1.7697254362635651E-8</v>
      </c>
      <c r="L37">
        <f t="shared" si="0"/>
        <v>3.2575599274993476E-8</v>
      </c>
      <c r="P37" t="s">
        <v>34</v>
      </c>
      <c r="R37">
        <f>SUM(H37:H38)</f>
        <v>0.25872273083359471</v>
      </c>
    </row>
    <row r="38" spans="1:21" x14ac:dyDescent="0.25">
      <c r="A38" t="s">
        <v>19</v>
      </c>
      <c r="B38">
        <v>2050</v>
      </c>
      <c r="F38">
        <v>2.55555178060996E-2</v>
      </c>
      <c r="G38">
        <v>1.5245205543570201E-2</v>
      </c>
      <c r="H38">
        <v>0.25872272400471602</v>
      </c>
      <c r="I38">
        <v>8.705103431697761E-2</v>
      </c>
      <c r="J38">
        <v>1.21272930583278E-2</v>
      </c>
      <c r="K38">
        <v>0.31621982656275671</v>
      </c>
      <c r="L38">
        <f>SUM(C38:K38)</f>
        <v>0.71492160129244797</v>
      </c>
      <c r="M38" s="2">
        <f>L38/SUM(F30:K39)</f>
        <v>9.4197908823989263E-2</v>
      </c>
      <c r="P38" t="s">
        <v>35</v>
      </c>
      <c r="R38">
        <f>SUM(K37:K38)</f>
        <v>0.3162198442600111</v>
      </c>
    </row>
    <row r="39" spans="1:21" x14ac:dyDescent="0.25">
      <c r="A39" t="s">
        <v>20</v>
      </c>
      <c r="B39">
        <v>2050</v>
      </c>
      <c r="F39">
        <v>0.13056168677823929</v>
      </c>
      <c r="G39">
        <v>3.5741808323865198E-2</v>
      </c>
      <c r="H39">
        <v>1.142093803362813</v>
      </c>
      <c r="I39">
        <v>0.25677162471406001</v>
      </c>
      <c r="J39">
        <v>3.5885917713877197E-2</v>
      </c>
      <c r="K39">
        <v>1.65236904005886</v>
      </c>
      <c r="L39">
        <f t="shared" si="0"/>
        <v>3.2534238809517149</v>
      </c>
      <c r="P39" t="s">
        <v>36</v>
      </c>
      <c r="R39">
        <f>SUM(F37:G38,I37:J38)</f>
        <v>0.13997905877444144</v>
      </c>
    </row>
    <row r="40" spans="1:21" x14ac:dyDescent="0.25">
      <c r="A40" t="s">
        <v>21</v>
      </c>
      <c r="B40">
        <v>2050</v>
      </c>
      <c r="L40">
        <f t="shared" si="0"/>
        <v>0</v>
      </c>
      <c r="R40">
        <f>SUM(R29:R39)</f>
        <v>9.6893466775581345</v>
      </c>
      <c r="S40">
        <f>R40/R27</f>
        <v>0.99900392756497791</v>
      </c>
      <c r="T40" s="3">
        <f>1-S40</f>
        <v>9.9607243502208842E-4</v>
      </c>
    </row>
    <row r="41" spans="1:21" x14ac:dyDescent="0.25">
      <c r="A41" t="s">
        <v>22</v>
      </c>
      <c r="B41">
        <v>2050</v>
      </c>
      <c r="E41">
        <v>0.15615903931060041</v>
      </c>
      <c r="L41">
        <f t="shared" si="0"/>
        <v>0.15615903931060041</v>
      </c>
    </row>
    <row r="42" spans="1:21" x14ac:dyDescent="0.25">
      <c r="A42" t="s">
        <v>23</v>
      </c>
      <c r="B42">
        <v>2050</v>
      </c>
      <c r="E42">
        <v>0.14654700352019481</v>
      </c>
      <c r="L42">
        <f t="shared" si="0"/>
        <v>0.14654700352019481</v>
      </c>
    </row>
    <row r="43" spans="1:21" x14ac:dyDescent="0.25">
      <c r="A43" t="s">
        <v>24</v>
      </c>
      <c r="B43">
        <v>2050</v>
      </c>
      <c r="C43">
        <v>0.65420719224029256</v>
      </c>
      <c r="D43">
        <v>0.90326012129473898</v>
      </c>
      <c r="E43">
        <v>0.55197050723324181</v>
      </c>
      <c r="F43">
        <v>2.218097350603851</v>
      </c>
      <c r="G43">
        <v>0.33030154652712529</v>
      </c>
      <c r="H43">
        <v>1.400830226972303</v>
      </c>
      <c r="I43">
        <v>1.552890958509733</v>
      </c>
      <c r="J43">
        <v>0.1188608039671074</v>
      </c>
      <c r="K43">
        <v>1.968588884318871</v>
      </c>
      <c r="L43">
        <f t="shared" si="0"/>
        <v>9.6990075916672644</v>
      </c>
    </row>
    <row r="45" spans="1:21" x14ac:dyDescent="0.25">
      <c r="C45" s="1" t="s">
        <v>2</v>
      </c>
      <c r="D45" s="1" t="s">
        <v>3</v>
      </c>
      <c r="E45" s="1" t="s">
        <v>4</v>
      </c>
      <c r="F45" s="1" t="s">
        <v>5</v>
      </c>
      <c r="G45" s="1" t="s">
        <v>6</v>
      </c>
      <c r="H45" s="1" t="s">
        <v>7</v>
      </c>
      <c r="I45" s="1" t="s">
        <v>8</v>
      </c>
      <c r="J45" s="1" t="s">
        <v>9</v>
      </c>
      <c r="K45" s="1" t="s">
        <v>10</v>
      </c>
      <c r="M45" s="1" t="s">
        <v>2</v>
      </c>
      <c r="N45" s="1" t="s">
        <v>3</v>
      </c>
      <c r="O45" s="1" t="s">
        <v>4</v>
      </c>
      <c r="P45" s="1" t="s">
        <v>5</v>
      </c>
      <c r="Q45" s="1" t="s">
        <v>6</v>
      </c>
      <c r="R45" s="1" t="s">
        <v>7</v>
      </c>
      <c r="S45" s="1" t="s">
        <v>8</v>
      </c>
      <c r="T45" s="1" t="s">
        <v>9</v>
      </c>
      <c r="U45" s="1" t="s">
        <v>10</v>
      </c>
    </row>
    <row r="46" spans="1:21" x14ac:dyDescent="0.25">
      <c r="A46" t="s">
        <v>11</v>
      </c>
      <c r="B46">
        <v>2050</v>
      </c>
      <c r="C46" s="2">
        <f>C30/C$43</f>
        <v>0.45370483350634977</v>
      </c>
      <c r="D46" s="2">
        <f t="shared" ref="D46:K46" si="1">D30/D$43</f>
        <v>0.58718953778580762</v>
      </c>
      <c r="E46" s="2">
        <f t="shared" si="1"/>
        <v>6.9195018461976898E-2</v>
      </c>
      <c r="F46" s="2">
        <f t="shared" si="1"/>
        <v>0.8504312805743649</v>
      </c>
      <c r="G46" s="2">
        <f t="shared" si="1"/>
        <v>0.84563495170484748</v>
      </c>
      <c r="H46" s="2">
        <f t="shared" si="1"/>
        <v>0</v>
      </c>
      <c r="I46" s="2">
        <f t="shared" si="1"/>
        <v>0.75377596298436467</v>
      </c>
      <c r="J46" s="2">
        <f t="shared" si="1"/>
        <v>0.59605513984181113</v>
      </c>
      <c r="K46" s="2">
        <f t="shared" si="1"/>
        <v>0</v>
      </c>
      <c r="M46" s="2">
        <f>C30/SUM($C30:$K30)</f>
        <v>6.9472652737631299E-2</v>
      </c>
      <c r="N46" s="2">
        <f t="shared" ref="N46:U46" si="2">D30/SUM($C30:$K30)</f>
        <v>0.12414130529295903</v>
      </c>
      <c r="O46" s="2">
        <f t="shared" si="2"/>
        <v>8.9395542577002229E-3</v>
      </c>
      <c r="P46" s="2">
        <f t="shared" si="2"/>
        <v>0.44151452028936644</v>
      </c>
      <c r="Q46" s="2">
        <f t="shared" si="2"/>
        <v>6.5376052527565037E-2</v>
      </c>
      <c r="R46" s="2">
        <f t="shared" si="2"/>
        <v>0</v>
      </c>
      <c r="S46" s="2">
        <f t="shared" si="2"/>
        <v>0.2739734050946423</v>
      </c>
      <c r="T46" s="2">
        <f t="shared" si="2"/>
        <v>1.6582509800135807E-2</v>
      </c>
      <c r="U46" s="2">
        <f t="shared" si="2"/>
        <v>0</v>
      </c>
    </row>
    <row r="47" spans="1:21" x14ac:dyDescent="0.25">
      <c r="A47" t="s">
        <v>12</v>
      </c>
      <c r="B47">
        <v>2050</v>
      </c>
      <c r="C47" s="2">
        <f t="shared" ref="C47:K47" si="3">C31/C$43</f>
        <v>0.54629516649365029</v>
      </c>
      <c r="D47" s="2">
        <f t="shared" si="3"/>
        <v>0</v>
      </c>
      <c r="E47" s="2">
        <f t="shared" si="3"/>
        <v>0</v>
      </c>
      <c r="F47" s="2">
        <f t="shared" si="3"/>
        <v>7.7303177171414453E-2</v>
      </c>
      <c r="G47" s="2">
        <f t="shared" si="3"/>
        <v>0</v>
      </c>
      <c r="H47" s="2">
        <f t="shared" si="3"/>
        <v>9.7747575916681099E-6</v>
      </c>
      <c r="I47" s="2">
        <f t="shared" si="3"/>
        <v>2.1283080493877157E-2</v>
      </c>
      <c r="J47" s="2">
        <f t="shared" si="3"/>
        <v>0</v>
      </c>
      <c r="K47" s="2">
        <f t="shared" si="3"/>
        <v>0</v>
      </c>
      <c r="M47" s="2">
        <f t="shared" ref="M47:M59" si="4">C31/SUM($C31:$K31)</f>
        <v>0.63601598563432127</v>
      </c>
      <c r="N47" s="2">
        <f t="shared" ref="N47:N59" si="5">D31/SUM($C31:$K31)</f>
        <v>0</v>
      </c>
      <c r="O47" s="2">
        <f t="shared" ref="O47:O59" si="6">E31/SUM($C31:$K31)</f>
        <v>0</v>
      </c>
      <c r="P47" s="2">
        <f t="shared" ref="P47:P59" si="7">F31/SUM($C31:$K31)</f>
        <v>0.30514292570711271</v>
      </c>
      <c r="Q47" s="2">
        <f t="shared" ref="Q47:Q59" si="8">G31/SUM($C31:$K31)</f>
        <v>0</v>
      </c>
      <c r="R47" s="2">
        <f t="shared" ref="R47:R59" si="9">H31/SUM($C31:$K31)</f>
        <v>2.4367830173609661E-5</v>
      </c>
      <c r="S47" s="2">
        <f t="shared" ref="S47:S59" si="10">I31/SUM($C31:$K31)</f>
        <v>5.8816720828392399E-2</v>
      </c>
      <c r="T47" s="2">
        <f t="shared" ref="T47:T59" si="11">J31/SUM($C31:$K31)</f>
        <v>0</v>
      </c>
      <c r="U47" s="2">
        <f t="shared" ref="U47:U59" si="12">K31/SUM($C31:$K31)</f>
        <v>0</v>
      </c>
    </row>
    <row r="48" spans="1:21" x14ac:dyDescent="0.25">
      <c r="A48" t="s">
        <v>13</v>
      </c>
      <c r="B48">
        <v>2050</v>
      </c>
      <c r="C48" s="2">
        <f t="shared" ref="C48:K48" si="13">C32/C$43</f>
        <v>0</v>
      </c>
      <c r="D48" s="2">
        <f t="shared" si="13"/>
        <v>8.1231358284472657E-2</v>
      </c>
      <c r="E48" s="2">
        <f t="shared" si="13"/>
        <v>0</v>
      </c>
      <c r="F48" s="2">
        <f t="shared" si="13"/>
        <v>0</v>
      </c>
      <c r="G48" s="2">
        <f t="shared" si="13"/>
        <v>0</v>
      </c>
      <c r="H48" s="2">
        <f t="shared" si="13"/>
        <v>0</v>
      </c>
      <c r="I48" s="2">
        <f t="shared" si="13"/>
        <v>0</v>
      </c>
      <c r="J48" s="2">
        <f t="shared" si="13"/>
        <v>0</v>
      </c>
      <c r="K48" s="2">
        <f t="shared" si="13"/>
        <v>0</v>
      </c>
      <c r="M48" s="2">
        <f t="shared" si="4"/>
        <v>0</v>
      </c>
      <c r="N48" s="2">
        <f t="shared" si="5"/>
        <v>1</v>
      </c>
      <c r="O48" s="2">
        <f t="shared" si="6"/>
        <v>0</v>
      </c>
      <c r="P48" s="2">
        <f t="shared" si="7"/>
        <v>0</v>
      </c>
      <c r="Q48" s="2">
        <f t="shared" si="8"/>
        <v>0</v>
      </c>
      <c r="R48" s="2">
        <f t="shared" si="9"/>
        <v>0</v>
      </c>
      <c r="S48" s="2">
        <f t="shared" si="10"/>
        <v>0</v>
      </c>
      <c r="T48" s="2">
        <f t="shared" si="11"/>
        <v>0</v>
      </c>
      <c r="U48" s="2">
        <f t="shared" si="12"/>
        <v>0</v>
      </c>
    </row>
    <row r="49" spans="1:21" x14ac:dyDescent="0.25">
      <c r="A49" t="s">
        <v>14</v>
      </c>
      <c r="B49">
        <v>2050</v>
      </c>
      <c r="C49" s="2">
        <f t="shared" ref="C49:K49" si="14">C33/C$43</f>
        <v>0</v>
      </c>
      <c r="D49" s="2">
        <f t="shared" si="14"/>
        <v>0.33157910392971973</v>
      </c>
      <c r="E49" s="2">
        <f t="shared" si="14"/>
        <v>0</v>
      </c>
      <c r="F49" s="2">
        <f t="shared" si="14"/>
        <v>0</v>
      </c>
      <c r="G49" s="2">
        <f t="shared" si="14"/>
        <v>0</v>
      </c>
      <c r="H49" s="2">
        <f t="shared" si="14"/>
        <v>0</v>
      </c>
      <c r="I49" s="2">
        <f t="shared" si="14"/>
        <v>0</v>
      </c>
      <c r="J49" s="2">
        <f t="shared" si="14"/>
        <v>0</v>
      </c>
      <c r="K49" s="2">
        <f t="shared" si="14"/>
        <v>0</v>
      </c>
      <c r="M49" s="2">
        <f t="shared" si="4"/>
        <v>0</v>
      </c>
      <c r="N49" s="2">
        <f t="shared" si="5"/>
        <v>1</v>
      </c>
      <c r="O49" s="2">
        <f t="shared" si="6"/>
        <v>0</v>
      </c>
      <c r="P49" s="2">
        <f t="shared" si="7"/>
        <v>0</v>
      </c>
      <c r="Q49" s="2">
        <f t="shared" si="8"/>
        <v>0</v>
      </c>
      <c r="R49" s="2">
        <f t="shared" si="9"/>
        <v>0</v>
      </c>
      <c r="S49" s="2">
        <f t="shared" si="10"/>
        <v>0</v>
      </c>
      <c r="T49" s="2">
        <f t="shared" si="11"/>
        <v>0</v>
      </c>
      <c r="U49" s="2">
        <f t="shared" si="12"/>
        <v>0</v>
      </c>
    </row>
    <row r="50" spans="1:21" x14ac:dyDescent="0.25">
      <c r="A50" t="s">
        <v>15</v>
      </c>
      <c r="B50">
        <v>2050</v>
      </c>
      <c r="C50" s="2">
        <f t="shared" ref="C50:K50" si="15">C34/C$43</f>
        <v>0</v>
      </c>
      <c r="D50" s="2">
        <f t="shared" si="15"/>
        <v>0</v>
      </c>
      <c r="E50" s="2">
        <f t="shared" si="15"/>
        <v>0</v>
      </c>
      <c r="F50" s="2">
        <f t="shared" si="15"/>
        <v>1.4663779294210748E-7</v>
      </c>
      <c r="G50" s="2">
        <f t="shared" si="15"/>
        <v>0</v>
      </c>
      <c r="H50" s="2">
        <f t="shared" si="15"/>
        <v>0</v>
      </c>
      <c r="I50" s="2">
        <f t="shared" si="15"/>
        <v>1.1633294600484765E-7</v>
      </c>
      <c r="J50" s="2">
        <f t="shared" si="15"/>
        <v>0</v>
      </c>
      <c r="K50" s="2">
        <f t="shared" si="15"/>
        <v>0</v>
      </c>
      <c r="M50" s="2">
        <f t="shared" si="4"/>
        <v>0</v>
      </c>
      <c r="N50" s="2">
        <f t="shared" si="5"/>
        <v>0</v>
      </c>
      <c r="O50" s="2">
        <f t="shared" si="6"/>
        <v>0</v>
      </c>
      <c r="P50" s="2">
        <f t="shared" si="7"/>
        <v>0.64291546498314334</v>
      </c>
      <c r="Q50" s="2">
        <f t="shared" si="8"/>
        <v>0</v>
      </c>
      <c r="R50" s="2">
        <f t="shared" si="9"/>
        <v>0</v>
      </c>
      <c r="S50" s="2">
        <f t="shared" si="10"/>
        <v>0.35708453501685661</v>
      </c>
      <c r="T50" s="2">
        <f t="shared" si="11"/>
        <v>0</v>
      </c>
      <c r="U50" s="2">
        <f t="shared" si="12"/>
        <v>0</v>
      </c>
    </row>
    <row r="51" spans="1:21" x14ac:dyDescent="0.25">
      <c r="A51" t="s">
        <v>16</v>
      </c>
      <c r="B51">
        <v>2050</v>
      </c>
      <c r="C51" s="2">
        <f t="shared" ref="C51:K51" si="16">C35/C$43</f>
        <v>0</v>
      </c>
      <c r="D51" s="2">
        <f t="shared" si="16"/>
        <v>0</v>
      </c>
      <c r="E51" s="2">
        <f t="shared" si="16"/>
        <v>0.38239516821645175</v>
      </c>
      <c r="F51" s="2">
        <f t="shared" si="16"/>
        <v>6.1711163333681295E-4</v>
      </c>
      <c r="G51" s="2">
        <f t="shared" si="16"/>
        <v>0</v>
      </c>
      <c r="H51" s="2">
        <f t="shared" si="16"/>
        <v>0</v>
      </c>
      <c r="I51" s="2">
        <f t="shared" si="16"/>
        <v>8.2948456516679923E-4</v>
      </c>
      <c r="J51" s="2">
        <f t="shared" si="16"/>
        <v>0</v>
      </c>
      <c r="K51" s="2">
        <f t="shared" si="16"/>
        <v>0</v>
      </c>
      <c r="M51" s="2">
        <f t="shared" si="4"/>
        <v>0</v>
      </c>
      <c r="N51" s="2">
        <f t="shared" si="5"/>
        <v>0</v>
      </c>
      <c r="O51" s="2">
        <f t="shared" si="6"/>
        <v>0.98756870579480127</v>
      </c>
      <c r="P51" s="2">
        <f t="shared" si="7"/>
        <v>6.4044728184145675E-3</v>
      </c>
      <c r="Q51" s="2">
        <f t="shared" si="8"/>
        <v>0</v>
      </c>
      <c r="R51" s="2">
        <f t="shared" si="9"/>
        <v>0</v>
      </c>
      <c r="S51" s="2">
        <f t="shared" si="10"/>
        <v>6.0268213867840778E-3</v>
      </c>
      <c r="T51" s="2">
        <f t="shared" si="11"/>
        <v>0</v>
      </c>
      <c r="U51" s="2">
        <f t="shared" si="12"/>
        <v>0</v>
      </c>
    </row>
    <row r="52" spans="1:21" x14ac:dyDescent="0.25">
      <c r="A52" t="s">
        <v>17</v>
      </c>
      <c r="B52">
        <v>2050</v>
      </c>
      <c r="C52" s="2">
        <f t="shared" ref="C52:K52" si="17">C36/C$43</f>
        <v>0</v>
      </c>
      <c r="D52" s="2">
        <f t="shared" si="17"/>
        <v>0</v>
      </c>
      <c r="E52" s="2">
        <f t="shared" si="17"/>
        <v>0</v>
      </c>
      <c r="F52" s="2">
        <f t="shared" si="17"/>
        <v>1.2648958453337006E-3</v>
      </c>
      <c r="G52" s="2">
        <f t="shared" si="17"/>
        <v>0</v>
      </c>
      <c r="H52" s="2">
        <f t="shared" si="17"/>
        <v>0</v>
      </c>
      <c r="I52" s="2">
        <f t="shared" si="17"/>
        <v>2.7032376569124631E-3</v>
      </c>
      <c r="J52" s="2">
        <f t="shared" si="17"/>
        <v>0</v>
      </c>
      <c r="K52" s="2">
        <f t="shared" si="17"/>
        <v>0</v>
      </c>
      <c r="M52" s="2">
        <f t="shared" si="4"/>
        <v>0</v>
      </c>
      <c r="N52" s="2">
        <f t="shared" si="5"/>
        <v>0</v>
      </c>
      <c r="O52" s="2">
        <f t="shared" si="6"/>
        <v>0</v>
      </c>
      <c r="P52" s="2">
        <f t="shared" si="7"/>
        <v>0.40060883134466307</v>
      </c>
      <c r="Q52" s="2">
        <f t="shared" si="8"/>
        <v>0</v>
      </c>
      <c r="R52" s="2">
        <f t="shared" si="9"/>
        <v>0</v>
      </c>
      <c r="S52" s="2">
        <f t="shared" si="10"/>
        <v>0.59939116865533693</v>
      </c>
      <c r="T52" s="2">
        <f t="shared" si="11"/>
        <v>0</v>
      </c>
      <c r="U52" s="2">
        <f t="shared" si="12"/>
        <v>0</v>
      </c>
    </row>
    <row r="53" spans="1:21" x14ac:dyDescent="0.25">
      <c r="A53" t="s">
        <v>18</v>
      </c>
      <c r="B53">
        <v>2050</v>
      </c>
      <c r="C53" s="2">
        <f t="shared" ref="C53:K53" si="18">C37/C$43</f>
        <v>0</v>
      </c>
      <c r="D53" s="2">
        <f t="shared" si="18"/>
        <v>0</v>
      </c>
      <c r="E53" s="2">
        <f t="shared" si="18"/>
        <v>0</v>
      </c>
      <c r="F53" s="2">
        <f t="shared" si="18"/>
        <v>9.7856033608516969E-10</v>
      </c>
      <c r="G53" s="2">
        <f t="shared" si="18"/>
        <v>9.5121518640398183E-10</v>
      </c>
      <c r="H53" s="2">
        <f t="shared" si="18"/>
        <v>4.8748795922389931E-9</v>
      </c>
      <c r="I53" s="2">
        <f t="shared" si="18"/>
        <v>3.5418830400747152E-9</v>
      </c>
      <c r="J53" s="2">
        <f t="shared" si="18"/>
        <v>5.4330897559850213E-10</v>
      </c>
      <c r="K53" s="2">
        <f t="shared" si="18"/>
        <v>8.98981727653048E-9</v>
      </c>
      <c r="M53" s="2">
        <f t="shared" si="4"/>
        <v>0</v>
      </c>
      <c r="N53" s="2">
        <f t="shared" si="5"/>
        <v>0</v>
      </c>
      <c r="O53" s="2">
        <f t="shared" si="6"/>
        <v>0</v>
      </c>
      <c r="P53" s="2">
        <f t="shared" si="7"/>
        <v>6.6630918146845464E-2</v>
      </c>
      <c r="Q53" s="2">
        <f t="shared" si="8"/>
        <v>9.6448831070471818E-3</v>
      </c>
      <c r="R53" s="2">
        <f t="shared" si="9"/>
        <v>0.2096317132345423</v>
      </c>
      <c r="S53" s="2">
        <f t="shared" si="10"/>
        <v>0.16884288459593022</v>
      </c>
      <c r="T53" s="2">
        <f t="shared" si="11"/>
        <v>1.9824084001351478E-3</v>
      </c>
      <c r="U53" s="2">
        <f t="shared" si="12"/>
        <v>0.5432671925154996</v>
      </c>
    </row>
    <row r="54" spans="1:21" x14ac:dyDescent="0.25">
      <c r="A54" t="s">
        <v>19</v>
      </c>
      <c r="B54">
        <v>2050</v>
      </c>
      <c r="C54" s="2">
        <f t="shared" ref="C54:K54" si="19">C38/C$43</f>
        <v>0</v>
      </c>
      <c r="D54" s="2">
        <f t="shared" si="19"/>
        <v>0</v>
      </c>
      <c r="E54" s="2">
        <f t="shared" si="19"/>
        <v>0</v>
      </c>
      <c r="F54" s="2">
        <f t="shared" si="19"/>
        <v>1.1521368888133971E-2</v>
      </c>
      <c r="G54" s="2">
        <f t="shared" si="19"/>
        <v>4.6155416781611169E-2</v>
      </c>
      <c r="H54" s="2">
        <f t="shared" si="19"/>
        <v>0.18469241955458707</v>
      </c>
      <c r="I54" s="2">
        <f t="shared" si="19"/>
        <v>5.6057403026235728E-2</v>
      </c>
      <c r="J54" s="2">
        <f t="shared" si="19"/>
        <v>0.10202937094118775</v>
      </c>
      <c r="K54" s="2">
        <f t="shared" si="19"/>
        <v>0.1606327400716622</v>
      </c>
      <c r="M54" s="2">
        <f t="shared" si="4"/>
        <v>0</v>
      </c>
      <c r="N54" s="2">
        <f t="shared" si="5"/>
        <v>0</v>
      </c>
      <c r="O54" s="2">
        <f t="shared" si="6"/>
        <v>0</v>
      </c>
      <c r="P54" s="2">
        <f t="shared" si="7"/>
        <v>3.5745902431679057E-2</v>
      </c>
      <c r="Q54" s="2">
        <f t="shared" si="8"/>
        <v>2.1324303974043654E-2</v>
      </c>
      <c r="R54" s="2">
        <f t="shared" si="9"/>
        <v>0.36188964431483461</v>
      </c>
      <c r="S54" s="2">
        <f t="shared" si="10"/>
        <v>0.12176304948627263</v>
      </c>
      <c r="T54" s="2">
        <f t="shared" si="11"/>
        <v>1.6963109012797857E-2</v>
      </c>
      <c r="U54" s="2">
        <f t="shared" si="12"/>
        <v>0.44231399078037215</v>
      </c>
    </row>
    <row r="55" spans="1:21" x14ac:dyDescent="0.25">
      <c r="A55" t="s">
        <v>20</v>
      </c>
      <c r="B55">
        <v>2050</v>
      </c>
      <c r="C55" s="2">
        <f t="shared" ref="C55:K55" si="20">C39/C$43</f>
        <v>0</v>
      </c>
      <c r="D55" s="2">
        <f t="shared" si="20"/>
        <v>0</v>
      </c>
      <c r="E55" s="2">
        <f t="shared" si="20"/>
        <v>0</v>
      </c>
      <c r="F55" s="2">
        <f t="shared" si="20"/>
        <v>5.8862018271062536E-2</v>
      </c>
      <c r="G55" s="2">
        <f t="shared" si="20"/>
        <v>0.10820963056232612</v>
      </c>
      <c r="H55" s="2">
        <f t="shared" si="20"/>
        <v>0.81529780081294201</v>
      </c>
      <c r="I55" s="2">
        <f t="shared" si="20"/>
        <v>0.16535071139861404</v>
      </c>
      <c r="J55" s="2">
        <f t="shared" si="20"/>
        <v>0.3019154886736925</v>
      </c>
      <c r="K55" s="2">
        <f t="shared" si="20"/>
        <v>0.83936725093852049</v>
      </c>
      <c r="M55" s="2">
        <f t="shared" si="4"/>
        <v>0</v>
      </c>
      <c r="N55" s="2">
        <f t="shared" si="5"/>
        <v>0</v>
      </c>
      <c r="O55" s="2">
        <f t="shared" si="6"/>
        <v>0</v>
      </c>
      <c r="P55" s="2">
        <f t="shared" si="7"/>
        <v>4.0130549094035191E-2</v>
      </c>
      <c r="Q55" s="2">
        <f t="shared" si="8"/>
        <v>1.0985905812374424E-2</v>
      </c>
      <c r="R55" s="2">
        <f t="shared" si="9"/>
        <v>0.35104365282667055</v>
      </c>
      <c r="S55" s="2">
        <f t="shared" si="10"/>
        <v>7.8923507698279799E-2</v>
      </c>
      <c r="T55" s="2">
        <f t="shared" si="11"/>
        <v>1.1030200498614275E-2</v>
      </c>
      <c r="U55" s="2">
        <f t="shared" si="12"/>
        <v>0.50788618407002573</v>
      </c>
    </row>
    <row r="56" spans="1:21" x14ac:dyDescent="0.25">
      <c r="A56" t="s">
        <v>21</v>
      </c>
      <c r="B56">
        <v>2050</v>
      </c>
      <c r="C56" s="2">
        <f t="shared" ref="C56:K56" si="21">C40/C$43</f>
        <v>0</v>
      </c>
      <c r="D56" s="2">
        <f t="shared" si="21"/>
        <v>0</v>
      </c>
      <c r="E56" s="2">
        <f t="shared" si="21"/>
        <v>0</v>
      </c>
      <c r="F56" s="2">
        <f t="shared" si="21"/>
        <v>0</v>
      </c>
      <c r="G56" s="2">
        <f t="shared" si="21"/>
        <v>0</v>
      </c>
      <c r="H56" s="2">
        <f t="shared" si="21"/>
        <v>0</v>
      </c>
      <c r="I56" s="2">
        <f t="shared" si="21"/>
        <v>0</v>
      </c>
      <c r="J56" s="2">
        <f t="shared" si="21"/>
        <v>0</v>
      </c>
      <c r="K56" s="2">
        <f t="shared" si="21"/>
        <v>0</v>
      </c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5">
      <c r="A57" t="s">
        <v>22</v>
      </c>
      <c r="B57">
        <v>2050</v>
      </c>
      <c r="C57" s="2">
        <f t="shared" ref="C57:K57" si="22">C41/C$43</f>
        <v>0</v>
      </c>
      <c r="D57" s="2">
        <f t="shared" si="22"/>
        <v>0</v>
      </c>
      <c r="E57" s="2">
        <f t="shared" si="22"/>
        <v>0.2829119260254489</v>
      </c>
      <c r="F57" s="2">
        <f t="shared" si="22"/>
        <v>0</v>
      </c>
      <c r="G57" s="2">
        <f t="shared" si="22"/>
        <v>0</v>
      </c>
      <c r="H57" s="2">
        <f t="shared" si="22"/>
        <v>0</v>
      </c>
      <c r="I57" s="2">
        <f t="shared" si="22"/>
        <v>0</v>
      </c>
      <c r="J57" s="2">
        <f t="shared" si="22"/>
        <v>0</v>
      </c>
      <c r="K57" s="2">
        <f t="shared" si="22"/>
        <v>0</v>
      </c>
      <c r="M57" s="2">
        <f t="shared" si="4"/>
        <v>0</v>
      </c>
      <c r="N57" s="2">
        <f t="shared" si="5"/>
        <v>0</v>
      </c>
      <c r="O57" s="2">
        <f t="shared" si="6"/>
        <v>1</v>
      </c>
      <c r="P57" s="2">
        <f t="shared" si="7"/>
        <v>0</v>
      </c>
      <c r="Q57" s="2">
        <f t="shared" si="8"/>
        <v>0</v>
      </c>
      <c r="R57" s="2">
        <f t="shared" si="9"/>
        <v>0</v>
      </c>
      <c r="S57" s="2">
        <f t="shared" si="10"/>
        <v>0</v>
      </c>
      <c r="T57" s="2">
        <f t="shared" si="11"/>
        <v>0</v>
      </c>
      <c r="U57" s="2">
        <f t="shared" si="12"/>
        <v>0</v>
      </c>
    </row>
    <row r="58" spans="1:21" x14ac:dyDescent="0.25">
      <c r="A58" t="s">
        <v>23</v>
      </c>
      <c r="B58">
        <v>2050</v>
      </c>
      <c r="C58" s="2">
        <f t="shared" ref="C58:K58" si="23">C42/C$43</f>
        <v>0</v>
      </c>
      <c r="D58" s="2">
        <f t="shared" si="23"/>
        <v>0</v>
      </c>
      <c r="E58" s="2">
        <f t="shared" si="23"/>
        <v>0.2654978872961225</v>
      </c>
      <c r="F58" s="2">
        <f t="shared" si="23"/>
        <v>0</v>
      </c>
      <c r="G58" s="2">
        <f t="shared" si="23"/>
        <v>0</v>
      </c>
      <c r="H58" s="2">
        <f t="shared" si="23"/>
        <v>0</v>
      </c>
      <c r="I58" s="2">
        <f t="shared" si="23"/>
        <v>0</v>
      </c>
      <c r="J58" s="2">
        <f t="shared" si="23"/>
        <v>0</v>
      </c>
      <c r="K58" s="2">
        <f t="shared" si="23"/>
        <v>0</v>
      </c>
      <c r="M58" s="2">
        <f t="shared" si="4"/>
        <v>0</v>
      </c>
      <c r="N58" s="2">
        <f t="shared" si="5"/>
        <v>0</v>
      </c>
      <c r="O58" s="2">
        <f t="shared" si="6"/>
        <v>1</v>
      </c>
      <c r="P58" s="2">
        <f t="shared" si="7"/>
        <v>0</v>
      </c>
      <c r="Q58" s="2">
        <f t="shared" si="8"/>
        <v>0</v>
      </c>
      <c r="R58" s="2">
        <f t="shared" si="9"/>
        <v>0</v>
      </c>
      <c r="S58" s="2">
        <f t="shared" si="10"/>
        <v>0</v>
      </c>
      <c r="T58" s="2">
        <f t="shared" si="11"/>
        <v>0</v>
      </c>
      <c r="U58" s="2">
        <f t="shared" si="12"/>
        <v>0</v>
      </c>
    </row>
    <row r="59" spans="1:21" x14ac:dyDescent="0.25">
      <c r="A59" t="s">
        <v>24</v>
      </c>
      <c r="B59">
        <v>2050</v>
      </c>
      <c r="C59" s="2">
        <f t="shared" ref="C59:K59" si="24">C43/C$43</f>
        <v>1</v>
      </c>
      <c r="D59" s="2">
        <f t="shared" si="24"/>
        <v>1</v>
      </c>
      <c r="E59" s="2">
        <f t="shared" si="24"/>
        <v>1</v>
      </c>
      <c r="F59" s="2">
        <f t="shared" si="24"/>
        <v>1</v>
      </c>
      <c r="G59" s="2">
        <f t="shared" si="24"/>
        <v>1</v>
      </c>
      <c r="H59" s="2">
        <f t="shared" si="24"/>
        <v>1</v>
      </c>
      <c r="I59" s="2">
        <f t="shared" si="24"/>
        <v>1</v>
      </c>
      <c r="J59" s="2">
        <f t="shared" si="24"/>
        <v>1</v>
      </c>
      <c r="K59" s="2">
        <f t="shared" si="24"/>
        <v>1</v>
      </c>
      <c r="M59" s="2">
        <f t="shared" si="4"/>
        <v>6.7450941352220753E-2</v>
      </c>
      <c r="N59" s="2">
        <f t="shared" si="5"/>
        <v>9.3129128187378618E-2</v>
      </c>
      <c r="O59" s="2">
        <f t="shared" si="6"/>
        <v>5.6909998473189956E-2</v>
      </c>
      <c r="P59" s="2">
        <f t="shared" si="7"/>
        <v>0.22869322759469651</v>
      </c>
      <c r="Q59" s="2">
        <f t="shared" si="8"/>
        <v>3.4055190018708534E-2</v>
      </c>
      <c r="R59" s="2">
        <f t="shared" si="9"/>
        <v>0.14443026399688585</v>
      </c>
      <c r="S59" s="2">
        <f t="shared" si="10"/>
        <v>0.16010823208797903</v>
      </c>
      <c r="T59" s="2">
        <f t="shared" si="11"/>
        <v>1.2254944935729777E-2</v>
      </c>
      <c r="U59" s="2">
        <f t="shared" si="12"/>
        <v>0.20296807335321093</v>
      </c>
    </row>
    <row r="61" spans="1:21" x14ac:dyDescent="0.25">
      <c r="P61" s="2">
        <f>SUM(F$34:F$39)/SUM($F$34:$K$39)</f>
        <v>4.0294557255704723E-2</v>
      </c>
      <c r="Q61" s="2">
        <f t="shared" ref="Q61:U61" si="25">SUM(G$34:G$39)/SUM($F$34:$K$39)</f>
        <v>1.2817227697480593E-2</v>
      </c>
      <c r="R61" s="2">
        <f t="shared" si="25"/>
        <v>0.35214033944474749</v>
      </c>
      <c r="S61" s="2">
        <f t="shared" si="25"/>
        <v>8.7810008309922E-2</v>
      </c>
      <c r="T61" s="2">
        <f t="shared" si="25"/>
        <v>1.2069666476057219E-2</v>
      </c>
      <c r="U61" s="2">
        <f>SUM(K$34:K$39)/SUM($F$34:$K$39)</f>
        <v>0.49486820081608784</v>
      </c>
    </row>
  </sheetData>
  <conditionalFormatting sqref="C46:K59 M46:U59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Theis Utoft Madsen</cp:lastModifiedBy>
  <dcterms:created xsi:type="dcterms:W3CDTF">2026-07-08T14:11:24Z</dcterms:created>
  <dcterms:modified xsi:type="dcterms:W3CDTF">2026-07-14T13:53:46Z</dcterms:modified>
</cp:coreProperties>
</file>